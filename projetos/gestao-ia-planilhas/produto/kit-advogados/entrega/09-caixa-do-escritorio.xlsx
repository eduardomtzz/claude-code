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'Lançamentos'!$A$4:$K$604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[Red]-&quot;R$&quot; #,##0.00"/>
    <numFmt numFmtId="165" formatCode="dd/mm/yyyy"/>
    <numFmt numFmtId="166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B0A6C4"/>
      <sz val="9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9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4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C8402E"/>
        <sz val="16"/>
      </font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Entrou × saiu no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'Painel'!B79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'Painel'!$A$80:$A$91</f>
            </numRef>
          </cat>
          <val>
            <numRef>
              <f>'Painel'!$B$80:$B$91</f>
            </numRef>
          </val>
        </ser>
        <ser>
          <idx val="1"/>
          <order val="1"/>
          <tx>
            <strRef>
              <f>'Painel'!C79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'Painel'!$A$80:$A$91</f>
            </numRef>
          </cat>
          <val>
            <numRef>
              <f>'Painel'!$C$80:$C$91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Caixa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(honorários por cliente e caso) e o que sai (custo fixo, pró-labore, impostos, custas). Ela mostra o mês: entrou, saiu, sobrou, saldo acumulado, a receber, a pagar; para onde foi o dinheiro por categoria, quanto veio de cada cliente e o ano mês a mês com gráfico.</t>
        </is>
      </c>
    </row>
    <row r="5" ht="46" customHeight="1">
      <c r="A5" s="3" t="inlineStr">
        <is>
          <t>Passo 1</t>
        </is>
      </c>
      <c r="B5" s="4" t="inlineStr">
        <is>
          <t>Em Config, preencha o nome do escritório, o ano, o saldo que havia em caixa antes do primeiro lançamento e o mês do painel. Ajuste categorias e clientes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movimento: data, tipo (entrada ou saída), categoria, cliente, caso, descrição, valor, forma e Pago?. Honorário faturado e ainda não recebido entra com Pago? = Não e aparece em A receber; quando cair na conta, troque para Sim.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leia de cima para baixo. Só o que está com Pago? = Sim conta como caixa; o resto é previsão.</t>
        </is>
      </c>
    </row>
    <row r="8" ht="46" customHeight="1">
      <c r="A8" s="3" t="inlineStr">
        <is>
          <t>Rotina de sexta</t>
        </is>
      </c>
      <c r="B8" s="4" t="inlineStr">
        <is>
          <t>15 minutos: lançar o que entrou e saiu na semana, conferir A receber contra o extrato e marcar Sim no que caiu. No fechamento do mês, olhar Sobrou e Saldo acumulado antes de decidir retirada extra ou gasto grande.</t>
        </is>
      </c>
    </row>
    <row r="9" ht="46" customHeight="1">
      <c r="A9" s="3" t="inlineStr">
        <is>
          <t>Ligação com as outras planilhas</t>
        </is>
      </c>
      <c r="B9" s="4" t="inlineStr">
        <is>
          <t>O total de entradas do mês alimenta a planilha 10 (provisão de impostos) e a 17 (painel); as saídas de pró-labore, a 11; o saldo acumulado e o custo fixo, a 12 (reserva); as entradas por categoria, a 18 (resultado). Cada arquivo tem a própria aba de entrada amarela: copie os números do painel. Cada honorário lançado aqui é uma parcela marcada como paga na 14.</t>
        </is>
      </c>
    </row>
    <row r="10" ht="46" customHeight="1">
      <c r="A10" s="3" t="inlineStr">
        <is>
          <t>Com a IA</t>
        </is>
      </c>
      <c r="B10" s="4" t="inlineStr">
        <is>
          <t>Copie "Para onde foi o dinheiro" e "O ano, mês a mês" e use o prompt "Caixa 01 · Explicar o mês do caixa" da biblioteca do kit. Nunca cole nome de cliente ou número de processo na IA sem necessidade: use a coluna Categoria.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4" customWidth="1" min="10" max="10"/>
    <col width="12" customWidth="1" min="11" max="11"/>
    <col width="12" customWidth="1" min="12" max="12"/>
  </cols>
  <sheetData>
    <row r="1" ht="28" customHeight="1">
      <c r="A1" s="5" t="str">
        <f>Config!B4&amp;" · Caixa do escritório · "&amp;Config!B6&amp;" de "&amp;Config!B5</f>
        <v>Ferraz &amp; Lima Advocacia (exemplo fictício) · Caixa do escritório · Setembro de 2026</v>
      </c>
    </row>
    <row r="2">
      <c r="A2" s="6" t="inlineStr">
        <is>
          <t>Nada para digitar aqui. Escolha o mês em Config; tudo vem de Lançamentos. Só o que está com Pago? = Sim conta como caixa.</t>
        </is>
      </c>
    </row>
    <row r="4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 no mês</t>
        </is>
      </c>
      <c r="F4" s="12" t="n"/>
      <c r="G4" s="13" t="inlineStr">
        <is>
          <t>Saldo acumulado</t>
        </is>
      </c>
      <c r="H4" s="14" t="n"/>
      <c r="I4" s="13" t="inlineStr">
        <is>
          <t>A receber (Pago? = Não)</t>
        </is>
      </c>
      <c r="J4" s="14" t="n"/>
      <c r="K4" s="13" t="inlineStr">
        <is>
          <t>A pagar (Pago? = Não)</t>
        </is>
      </c>
      <c r="L4" s="14" t="n"/>
    </row>
    <row r="5" ht="30" customHeight="1">
      <c r="A5" s="15">
        <f>SUMIFS(Lançamentos!$G$5:$G$604,Lançamentos!$B$5:$B$604,"Entrada",Lançamentos!$I$5:$I$604,"Sim",Lançamentos!$J$5:$J$604,Config!$B$7,Lançamentos!$K$5:$K$604,Config!$B$5)</f>
        <v>5220</v>
      </c>
      <c r="B5" s="8" t="n"/>
      <c r="C5" s="16">
        <f>SUMIFS(Lançamentos!$G$5:$G$604,Lançamentos!$B$5:$B$604,"Saída",Lançamentos!$I$5:$I$604,"Sim",Lançamentos!$J$5:$J$604,Config!$B$7,Lançamentos!$K$5:$K$604,Config!$B$5)</f>
        <v>5320</v>
      </c>
      <c r="D5" s="10" t="n"/>
      <c r="E5" s="17">
        <f>A5-C5</f>
        <v>-100</v>
      </c>
      <c r="F5" s="12" t="n"/>
      <c r="G5" s="18">
        <f>Config!$B$8+SUMIFS(Lançamentos!$G$5:$G$604,Lançamentos!$B$5:$B$604,"Entrada",Lançamentos!$I$5:$I$604,"Sim",Lançamentos!$A$5:$A$604,"&lt;="&amp;DATE(Config!$B$5,Config!$B$7+1,0))-SUMIFS(Lançamentos!$G$5:$G$604,Lançamentos!$B$5:$B$604,"Saída",Lançamentos!$I$5:$I$604,"Sim",Lançamentos!$A$5:$A$604,"&lt;="&amp;DATE(Config!$B$5,Config!$B$7+1,0))</f>
        <v>43683</v>
      </c>
      <c r="H5" s="14" t="n"/>
      <c r="I5" s="18">
        <f>SUMIFS(Lançamentos!$G$5:$G$604,Lançamentos!$B$5:$B$604,"Entrada",Lançamentos!$I$5:$I$604,"Não")</f>
        <v>27330</v>
      </c>
      <c r="J5" s="14" t="n"/>
      <c r="K5" s="18">
        <f>SUMIFS(Lançamentos!$G$5:$G$604,Lançamentos!$B$5:$B$604,"Saída",Lançamentos!$I$5:$I$604,"Não")</f>
        <v>15402</v>
      </c>
      <c r="L5" s="14" t="n"/>
    </row>
    <row r="7">
      <c r="A7" s="19" t="inlineStr">
        <is>
          <t>Para onde foi o dinheiro</t>
        </is>
      </c>
    </row>
    <row r="8" ht="26" customHeight="1">
      <c r="A8" s="20" t="inlineStr">
        <is>
          <t>Categoria de saída</t>
        </is>
      </c>
      <c r="B8" s="20" t="inlineStr">
        <is>
          <t>Valor no mês</t>
        </is>
      </c>
      <c r="C8" s="20" t="inlineStr">
        <is>
          <t>% do total</t>
        </is>
      </c>
      <c r="D8" s="20" t="inlineStr">
        <is>
          <t>Mês anterior</t>
        </is>
      </c>
      <c r="E8" s="20" t="inlineStr">
        <is>
          <t>Acumulado no ano</t>
        </is>
      </c>
      <c r="F8" s="20" t="inlineStr">
        <is>
          <t>Barra</t>
        </is>
      </c>
      <c r="G8" s="21" t="n"/>
      <c r="H8" s="21" t="n"/>
      <c r="I8" s="22" t="n"/>
    </row>
    <row r="9">
      <c r="A9" s="23" t="str">
        <f>IF(Config!$F$5="","",Config!$F$5)</f>
        <v>Pró-labore dos sócios</v>
      </c>
      <c r="B9" s="24">
        <f>IF(Config!$F$5="","",SUMIFS(Lançamentos!$G$5:$G$604,Lançamentos!$B$5:$B$604,"Saída",Lançamentos!$I$5:$I$604,"Sim",Lançamentos!$J$5:$J$604,Config!$B$7,Lançamentos!$K$5:$K$604,Config!$B$5,Lançamentos!$C$5:$C$604,Config!$F$5))</f>
        <v>0</v>
      </c>
      <c r="C9" s="25">
        <f>IF(OR(Config!$F$5="",$C$5=0),"",B9/$C$5)</f>
        <v>0</v>
      </c>
      <c r="D9" s="24">
        <f>IF(Config!$F$5="","",IF(Config!$B$7=1,SUMIFS(Lançamentos!$G$5:$G$604,Lançamentos!$B$5:$B$604,"Saída",Lançamentos!$I$5:$I$604,"Sim",Lançamentos!$J$5:$J$604,12,Lançamentos!$K$5:$K$604,Config!$B$5-1,Lançamentos!$C$5:$C$604,Config!$F$5),SUMIFS(Lançamentos!$G$5:$G$604,Lançamentos!$B$5:$B$604,"Saída",Lançamentos!$I$5:$I$604,"Sim",Lançamentos!$J$5:$J$604,Config!$B$7-1,Lançamentos!$K$5:$K$604,Config!$B$5,Lançamentos!$C$5:$C$604,Config!$F$5)))</f>
        <v>12000</v>
      </c>
      <c r="E9" s="24">
        <f>IF(Config!$F$5="","",SUMIFS(Lançamentos!$G$5:$G$604,Lançamentos!$B$5:$B$604,"Saída",Lançamentos!$I$5:$I$604,"Sim",Lançamentos!$C$5:$C$604,Config!$F$5,Lançamentos!$K$5:$K$604,Config!$B$5,Lançamentos!$J$5:$J$604,"&lt;="&amp;Config!$B$7))</f>
        <v>112405</v>
      </c>
      <c r="F9" s="26">
        <f>IF(C9="","",REPT("█",ROUND(C9*40,0)))</f>
        <v/>
      </c>
      <c r="G9" s="21" t="n"/>
      <c r="H9" s="21" t="n"/>
      <c r="I9" s="22" t="n"/>
    </row>
    <row r="10">
      <c r="A10" s="23" t="str">
        <f>IF(Config!$F$6="","",Config!$F$6)</f>
        <v>Aluguel e condomínio</v>
      </c>
      <c r="B10" s="24">
        <f>IF(Config!$F$6="","",SUMIFS(Lançamentos!$G$5:$G$604,Lançamentos!$B$5:$B$604,"Saída",Lançamentos!$I$5:$I$604,"Sim",Lançamentos!$J$5:$J$604,Config!$B$7,Lançamentos!$K$5:$K$604,Config!$B$5,Lançamentos!$C$5:$C$604,Config!$F$6))</f>
        <v>2800</v>
      </c>
      <c r="C10" s="25">
        <f>IF(OR(Config!$F$6="",$C$5=0),"",B10/$C$5)</f>
        <v>0.526315789473684</v>
      </c>
      <c r="D10" s="24">
        <f>IF(Config!$F$6="","",IF(Config!$B$7=1,SUMIFS(Lançamentos!$G$5:$G$604,Lançamentos!$B$5:$B$604,"Saída",Lançamentos!$I$5:$I$604,"Sim",Lançamentos!$J$5:$J$604,12,Lançamentos!$K$5:$K$604,Config!$B$5-1,Lançamentos!$C$5:$C$604,Config!$F$6),SUMIFS(Lançamentos!$G$5:$G$604,Lançamentos!$B$5:$B$604,"Saída",Lançamentos!$I$5:$I$604,"Sim",Lançamentos!$J$5:$J$604,Config!$B$7-1,Lançamentos!$K$5:$K$604,Config!$B$5,Lançamentos!$C$5:$C$604,Config!$F$6)))</f>
        <v>2800</v>
      </c>
      <c r="E10" s="24">
        <f>IF(Config!$F$6="","",SUMIFS(Lançamentos!$G$5:$G$604,Lançamentos!$B$5:$B$604,"Saída",Lançamentos!$I$5:$I$604,"Sim",Lançamentos!$C$5:$C$604,Config!$F$6,Lançamentos!$K$5:$K$604,Config!$B$5,Lançamentos!$J$5:$J$604,"&lt;="&amp;Config!$B$7))</f>
        <v>25200</v>
      </c>
      <c r="F10" s="26" t="str">
        <f>IF(C10="","",REPT("█",ROUND(C10*40,0)))</f>
        <v>█████████████████████</v>
      </c>
      <c r="G10" s="21" t="n"/>
      <c r="H10" s="21" t="n"/>
      <c r="I10" s="22" t="n"/>
    </row>
    <row r="11">
      <c r="A11" s="23" t="str">
        <f>IF(Config!$F$7="","",Config!$F$7)</f>
        <v>Contador</v>
      </c>
      <c r="B11" s="24">
        <f>IF(Config!$F$7="","",SUMIFS(Lançamentos!$G$5:$G$604,Lançamentos!$B$5:$B$604,"Saída",Lançamentos!$I$5:$I$604,"Sim",Lançamentos!$J$5:$J$604,Config!$B$7,Lançamentos!$K$5:$K$604,Config!$B$5,Lançamentos!$C$5:$C$604,Config!$F$7))</f>
        <v>600</v>
      </c>
      <c r="C11" s="25">
        <f>IF(OR(Config!$F$7="",$C$5=0),"",B11/$C$5)</f>
        <v>0.112781954887218</v>
      </c>
      <c r="D11" s="24">
        <f>IF(Config!$F$7="","",IF(Config!$B$7=1,SUMIFS(Lançamentos!$G$5:$G$604,Lançamentos!$B$5:$B$604,"Saída",Lançamentos!$I$5:$I$604,"Sim",Lançamentos!$J$5:$J$604,12,Lançamentos!$K$5:$K$604,Config!$B$5-1,Lançamentos!$C$5:$C$604,Config!$F$7),SUMIFS(Lançamentos!$G$5:$G$604,Lançamentos!$B$5:$B$604,"Saída",Lançamentos!$I$5:$I$604,"Sim",Lançamentos!$J$5:$J$604,Config!$B$7-1,Lançamentos!$K$5:$K$604,Config!$B$5,Lançamentos!$C$5:$C$604,Config!$F$7)))</f>
        <v>600</v>
      </c>
      <c r="E11" s="24">
        <f>IF(Config!$F$7="","",SUMIFS(Lançamentos!$G$5:$G$604,Lançamentos!$B$5:$B$604,"Saída",Lançamentos!$I$5:$I$604,"Sim",Lançamentos!$C$5:$C$604,Config!$F$7,Lançamentos!$K$5:$K$604,Config!$B$5,Lançamentos!$J$5:$J$604,"&lt;="&amp;Config!$B$7))</f>
        <v>5400</v>
      </c>
      <c r="F11" s="26" t="str">
        <f>IF(C11="","",REPT("█",ROUND(C11*40,0)))</f>
        <v>█████</v>
      </c>
      <c r="G11" s="21" t="n"/>
      <c r="H11" s="21" t="n"/>
      <c r="I11" s="22" t="n"/>
    </row>
    <row r="12">
      <c r="A12" s="23" t="str">
        <f>IF(Config!$F$8="","",Config!$F$8)</f>
        <v>Sistemas e assinaturas</v>
      </c>
      <c r="B12" s="24">
        <f>IF(Config!$F$8="","",SUMIFS(Lançamentos!$G$5:$G$604,Lançamentos!$B$5:$B$604,"Saída",Lançamentos!$I$5:$I$604,"Sim",Lançamentos!$J$5:$J$604,Config!$B$7,Lançamentos!$K$5:$K$604,Config!$B$5,Lançamentos!$C$5:$C$604,Config!$F$8))</f>
        <v>450</v>
      </c>
      <c r="C12" s="25">
        <f>IF(OR(Config!$F$8="",$C$5=0),"",B12/$C$5)</f>
        <v>0.0845864661654135</v>
      </c>
      <c r="D12" s="24">
        <f>IF(Config!$F$8="","",IF(Config!$B$7=1,SUMIFS(Lançamentos!$G$5:$G$604,Lançamentos!$B$5:$B$604,"Saída",Lançamentos!$I$5:$I$604,"Sim",Lançamentos!$J$5:$J$604,12,Lançamentos!$K$5:$K$604,Config!$B$5-1,Lançamentos!$C$5:$C$604,Config!$F$8),SUMIFS(Lançamentos!$G$5:$G$604,Lançamentos!$B$5:$B$604,"Saída",Lançamentos!$I$5:$I$604,"Sim",Lançamentos!$J$5:$J$604,Config!$B$7-1,Lançamentos!$K$5:$K$604,Config!$B$5,Lançamentos!$C$5:$C$604,Config!$F$8)))</f>
        <v>450</v>
      </c>
      <c r="E12" s="24">
        <f>IF(Config!$F$8="","",SUMIFS(Lançamentos!$G$5:$G$604,Lançamentos!$B$5:$B$604,"Saída",Lançamentos!$I$5:$I$604,"Sim",Lançamentos!$C$5:$C$604,Config!$F$8,Lançamentos!$K$5:$K$604,Config!$B$5,Lançamentos!$J$5:$J$604,"&lt;="&amp;Config!$B$7))</f>
        <v>4050</v>
      </c>
      <c r="F12" s="26" t="str">
        <f>IF(C12="","",REPT("█",ROUND(C12*40,0)))</f>
        <v>███</v>
      </c>
      <c r="G12" s="21" t="n"/>
      <c r="H12" s="21" t="n"/>
      <c r="I12" s="22" t="n"/>
    </row>
    <row r="13">
      <c r="A13" s="23" t="str">
        <f>IF(Config!$F$9="","",Config!$F$9)</f>
        <v>Telefone e internet</v>
      </c>
      <c r="B13" s="24">
        <f>IF(Config!$F$9="","",SUMIFS(Lançamentos!$G$5:$G$604,Lançamentos!$B$5:$B$604,"Saída",Lançamentos!$I$5:$I$604,"Sim",Lançamentos!$J$5:$J$604,Config!$B$7,Lançamentos!$K$5:$K$604,Config!$B$5,Lançamentos!$C$5:$C$604,Config!$F$9))</f>
        <v>0</v>
      </c>
      <c r="C13" s="25">
        <f>IF(OR(Config!$F$9="",$C$5=0),"",B13/$C$5)</f>
        <v>0</v>
      </c>
      <c r="D13" s="24">
        <f>IF(Config!$F$9="","",IF(Config!$B$7=1,SUMIFS(Lançamentos!$G$5:$G$604,Lançamentos!$B$5:$B$604,"Saída",Lançamentos!$I$5:$I$604,"Sim",Lançamentos!$J$5:$J$604,12,Lançamentos!$K$5:$K$604,Config!$B$5-1,Lançamentos!$C$5:$C$604,Config!$F$9),SUMIFS(Lançamentos!$G$5:$G$604,Lançamentos!$B$5:$B$604,"Saída",Lançamentos!$I$5:$I$604,"Sim",Lançamentos!$J$5:$J$604,Config!$B$7-1,Lançamentos!$K$5:$K$604,Config!$B$5,Lançamentos!$C$5:$C$604,Config!$F$9)))</f>
        <v>220</v>
      </c>
      <c r="E13" s="24">
        <f>IF(Config!$F$9="","",SUMIFS(Lançamentos!$G$5:$G$604,Lançamentos!$B$5:$B$604,"Saída",Lançamentos!$I$5:$I$604,"Sim",Lançamentos!$C$5:$C$604,Config!$F$9,Lançamentos!$K$5:$K$604,Config!$B$5,Lançamentos!$J$5:$J$604,"&lt;="&amp;Config!$B$7))</f>
        <v>1760</v>
      </c>
      <c r="F13" s="26">
        <f>IF(C13="","",REPT("█",ROUND(C13*40,0)))</f>
        <v/>
      </c>
      <c r="G13" s="21" t="n"/>
      <c r="H13" s="21" t="n"/>
      <c r="I13" s="22" t="n"/>
    </row>
    <row r="14">
      <c r="A14" s="23" t="str">
        <f>IF(Config!$F$10="","",Config!$F$10)</f>
        <v>Anuidades OAB e cursos</v>
      </c>
      <c r="B14" s="24">
        <f>IF(Config!$F$10="","",SUMIFS(Lançamentos!$G$5:$G$604,Lançamentos!$B$5:$B$604,"Saída",Lançamentos!$I$5:$I$604,"Sim",Lançamentos!$J$5:$J$604,Config!$B$7,Lançamentos!$K$5:$K$604,Config!$B$5,Lançamentos!$C$5:$C$604,Config!$F$10))</f>
        <v>0</v>
      </c>
      <c r="C14" s="25">
        <f>IF(OR(Config!$F$10="",$C$5=0),"",B14/$C$5)</f>
        <v>0</v>
      </c>
      <c r="D14" s="24">
        <f>IF(Config!$F$10="","",IF(Config!$B$7=1,SUMIFS(Lançamentos!$G$5:$G$604,Lançamentos!$B$5:$B$604,"Saída",Lançamentos!$I$5:$I$604,"Sim",Lançamentos!$J$5:$J$604,12,Lançamentos!$K$5:$K$604,Config!$B$5-1,Lançamentos!$C$5:$C$604,Config!$F$10),SUMIFS(Lançamentos!$G$5:$G$604,Lançamentos!$B$5:$B$604,"Saída",Lançamentos!$I$5:$I$604,"Sim",Lançamentos!$J$5:$J$604,Config!$B$7-1,Lançamentos!$K$5:$K$604,Config!$B$5,Lançamentos!$C$5:$C$604,Config!$F$10)))</f>
        <v>250</v>
      </c>
      <c r="E14" s="24">
        <f>IF(Config!$F$10="","",SUMIFS(Lançamentos!$G$5:$G$604,Lançamentos!$B$5:$B$604,"Saída",Lançamentos!$I$5:$I$604,"Sim",Lançamentos!$C$5:$C$604,Config!$F$10,Lançamentos!$K$5:$K$604,Config!$B$5,Lançamentos!$J$5:$J$604,"&lt;="&amp;Config!$B$7))</f>
        <v>2000</v>
      </c>
      <c r="F14" s="26">
        <f>IF(C14="","",REPT("█",ROUND(C14*40,0)))</f>
        <v/>
      </c>
      <c r="G14" s="21" t="n"/>
      <c r="H14" s="21" t="n"/>
      <c r="I14" s="22" t="n"/>
    </row>
    <row r="15">
      <c r="A15" s="23" t="str">
        <f>IF(Config!$F$11="","",Config!$F$11)</f>
        <v>Marketing e site</v>
      </c>
      <c r="B15" s="24">
        <f>IF(Config!$F$11="","",SUMIFS(Lançamentos!$G$5:$G$604,Lançamentos!$B$5:$B$604,"Saída",Lançamentos!$I$5:$I$604,"Sim",Lançamentos!$J$5:$J$604,Config!$B$7,Lançamentos!$K$5:$K$604,Config!$B$5,Lançamentos!$C$5:$C$604,Config!$F$11))</f>
        <v>0</v>
      </c>
      <c r="C15" s="25">
        <f>IF(OR(Config!$F$11="",$C$5=0),"",B15/$C$5)</f>
        <v>0</v>
      </c>
      <c r="D15" s="24">
        <f>IF(Config!$F$11="","",IF(Config!$B$7=1,SUMIFS(Lançamentos!$G$5:$G$604,Lançamentos!$B$5:$B$604,"Saída",Lançamentos!$I$5:$I$604,"Sim",Lançamentos!$J$5:$J$604,12,Lançamentos!$K$5:$K$604,Config!$B$5-1,Lançamentos!$C$5:$C$604,Config!$F$11),SUMIFS(Lançamentos!$G$5:$G$604,Lançamentos!$B$5:$B$604,"Saída",Lançamentos!$I$5:$I$604,"Sim",Lançamentos!$J$5:$J$604,Config!$B$7-1,Lançamentos!$K$5:$K$604,Config!$B$5,Lançamentos!$C$5:$C$604,Config!$F$11)))</f>
        <v>400</v>
      </c>
      <c r="E15" s="24">
        <f>IF(Config!$F$11="","",SUMIFS(Lançamentos!$G$5:$G$604,Lançamentos!$B$5:$B$604,"Saída",Lançamentos!$I$5:$I$604,"Sim",Lançamentos!$C$5:$C$604,Config!$F$11,Lançamentos!$K$5:$K$604,Config!$B$5,Lançamentos!$J$5:$J$604,"&lt;="&amp;Config!$B$7))</f>
        <v>3200</v>
      </c>
      <c r="F15" s="26">
        <f>IF(C15="","",REPT("█",ROUND(C15*40,0)))</f>
        <v/>
      </c>
      <c r="G15" s="21" t="n"/>
      <c r="H15" s="21" t="n"/>
      <c r="I15" s="22" t="n"/>
    </row>
    <row r="16">
      <c r="A16" s="23" t="str">
        <f>IF(Config!$F$12="","",Config!$F$12)</f>
        <v>Estagiária (bolsa)</v>
      </c>
      <c r="B16" s="24">
        <f>IF(Config!$F$12="","",SUMIFS(Lançamentos!$G$5:$G$604,Lançamentos!$B$5:$B$604,"Saída",Lançamentos!$I$5:$I$604,"Sim",Lançamentos!$J$5:$J$604,Config!$B$7,Lançamentos!$K$5:$K$604,Config!$B$5,Lançamentos!$C$5:$C$604,Config!$F$12))</f>
        <v>1400</v>
      </c>
      <c r="C16" s="25">
        <f>IF(OR(Config!$F$12="",$C$5=0),"",B16/$C$5)</f>
        <v>0.263157894736842</v>
      </c>
      <c r="D16" s="24">
        <f>IF(Config!$F$12="","",IF(Config!$B$7=1,SUMIFS(Lançamentos!$G$5:$G$604,Lançamentos!$B$5:$B$604,"Saída",Lançamentos!$I$5:$I$604,"Sim",Lançamentos!$J$5:$J$604,12,Lançamentos!$K$5:$K$604,Config!$B$5-1,Lançamentos!$C$5:$C$604,Config!$F$12),SUMIFS(Lançamentos!$G$5:$G$604,Lançamentos!$B$5:$B$604,"Saída",Lançamentos!$I$5:$I$604,"Sim",Lançamentos!$J$5:$J$604,Config!$B$7-1,Lançamentos!$K$5:$K$604,Config!$B$5,Lançamentos!$C$5:$C$604,Config!$F$12)))</f>
        <v>1400</v>
      </c>
      <c r="E16" s="24">
        <f>IF(Config!$F$12="","",SUMIFS(Lançamentos!$G$5:$G$604,Lançamentos!$B$5:$B$604,"Saída",Lançamentos!$I$5:$I$604,"Sim",Lançamentos!$C$5:$C$604,Config!$F$12,Lançamentos!$K$5:$K$604,Config!$B$5,Lançamentos!$J$5:$J$604,"&lt;="&amp;Config!$B$7))</f>
        <v>12600</v>
      </c>
      <c r="F16" s="26" t="str">
        <f>IF(C16="","",REPT("█",ROUND(C16*40,0)))</f>
        <v>███████████</v>
      </c>
      <c r="G16" s="21" t="n"/>
      <c r="H16" s="21" t="n"/>
      <c r="I16" s="22" t="n"/>
    </row>
    <row r="17">
      <c r="A17" s="23" t="str">
        <f>IF(Config!$F$13="","",Config!$F$13)</f>
        <v>Material, correio e outros</v>
      </c>
      <c r="B17" s="24">
        <f>IF(Config!$F$13="","",SUMIFS(Lançamentos!$G$5:$G$604,Lançamentos!$B$5:$B$604,"Saída",Lançamentos!$I$5:$I$604,"Sim",Lançamentos!$J$5:$J$604,Config!$B$7,Lançamentos!$K$5:$K$604,Config!$B$5,Lançamentos!$C$5:$C$604,Config!$F$13))</f>
        <v>0</v>
      </c>
      <c r="C17" s="25">
        <f>IF(OR(Config!$F$13="",$C$5=0),"",B17/$C$5)</f>
        <v>0</v>
      </c>
      <c r="D17" s="24">
        <f>IF(Config!$F$13="","",IF(Config!$B$7=1,SUMIFS(Lançamentos!$G$5:$G$604,Lançamentos!$B$5:$B$604,"Saída",Lançamentos!$I$5:$I$604,"Sim",Lançamentos!$J$5:$J$604,12,Lançamentos!$K$5:$K$604,Config!$B$5-1,Lançamentos!$C$5:$C$604,Config!$F$13),SUMIFS(Lançamentos!$G$5:$G$604,Lançamentos!$B$5:$B$604,"Saída",Lançamentos!$I$5:$I$604,"Sim",Lançamentos!$J$5:$J$604,Config!$B$7-1,Lançamentos!$K$5:$K$604,Config!$B$5,Lançamentos!$C$5:$C$604,Config!$F$13)))</f>
        <v>380</v>
      </c>
      <c r="E17" s="24">
        <f>IF(Config!$F$13="","",SUMIFS(Lançamentos!$G$5:$G$604,Lançamentos!$B$5:$B$604,"Saída",Lançamentos!$I$5:$I$604,"Sim",Lançamentos!$C$5:$C$604,Config!$F$13,Lançamentos!$K$5:$K$604,Config!$B$5,Lançamentos!$J$5:$J$604,"&lt;="&amp;Config!$B$7))</f>
        <v>3040</v>
      </c>
      <c r="F17" s="26">
        <f>IF(C17="","",REPT("█",ROUND(C17*40,0)))</f>
        <v/>
      </c>
      <c r="G17" s="21" t="n"/>
      <c r="H17" s="21" t="n"/>
      <c r="I17" s="22" t="n"/>
    </row>
    <row r="18">
      <c r="A18" s="23" t="str">
        <f>IF(Config!$F$14="","",Config!$F$14)</f>
        <v>Impostos e taxas</v>
      </c>
      <c r="B18" s="24">
        <f>IF(Config!$F$14="","",SUMIFS(Lançamentos!$G$5:$G$604,Lançamentos!$B$5:$B$604,"Saída",Lançamentos!$I$5:$I$604,"Sim",Lançamentos!$J$5:$J$604,Config!$B$7,Lançamentos!$K$5:$K$604,Config!$B$5,Lançamentos!$C$5:$C$604,Config!$F$14))</f>
        <v>0</v>
      </c>
      <c r="C18" s="25">
        <f>IF(OR(Config!$F$14="",$C$5=0),"",B18/$C$5)</f>
        <v>0</v>
      </c>
      <c r="D18" s="24">
        <f>IF(Config!$F$14="","",IF(Config!$B$7=1,SUMIFS(Lançamentos!$G$5:$G$604,Lançamentos!$B$5:$B$604,"Saída",Lançamentos!$I$5:$I$604,"Sim",Lançamentos!$J$5:$J$604,12,Lançamentos!$K$5:$K$604,Config!$B$5-1,Lançamentos!$C$5:$C$604,Config!$F$14),SUMIFS(Lançamentos!$G$5:$G$604,Lançamentos!$B$5:$B$604,"Saída",Lançamentos!$I$5:$I$604,"Sim",Lançamentos!$J$5:$J$604,Config!$B$7-1,Lançamentos!$K$5:$K$604,Config!$B$5,Lançamentos!$C$5:$C$604,Config!$F$14)))</f>
        <v>2357</v>
      </c>
      <c r="E18" s="24">
        <f>IF(Config!$F$14="","",SUMIFS(Lançamentos!$G$5:$G$604,Lançamentos!$B$5:$B$604,"Saída",Lançamentos!$I$5:$I$604,"Sim",Lançamentos!$C$5:$C$604,Config!$F$14,Lançamentos!$K$5:$K$604,Config!$B$5,Lançamentos!$J$5:$J$604,"&lt;="&amp;Config!$B$7))</f>
        <v>16087</v>
      </c>
      <c r="F18" s="26">
        <f>IF(C18="","",REPT("█",ROUND(C18*40,0)))</f>
        <v/>
      </c>
      <c r="G18" s="21" t="n"/>
      <c r="H18" s="21" t="n"/>
      <c r="I18" s="22" t="n"/>
    </row>
    <row r="19">
      <c r="A19" s="23" t="str">
        <f>IF(Config!$F$15="","",Config!$F$15)</f>
        <v>Custas e despesas de processo</v>
      </c>
      <c r="B19" s="24">
        <f>IF(Config!$F$15="","",SUMIFS(Lançamentos!$G$5:$G$604,Lançamentos!$B$5:$B$604,"Saída",Lançamentos!$I$5:$I$604,"Sim",Lançamentos!$J$5:$J$604,Config!$B$7,Lançamentos!$K$5:$K$604,Config!$B$5,Lançamentos!$C$5:$C$604,Config!$F$15))</f>
        <v>70</v>
      </c>
      <c r="C19" s="25">
        <f>IF(OR(Config!$F$15="",$C$5=0),"",B19/$C$5)</f>
        <v>0.0131578947368421</v>
      </c>
      <c r="D19" s="24">
        <f>IF(Config!$F$15="","",IF(Config!$B$7=1,SUMIFS(Lançamentos!$G$5:$G$604,Lançamentos!$B$5:$B$604,"Saída",Lançamentos!$I$5:$I$604,"Sim",Lançamentos!$J$5:$J$604,12,Lançamentos!$K$5:$K$604,Config!$B$5-1,Lançamentos!$C$5:$C$604,Config!$F$15),SUMIFS(Lançamentos!$G$5:$G$604,Lançamentos!$B$5:$B$604,"Saída",Lançamentos!$I$5:$I$604,"Sim",Lançamentos!$J$5:$J$604,Config!$B$7-1,Lançamentos!$K$5:$K$604,Config!$B$5,Lançamentos!$C$5:$C$604,Config!$F$15)))</f>
        <v>380</v>
      </c>
      <c r="E19" s="24">
        <f>IF(Config!$F$15="","",SUMIFS(Lançamentos!$G$5:$G$604,Lançamentos!$B$5:$B$604,"Saída",Lançamentos!$I$5:$I$604,"Sim",Lançamentos!$C$5:$C$604,Config!$F$15,Lançamentos!$K$5:$K$604,Config!$B$5,Lançamentos!$J$5:$J$604,"&lt;="&amp;Config!$B$7))</f>
        <v>2875</v>
      </c>
      <c r="F19" s="26" t="str">
        <f>IF(C19="","",REPT("█",ROUND(C19*40,0)))</f>
        <v>█</v>
      </c>
      <c r="G19" s="21" t="n"/>
      <c r="H19" s="21" t="n"/>
      <c r="I19" s="22" t="n"/>
    </row>
    <row r="20">
      <c r="A20" s="23" t="str">
        <f>IF(Config!$F$16="","",Config!$F$16)</f>
        <v>Deslocamento e viagens</v>
      </c>
      <c r="B20" s="24">
        <f>IF(Config!$F$16="","",SUMIFS(Lançamentos!$G$5:$G$604,Lançamentos!$B$5:$B$604,"Saída",Lançamentos!$I$5:$I$604,"Sim",Lançamentos!$J$5:$J$604,Config!$B$7,Lançamentos!$K$5:$K$604,Config!$B$5,Lançamentos!$C$5:$C$604,Config!$F$16))</f>
        <v>0</v>
      </c>
      <c r="C20" s="25">
        <f>IF(OR(Config!$F$16="",$C$5=0),"",B20/$C$5)</f>
        <v>0</v>
      </c>
      <c r="D20" s="24">
        <f>IF(Config!$F$16="","",IF(Config!$B$7=1,SUMIFS(Lançamentos!$G$5:$G$604,Lançamentos!$B$5:$B$604,"Saída",Lançamentos!$I$5:$I$604,"Sim",Lançamentos!$J$5:$J$604,12,Lançamentos!$K$5:$K$604,Config!$B$5-1,Lançamentos!$C$5:$C$604,Config!$F$16),SUMIFS(Lançamentos!$G$5:$G$604,Lançamentos!$B$5:$B$604,"Saída",Lançamentos!$I$5:$I$604,"Sim",Lançamentos!$J$5:$J$604,Config!$B$7-1,Lançamentos!$K$5:$K$604,Config!$B$5,Lançamentos!$C$5:$C$604,Config!$F$16)))</f>
        <v>180</v>
      </c>
      <c r="E20" s="24">
        <f>IF(Config!$F$16="","",SUMIFS(Lançamentos!$G$5:$G$604,Lançamentos!$B$5:$B$604,"Saída",Lançamentos!$I$5:$I$604,"Sim",Lançamentos!$C$5:$C$604,Config!$F$16,Lançamentos!$K$5:$K$604,Config!$B$5,Lançamentos!$J$5:$J$604,"&lt;="&amp;Config!$B$7))</f>
        <v>730</v>
      </c>
      <c r="F20" s="26">
        <f>IF(C20="","",REPT("█",ROUND(C20*40,0)))</f>
        <v/>
      </c>
      <c r="G20" s="21" t="n"/>
      <c r="H20" s="21" t="n"/>
      <c r="I20" s="22" t="n"/>
    </row>
    <row r="21">
      <c r="A21" s="23" t="str">
        <f>IF(Config!$F$17="","",Config!$F$17)</f>
        <v>Outras saídas</v>
      </c>
      <c r="B21" s="24">
        <f>IF(Config!$F$17="","",SUMIFS(Lançamentos!$G$5:$G$604,Lançamentos!$B$5:$B$604,"Saída",Lançamentos!$I$5:$I$604,"Sim",Lançamentos!$J$5:$J$604,Config!$B$7,Lançamentos!$K$5:$K$604,Config!$B$5,Lançamentos!$C$5:$C$604,Config!$F$17))</f>
        <v>0</v>
      </c>
      <c r="C21" s="25">
        <f>IF(OR(Config!$F$17="",$C$5=0),"",B21/$C$5)</f>
        <v>0</v>
      </c>
      <c r="D21" s="24">
        <f>IF(Config!$F$17="","",IF(Config!$B$7=1,SUMIFS(Lançamentos!$G$5:$G$604,Lançamentos!$B$5:$B$604,"Saída",Lançamentos!$I$5:$I$604,"Sim",Lançamentos!$J$5:$J$604,12,Lançamentos!$K$5:$K$604,Config!$B$5-1,Lançamentos!$C$5:$C$604,Config!$F$17),SUMIFS(Lançamentos!$G$5:$G$604,Lançamentos!$B$5:$B$604,"Saída",Lançamentos!$I$5:$I$604,"Sim",Lançamentos!$J$5:$J$604,Config!$B$7-1,Lançamentos!$K$5:$K$604,Config!$B$5,Lançamentos!$C$5:$C$604,Config!$F$17)))</f>
        <v>480</v>
      </c>
      <c r="E21" s="24">
        <f>IF(Config!$F$17="","",SUMIFS(Lançamentos!$G$5:$G$604,Lançamentos!$B$5:$B$604,"Saída",Lançamentos!$I$5:$I$604,"Sim",Lançamentos!$C$5:$C$604,Config!$F$17,Lançamentos!$K$5:$K$604,Config!$B$5,Lançamentos!$J$5:$J$604,"&lt;="&amp;Config!$B$7))</f>
        <v>2040</v>
      </c>
      <c r="F21" s="26">
        <f>IF(C21="","",REPT("█",ROUND(C21*40,0)))</f>
        <v/>
      </c>
      <c r="G21" s="21" t="n"/>
      <c r="H21" s="21" t="n"/>
      <c r="I21" s="22" t="n"/>
    </row>
    <row r="22">
      <c r="A22" s="23">
        <f>IF(Config!$F$18="","",Config!$F$18)</f>
        <v/>
      </c>
      <c r="B22" s="24">
        <f>IF(Config!$F$18="","",SUMIFS(Lançamentos!$G$5:$G$604,Lançamentos!$B$5:$B$604,"Saída",Lançamentos!$I$5:$I$604,"Sim",Lançamentos!$J$5:$J$604,Config!$B$7,Lançamentos!$K$5:$K$604,Config!$B$5,Lançamentos!$C$5:$C$604,Config!$F$18))</f>
        <v/>
      </c>
      <c r="C22" s="25">
        <f>IF(OR(Config!$F$18="",$C$5=0),"",B22/$C$5)</f>
        <v/>
      </c>
      <c r="D22" s="24">
        <f>IF(Config!$F$18="","",IF(Config!$B$7=1,SUMIFS(Lançamentos!$G$5:$G$604,Lançamentos!$B$5:$B$604,"Saída",Lançamentos!$I$5:$I$604,"Sim",Lançamentos!$J$5:$J$604,12,Lançamentos!$K$5:$K$604,Config!$B$5-1,Lançamentos!$C$5:$C$604,Config!$F$18),SUMIFS(Lançamentos!$G$5:$G$604,Lançamentos!$B$5:$B$604,"Saída",Lançamentos!$I$5:$I$604,"Sim",Lançamentos!$J$5:$J$604,Config!$B$7-1,Lançamentos!$K$5:$K$604,Config!$B$5,Lançamentos!$C$5:$C$604,Config!$F$18)))</f>
        <v/>
      </c>
      <c r="E22" s="24">
        <f>IF(Config!$F$18="","",SUMIFS(Lançamentos!$G$5:$G$604,Lançamentos!$B$5:$B$604,"Saída",Lançamentos!$I$5:$I$604,"Sim",Lançamentos!$C$5:$C$604,Config!$F$18,Lançamentos!$K$5:$K$604,Config!$B$5,Lançamentos!$J$5:$J$604,"&lt;="&amp;Config!$B$7))</f>
        <v/>
      </c>
      <c r="F22" s="26">
        <f>IF(C22="","",REPT("█",ROUND(C22*40,0)))</f>
        <v/>
      </c>
      <c r="G22" s="21" t="n"/>
      <c r="H22" s="21" t="n"/>
      <c r="I22" s="22" t="n"/>
    </row>
    <row r="23">
      <c r="A23" s="23">
        <f>IF(Config!$F$19="","",Config!$F$19)</f>
        <v/>
      </c>
      <c r="B23" s="24">
        <f>IF(Config!$F$19="","",SUMIFS(Lançamentos!$G$5:$G$604,Lançamentos!$B$5:$B$604,"Saída",Lançamentos!$I$5:$I$604,"Sim",Lançamentos!$J$5:$J$604,Config!$B$7,Lançamentos!$K$5:$K$604,Config!$B$5,Lançamentos!$C$5:$C$604,Config!$F$19))</f>
        <v/>
      </c>
      <c r="C23" s="25">
        <f>IF(OR(Config!$F$19="",$C$5=0),"",B23/$C$5)</f>
        <v/>
      </c>
      <c r="D23" s="24">
        <f>IF(Config!$F$19="","",IF(Config!$B$7=1,SUMIFS(Lançamentos!$G$5:$G$604,Lançamentos!$B$5:$B$604,"Saída",Lançamentos!$I$5:$I$604,"Sim",Lançamentos!$J$5:$J$604,12,Lançamentos!$K$5:$K$604,Config!$B$5-1,Lançamentos!$C$5:$C$604,Config!$F$19),SUMIFS(Lançamentos!$G$5:$G$604,Lançamentos!$B$5:$B$604,"Saída",Lançamentos!$I$5:$I$604,"Sim",Lançamentos!$J$5:$J$604,Config!$B$7-1,Lançamentos!$K$5:$K$604,Config!$B$5,Lançamentos!$C$5:$C$604,Config!$F$19)))</f>
        <v/>
      </c>
      <c r="E23" s="24">
        <f>IF(Config!$F$19="","",SUMIFS(Lançamentos!$G$5:$G$604,Lançamentos!$B$5:$B$604,"Saída",Lançamentos!$I$5:$I$604,"Sim",Lançamentos!$C$5:$C$604,Config!$F$19,Lançamentos!$K$5:$K$604,Config!$B$5,Lançamentos!$J$5:$J$604,"&lt;="&amp;Config!$B$7))</f>
        <v/>
      </c>
      <c r="F23" s="26">
        <f>IF(C23="","",REPT("█",ROUND(C23*40,0)))</f>
        <v/>
      </c>
      <c r="G23" s="21" t="n"/>
      <c r="H23" s="21" t="n"/>
      <c r="I23" s="22" t="n"/>
    </row>
    <row r="24">
      <c r="A24" s="23">
        <f>IF(Config!$F$20="","",Config!$F$20)</f>
        <v/>
      </c>
      <c r="B24" s="24">
        <f>IF(Config!$F$20="","",SUMIFS(Lançamentos!$G$5:$G$604,Lançamentos!$B$5:$B$604,"Saída",Lançamentos!$I$5:$I$604,"Sim",Lançamentos!$J$5:$J$604,Config!$B$7,Lançamentos!$K$5:$K$604,Config!$B$5,Lançamentos!$C$5:$C$604,Config!$F$20))</f>
        <v/>
      </c>
      <c r="C24" s="25">
        <f>IF(OR(Config!$F$20="",$C$5=0),"",B24/$C$5)</f>
        <v/>
      </c>
      <c r="D24" s="24">
        <f>IF(Config!$F$20="","",IF(Config!$B$7=1,SUMIFS(Lançamentos!$G$5:$G$604,Lançamentos!$B$5:$B$604,"Saída",Lançamentos!$I$5:$I$604,"Sim",Lançamentos!$J$5:$J$604,12,Lançamentos!$K$5:$K$604,Config!$B$5-1,Lançamentos!$C$5:$C$604,Config!$F$20),SUMIFS(Lançamentos!$G$5:$G$604,Lançamentos!$B$5:$B$604,"Saída",Lançamentos!$I$5:$I$604,"Sim",Lançamentos!$J$5:$J$604,Config!$B$7-1,Lançamentos!$K$5:$K$604,Config!$B$5,Lançamentos!$C$5:$C$604,Config!$F$20)))</f>
        <v/>
      </c>
      <c r="E24" s="24">
        <f>IF(Config!$F$20="","",SUMIFS(Lançamentos!$G$5:$G$604,Lançamentos!$B$5:$B$604,"Saída",Lançamentos!$I$5:$I$604,"Sim",Lançamentos!$C$5:$C$604,Config!$F$20,Lançamentos!$K$5:$K$604,Config!$B$5,Lançamentos!$J$5:$J$604,"&lt;="&amp;Config!$B$7))</f>
        <v/>
      </c>
      <c r="F24" s="26">
        <f>IF(C24="","",REPT("█",ROUND(C24*40,0)))</f>
        <v/>
      </c>
      <c r="G24" s="21" t="n"/>
      <c r="H24" s="21" t="n"/>
      <c r="I24" s="22" t="n"/>
    </row>
    <row r="25">
      <c r="A25" s="27" t="inlineStr">
        <is>
          <t>Total</t>
        </is>
      </c>
      <c r="B25" s="28">
        <f>SUM(B9:B24)</f>
        <v>5320</v>
      </c>
      <c r="D25" s="28">
        <f>SUM(D9:D24)</f>
        <v>21897</v>
      </c>
      <c r="E25" s="28">
        <f>SUM(E9:E24)</f>
        <v>191387</v>
      </c>
    </row>
    <row r="27">
      <c r="A27" s="19" t="inlineStr">
        <is>
          <t>De onde veio o dinheiro</t>
        </is>
      </c>
    </row>
    <row r="28" ht="26" customHeight="1">
      <c r="A28" s="20" t="inlineStr">
        <is>
          <t>Categoria de entrada</t>
        </is>
      </c>
      <c r="B28" s="20" t="inlineStr">
        <is>
          <t>Valor no mês</t>
        </is>
      </c>
      <c r="C28" s="20" t="inlineStr">
        <is>
          <t>% do total</t>
        </is>
      </c>
      <c r="D28" s="20" t="inlineStr">
        <is>
          <t>Mês anterior</t>
        </is>
      </c>
      <c r="E28" s="20" t="inlineStr">
        <is>
          <t>Acumulado no ano</t>
        </is>
      </c>
      <c r="F28" s="20" t="inlineStr">
        <is>
          <t>Barra</t>
        </is>
      </c>
      <c r="G28" s="21" t="n"/>
      <c r="H28" s="21" t="n"/>
      <c r="I28" s="22" t="n"/>
    </row>
    <row r="29">
      <c r="A29" s="23" t="str">
        <f>IF(Config!$D$5="","",Config!$D$5)</f>
        <v>Honorários fixos</v>
      </c>
      <c r="B29" s="24">
        <f>IF(Config!$D$5="","",SUMIFS(Lançamentos!$G$5:$G$604,Lançamentos!$B$5:$B$604,"Entrada",Lançamentos!$I$5:$I$604,"Sim",Lançamentos!$J$5:$J$604,Config!$B$7,Lançamentos!$K$5:$K$604,Config!$B$5,Lançamentos!$C$5:$C$604,Config!$D$5))</f>
        <v>1000</v>
      </c>
      <c r="C29" s="25">
        <f>IF(OR(Config!$D$5="",$A$5=0),"",B29/$A$5)</f>
        <v>0.191570881226054</v>
      </c>
      <c r="D29" s="24">
        <f>IF(Config!$D$5="","",IF(Config!$B$7=1,SUMIFS(Lançamentos!$G$5:$G$604,Lançamentos!$B$5:$B$604,"Entrada",Lançamentos!$I$5:$I$604,"Sim",Lançamentos!$J$5:$J$604,12,Lançamentos!$K$5:$K$604,Config!$B$5-1,Lançamentos!$C$5:$C$604,Config!$D$5),SUMIFS(Lançamentos!$G$5:$G$604,Lançamentos!$B$5:$B$604,"Entrada",Lançamentos!$I$5:$I$604,"Sim",Lançamentos!$J$5:$J$604,Config!$B$7-1,Lançamentos!$K$5:$K$604,Config!$B$5,Lançamentos!$C$5:$C$604,Config!$D$5)))</f>
        <v>15300</v>
      </c>
      <c r="E29" s="24">
        <f>IF(Config!$D$5="","",SUMIFS(Lançamentos!$G$5:$G$604,Lançamentos!$B$5:$B$604,"Entrada",Lançamentos!$I$5:$I$604,"Sim",Lançamentos!$C$5:$C$604,Config!$D$5,Lançamentos!$K$5:$K$604,Config!$B$5,Lançamentos!$J$5:$J$604,"&lt;="&amp;Config!$B$7))</f>
        <v>124450</v>
      </c>
      <c r="F29" s="26" t="str">
        <f>IF(C29="","",REPT("█",ROUND(C29*40,0)))</f>
        <v>████████</v>
      </c>
      <c r="G29" s="21" t="n"/>
      <c r="H29" s="21" t="n"/>
      <c r="I29" s="22" t="n"/>
    </row>
    <row r="30">
      <c r="A30" s="23" t="str">
        <f>IF(Config!$D$6="","",Config!$D$6)</f>
        <v>Honorários por hora</v>
      </c>
      <c r="B30" s="24">
        <f>IF(Config!$D$6="","",SUMIFS(Lançamentos!$G$5:$G$604,Lançamentos!$B$5:$B$604,"Entrada",Lançamentos!$I$5:$I$604,"Sim",Lançamentos!$J$5:$J$604,Config!$B$7,Lançamentos!$K$5:$K$604,Config!$B$5,Lançamentos!$C$5:$C$604,Config!$D$6))</f>
        <v>0</v>
      </c>
      <c r="C30" s="25">
        <f>IF(OR(Config!$D$6="",$A$5=0),"",B30/$A$5)</f>
        <v>0</v>
      </c>
      <c r="D30" s="24">
        <f>IF(Config!$D$6="","",IF(Config!$B$7=1,SUMIFS(Lançamentos!$G$5:$G$604,Lançamentos!$B$5:$B$604,"Entrada",Lançamentos!$I$5:$I$604,"Sim",Lançamentos!$J$5:$J$604,12,Lançamentos!$K$5:$K$604,Config!$B$5-1,Lançamentos!$C$5:$C$604,Config!$D$6),SUMIFS(Lançamentos!$G$5:$G$604,Lançamentos!$B$5:$B$604,"Entrada",Lançamentos!$I$5:$I$604,"Sim",Lançamentos!$J$5:$J$604,Config!$B$7-1,Lançamentos!$K$5:$K$604,Config!$B$5,Lançamentos!$C$5:$C$604,Config!$D$6)))</f>
        <v>0</v>
      </c>
      <c r="E30" s="24">
        <f>IF(Config!$D$6="","",SUMIFS(Lançamentos!$G$5:$G$604,Lançamentos!$B$5:$B$604,"Entrada",Lançamentos!$I$5:$I$604,"Sim",Lançamentos!$C$5:$C$604,Config!$D$6,Lançamentos!$K$5:$K$604,Config!$B$5,Lançamentos!$J$5:$J$604,"&lt;="&amp;Config!$B$7))</f>
        <v>18900</v>
      </c>
      <c r="F30" s="26">
        <f>IF(C30="","",REPT("█",ROUND(C30*40,0)))</f>
        <v/>
      </c>
      <c r="G30" s="21" t="n"/>
      <c r="H30" s="21" t="n"/>
      <c r="I30" s="22" t="n"/>
    </row>
    <row r="31">
      <c r="A31" s="23" t="str">
        <f>IF(Config!$D$7="","",Config!$D$7)</f>
        <v>Honorários de êxito</v>
      </c>
      <c r="B31" s="24">
        <f>IF(Config!$D$7="","",SUMIFS(Lançamentos!$G$5:$G$604,Lançamentos!$B$5:$B$604,"Entrada",Lançamentos!$I$5:$I$604,"Sim",Lançamentos!$J$5:$J$604,Config!$B$7,Lançamentos!$K$5:$K$604,Config!$B$5,Lançamentos!$C$5:$C$604,Config!$D$7))</f>
        <v>0</v>
      </c>
      <c r="C31" s="25">
        <f>IF(OR(Config!$D$7="",$A$5=0),"",B31/$A$5)</f>
        <v>0</v>
      </c>
      <c r="D31" s="24">
        <f>IF(Config!$D$7="","",IF(Config!$B$7=1,SUMIFS(Lançamentos!$G$5:$G$604,Lançamentos!$B$5:$B$604,"Entrada",Lançamentos!$I$5:$I$604,"Sim",Lançamentos!$J$5:$J$604,12,Lançamentos!$K$5:$K$604,Config!$B$5-1,Lançamentos!$C$5:$C$604,Config!$D$7),SUMIFS(Lançamentos!$G$5:$G$604,Lançamentos!$B$5:$B$604,"Entrada",Lançamentos!$I$5:$I$604,"Sim",Lançamentos!$J$5:$J$604,Config!$B$7-1,Lançamentos!$K$5:$K$604,Config!$B$5,Lançamentos!$C$5:$C$604,Config!$D$7)))</f>
        <v>0</v>
      </c>
      <c r="E31" s="24">
        <f>IF(Config!$D$7="","",SUMIFS(Lançamentos!$G$5:$G$604,Lançamentos!$B$5:$B$604,"Entrada",Lançamentos!$I$5:$I$604,"Sim",Lançamentos!$C$5:$C$604,Config!$D$7,Lançamentos!$K$5:$K$604,Config!$B$5,Lançamentos!$J$5:$J$604,"&lt;="&amp;Config!$B$7))</f>
        <v>27000</v>
      </c>
      <c r="F31" s="26">
        <f>IF(C31="","",REPT("█",ROUND(C31*40,0)))</f>
        <v/>
      </c>
      <c r="G31" s="21" t="n"/>
      <c r="H31" s="21" t="n"/>
      <c r="I31" s="22" t="n"/>
    </row>
    <row r="32">
      <c r="A32" s="23" t="str">
        <f>IF(Config!$D$8="","",Config!$D$8)</f>
        <v>Consultoria e pareceres</v>
      </c>
      <c r="B32" s="24">
        <f>IF(Config!$D$8="","",SUMIFS(Lançamentos!$G$5:$G$604,Lançamentos!$B$5:$B$604,"Entrada",Lançamentos!$I$5:$I$604,"Sim",Lançamentos!$J$5:$J$604,Config!$B$7,Lançamentos!$K$5:$K$604,Config!$B$5,Lançamentos!$C$5:$C$604,Config!$D$8))</f>
        <v>4220</v>
      </c>
      <c r="C32" s="25">
        <f>IF(OR(Config!$D$8="",$A$5=0),"",B32/$A$5)</f>
        <v>0.808429118773946</v>
      </c>
      <c r="D32" s="24">
        <f>IF(Config!$D$8="","",IF(Config!$B$7=1,SUMIFS(Lançamentos!$G$5:$G$604,Lançamentos!$B$5:$B$604,"Entrada",Lançamentos!$I$5:$I$604,"Sim",Lançamentos!$J$5:$J$604,12,Lançamentos!$K$5:$K$604,Config!$B$5-1,Lançamentos!$C$5:$C$604,Config!$D$8),SUMIFS(Lançamentos!$G$5:$G$604,Lançamentos!$B$5:$B$604,"Entrada",Lançamentos!$I$5:$I$604,"Sim",Lançamentos!$J$5:$J$604,Config!$B$7-1,Lançamentos!$K$5:$K$604,Config!$B$5,Lançamentos!$C$5:$C$604,Config!$D$8)))</f>
        <v>11290</v>
      </c>
      <c r="E32" s="24">
        <f>IF(Config!$D$8="","",SUMIFS(Lançamentos!$G$5:$G$604,Lançamentos!$B$5:$B$604,"Entrada",Lançamentos!$I$5:$I$604,"Sim",Lançamentos!$C$5:$C$604,Config!$D$8,Lançamentos!$K$5:$K$604,Config!$B$5,Lançamentos!$J$5:$J$604,"&lt;="&amp;Config!$B$7))</f>
        <v>40610</v>
      </c>
      <c r="F32" s="26" t="str">
        <f>IF(C32="","",REPT("█",ROUND(C32*40,0)))</f>
        <v>████████████████████████████████</v>
      </c>
      <c r="G32" s="21" t="n"/>
      <c r="H32" s="21" t="n"/>
      <c r="I32" s="22" t="n"/>
    </row>
    <row r="33">
      <c r="A33" s="23" t="str">
        <f>IF(Config!$D$9="","",Config!$D$9)</f>
        <v>Reembolso de custas</v>
      </c>
      <c r="B33" s="24">
        <f>IF(Config!$D$9="","",SUMIFS(Lançamentos!$G$5:$G$604,Lançamentos!$B$5:$B$604,"Entrada",Lançamentos!$I$5:$I$604,"Sim",Lançamentos!$J$5:$J$604,Config!$B$7,Lançamentos!$K$5:$K$604,Config!$B$5,Lançamentos!$C$5:$C$604,Config!$D$9))</f>
        <v>0</v>
      </c>
      <c r="C33" s="25">
        <f>IF(OR(Config!$D$9="",$A$5=0),"",B33/$A$5)</f>
        <v>0</v>
      </c>
      <c r="D33" s="24">
        <f>IF(Config!$D$9="","",IF(Config!$B$7=1,SUMIFS(Lançamentos!$G$5:$G$604,Lançamentos!$B$5:$B$604,"Entrada",Lançamentos!$I$5:$I$604,"Sim",Lançamentos!$J$5:$J$604,12,Lançamentos!$K$5:$K$604,Config!$B$5-1,Lançamentos!$C$5:$C$604,Config!$D$9),SUMIFS(Lançamentos!$G$5:$G$604,Lançamentos!$B$5:$B$604,"Entrada",Lançamentos!$I$5:$I$604,"Sim",Lançamentos!$J$5:$J$604,Config!$B$7-1,Lançamentos!$K$5:$K$604,Config!$B$5,Lançamentos!$C$5:$C$604,Config!$D$9)))</f>
        <v>310</v>
      </c>
      <c r="E33" s="24">
        <f>IF(Config!$D$9="","",SUMIFS(Lançamentos!$G$5:$G$604,Lançamentos!$B$5:$B$604,"Entrada",Lançamentos!$I$5:$I$604,"Sim",Lançamentos!$C$5:$C$604,Config!$D$9,Lançamentos!$K$5:$K$604,Config!$B$5,Lançamentos!$J$5:$J$604,"&lt;="&amp;Config!$B$7))</f>
        <v>1630</v>
      </c>
      <c r="F33" s="26">
        <f>IF(C33="","",REPT("█",ROUND(C33*40,0)))</f>
        <v/>
      </c>
      <c r="G33" s="21" t="n"/>
      <c r="H33" s="21" t="n"/>
      <c r="I33" s="22" t="n"/>
    </row>
    <row r="34">
      <c r="A34" s="23" t="str">
        <f>IF(Config!$D$10="","",Config!$D$10)</f>
        <v>Outras entradas</v>
      </c>
      <c r="B34" s="24">
        <f>IF(Config!$D$10="","",SUMIFS(Lançamentos!$G$5:$G$604,Lançamentos!$B$5:$B$604,"Entrada",Lançamentos!$I$5:$I$604,"Sim",Lançamentos!$J$5:$J$604,Config!$B$7,Lançamentos!$K$5:$K$604,Config!$B$5,Lançamentos!$C$5:$C$604,Config!$D$10))</f>
        <v>0</v>
      </c>
      <c r="C34" s="25">
        <f>IF(OR(Config!$D$10="",$A$5=0),"",B34/$A$5)</f>
        <v>0</v>
      </c>
      <c r="D34" s="24">
        <f>IF(Config!$D$10="","",IF(Config!$B$7=1,SUMIFS(Lançamentos!$G$5:$G$604,Lançamentos!$B$5:$B$604,"Entrada",Lançamentos!$I$5:$I$604,"Sim",Lançamentos!$J$5:$J$604,12,Lançamentos!$K$5:$K$604,Config!$B$5-1,Lançamentos!$C$5:$C$604,Config!$D$10),SUMIFS(Lançamentos!$G$5:$G$604,Lançamentos!$B$5:$B$604,"Entrada",Lançamentos!$I$5:$I$604,"Sim",Lançamentos!$J$5:$J$604,Config!$B$7-1,Lançamentos!$K$5:$K$604,Config!$B$5,Lançamentos!$C$5:$C$604,Config!$D$10)))</f>
        <v>0</v>
      </c>
      <c r="E34" s="24">
        <f>IF(Config!$D$10="","",SUMIFS(Lançamentos!$G$5:$G$604,Lançamentos!$B$5:$B$604,"Entrada",Lançamentos!$I$5:$I$604,"Sim",Lançamentos!$C$5:$C$604,Config!$D$10,Lançamentos!$K$5:$K$604,Config!$B$5,Lançamentos!$J$5:$J$604,"&lt;="&amp;Config!$B$7))</f>
        <v>480</v>
      </c>
      <c r="F34" s="26">
        <f>IF(C34="","",REPT("█",ROUND(C34*40,0)))</f>
        <v/>
      </c>
      <c r="G34" s="21" t="n"/>
      <c r="H34" s="21" t="n"/>
      <c r="I34" s="22" t="n"/>
    </row>
    <row r="35">
      <c r="A35" s="23">
        <f>IF(Config!$D$11="","",Config!$D$11)</f>
        <v/>
      </c>
      <c r="B35" s="24">
        <f>IF(Config!$D$11="","",SUMIFS(Lançamentos!$G$5:$G$604,Lançamentos!$B$5:$B$604,"Entrada",Lançamentos!$I$5:$I$604,"Sim",Lançamentos!$J$5:$J$604,Config!$B$7,Lançamentos!$K$5:$K$604,Config!$B$5,Lançamentos!$C$5:$C$604,Config!$D$11))</f>
        <v/>
      </c>
      <c r="C35" s="25">
        <f>IF(OR(Config!$D$11="",$A$5=0),"",B35/$A$5)</f>
        <v/>
      </c>
      <c r="D35" s="24">
        <f>IF(Config!$D$11="","",IF(Config!$B$7=1,SUMIFS(Lançamentos!$G$5:$G$604,Lançamentos!$B$5:$B$604,"Entrada",Lançamentos!$I$5:$I$604,"Sim",Lançamentos!$J$5:$J$604,12,Lançamentos!$K$5:$K$604,Config!$B$5-1,Lançamentos!$C$5:$C$604,Config!$D$11),SUMIFS(Lançamentos!$G$5:$G$604,Lançamentos!$B$5:$B$604,"Entrada",Lançamentos!$I$5:$I$604,"Sim",Lançamentos!$J$5:$J$604,Config!$B$7-1,Lançamentos!$K$5:$K$604,Config!$B$5,Lançamentos!$C$5:$C$604,Config!$D$11)))</f>
        <v/>
      </c>
      <c r="E35" s="24">
        <f>IF(Config!$D$11="","",SUMIFS(Lançamentos!$G$5:$G$604,Lançamentos!$B$5:$B$604,"Entrada",Lançamentos!$I$5:$I$604,"Sim",Lançamentos!$C$5:$C$604,Config!$D$11,Lançamentos!$K$5:$K$604,Config!$B$5,Lançamentos!$J$5:$J$604,"&lt;="&amp;Config!$B$7))</f>
        <v/>
      </c>
      <c r="F35" s="26">
        <f>IF(C35="","",REPT("█",ROUND(C35*40,0)))</f>
        <v/>
      </c>
      <c r="G35" s="21" t="n"/>
      <c r="H35" s="21" t="n"/>
      <c r="I35" s="22" t="n"/>
    </row>
    <row r="36">
      <c r="A36" s="23">
        <f>IF(Config!$D$12="","",Config!$D$12)</f>
        <v/>
      </c>
      <c r="B36" s="24">
        <f>IF(Config!$D$12="","",SUMIFS(Lançamentos!$G$5:$G$604,Lançamentos!$B$5:$B$604,"Entrada",Lançamentos!$I$5:$I$604,"Sim",Lançamentos!$J$5:$J$604,Config!$B$7,Lançamentos!$K$5:$K$604,Config!$B$5,Lançamentos!$C$5:$C$604,Config!$D$12))</f>
        <v/>
      </c>
      <c r="C36" s="25">
        <f>IF(OR(Config!$D$12="",$A$5=0),"",B36/$A$5)</f>
        <v/>
      </c>
      <c r="D36" s="24">
        <f>IF(Config!$D$12="","",IF(Config!$B$7=1,SUMIFS(Lançamentos!$G$5:$G$604,Lançamentos!$B$5:$B$604,"Entrada",Lançamentos!$I$5:$I$604,"Sim",Lançamentos!$J$5:$J$604,12,Lançamentos!$K$5:$K$604,Config!$B$5-1,Lançamentos!$C$5:$C$604,Config!$D$12),SUMIFS(Lançamentos!$G$5:$G$604,Lançamentos!$B$5:$B$604,"Entrada",Lançamentos!$I$5:$I$604,"Sim",Lançamentos!$J$5:$J$604,Config!$B$7-1,Lançamentos!$K$5:$K$604,Config!$B$5,Lançamentos!$C$5:$C$604,Config!$D$12)))</f>
        <v/>
      </c>
      <c r="E36" s="24">
        <f>IF(Config!$D$12="","",SUMIFS(Lançamentos!$G$5:$G$604,Lançamentos!$B$5:$B$604,"Entrada",Lançamentos!$I$5:$I$604,"Sim",Lançamentos!$C$5:$C$604,Config!$D$12,Lançamentos!$K$5:$K$604,Config!$B$5,Lançamentos!$J$5:$J$604,"&lt;="&amp;Config!$B$7))</f>
        <v/>
      </c>
      <c r="F36" s="26">
        <f>IF(C36="","",REPT("█",ROUND(C36*40,0)))</f>
        <v/>
      </c>
      <c r="G36" s="21" t="n"/>
      <c r="H36" s="21" t="n"/>
      <c r="I36" s="22" t="n"/>
    </row>
    <row r="37">
      <c r="A37" s="23">
        <f>IF(Config!$D$13="","",Config!$D$13)</f>
        <v/>
      </c>
      <c r="B37" s="24">
        <f>IF(Config!$D$13="","",SUMIFS(Lançamentos!$G$5:$G$604,Lançamentos!$B$5:$B$604,"Entrada",Lançamentos!$I$5:$I$604,"Sim",Lançamentos!$J$5:$J$604,Config!$B$7,Lançamentos!$K$5:$K$604,Config!$B$5,Lançamentos!$C$5:$C$604,Config!$D$13))</f>
        <v/>
      </c>
      <c r="C37" s="25">
        <f>IF(OR(Config!$D$13="",$A$5=0),"",B37/$A$5)</f>
        <v/>
      </c>
      <c r="D37" s="24">
        <f>IF(Config!$D$13="","",IF(Config!$B$7=1,SUMIFS(Lançamentos!$G$5:$G$604,Lançamentos!$B$5:$B$604,"Entrada",Lançamentos!$I$5:$I$604,"Sim",Lançamentos!$J$5:$J$604,12,Lançamentos!$K$5:$K$604,Config!$B$5-1,Lançamentos!$C$5:$C$604,Config!$D$13),SUMIFS(Lançamentos!$G$5:$G$604,Lançamentos!$B$5:$B$604,"Entrada",Lançamentos!$I$5:$I$604,"Sim",Lançamentos!$J$5:$J$604,Config!$B$7-1,Lançamentos!$K$5:$K$604,Config!$B$5,Lançamentos!$C$5:$C$604,Config!$D$13)))</f>
        <v/>
      </c>
      <c r="E37" s="24">
        <f>IF(Config!$D$13="","",SUMIFS(Lançamentos!$G$5:$G$604,Lançamentos!$B$5:$B$604,"Entrada",Lançamentos!$I$5:$I$604,"Sim",Lançamentos!$C$5:$C$604,Config!$D$13,Lançamentos!$K$5:$K$604,Config!$B$5,Lançamentos!$J$5:$J$604,"&lt;="&amp;Config!$B$7))</f>
        <v/>
      </c>
      <c r="F37" s="26">
        <f>IF(C37="","",REPT("█",ROUND(C37*40,0)))</f>
        <v/>
      </c>
      <c r="G37" s="21" t="n"/>
      <c r="H37" s="21" t="n"/>
      <c r="I37" s="22" t="n"/>
    </row>
    <row r="38">
      <c r="A38" s="23">
        <f>IF(Config!$D$14="","",Config!$D$14)</f>
        <v/>
      </c>
      <c r="B38" s="24">
        <f>IF(Config!$D$14="","",SUMIFS(Lançamentos!$G$5:$G$604,Lançamentos!$B$5:$B$604,"Entrada",Lançamentos!$I$5:$I$604,"Sim",Lançamentos!$J$5:$J$604,Config!$B$7,Lançamentos!$K$5:$K$604,Config!$B$5,Lançamentos!$C$5:$C$604,Config!$D$14))</f>
        <v/>
      </c>
      <c r="C38" s="25">
        <f>IF(OR(Config!$D$14="",$A$5=0),"",B38/$A$5)</f>
        <v/>
      </c>
      <c r="D38" s="24">
        <f>IF(Config!$D$14="","",IF(Config!$B$7=1,SUMIFS(Lançamentos!$G$5:$G$604,Lançamentos!$B$5:$B$604,"Entrada",Lançamentos!$I$5:$I$604,"Sim",Lançamentos!$J$5:$J$604,12,Lançamentos!$K$5:$K$604,Config!$B$5-1,Lançamentos!$C$5:$C$604,Config!$D$14),SUMIFS(Lançamentos!$G$5:$G$604,Lançamentos!$B$5:$B$604,"Entrada",Lançamentos!$I$5:$I$604,"Sim",Lançamentos!$J$5:$J$604,Config!$B$7-1,Lançamentos!$K$5:$K$604,Config!$B$5,Lançamentos!$C$5:$C$604,Config!$D$14)))</f>
        <v/>
      </c>
      <c r="E38" s="24">
        <f>IF(Config!$D$14="","",SUMIFS(Lançamentos!$G$5:$G$604,Lançamentos!$B$5:$B$604,"Entrada",Lançamentos!$I$5:$I$604,"Sim",Lançamentos!$C$5:$C$604,Config!$D$14,Lançamentos!$K$5:$K$604,Config!$B$5,Lançamentos!$J$5:$J$604,"&lt;="&amp;Config!$B$7))</f>
        <v/>
      </c>
      <c r="F38" s="26">
        <f>IF(C38="","",REPT("█",ROUND(C38*40,0)))</f>
        <v/>
      </c>
      <c r="G38" s="21" t="n"/>
      <c r="H38" s="21" t="n"/>
      <c r="I38" s="22" t="n"/>
    </row>
    <row r="39">
      <c r="A39" s="23">
        <f>IF(Config!$D$15="","",Config!$D$15)</f>
        <v/>
      </c>
      <c r="B39" s="24">
        <f>IF(Config!$D$15="","",SUMIFS(Lançamentos!$G$5:$G$604,Lançamentos!$B$5:$B$604,"Entrada",Lançamentos!$I$5:$I$604,"Sim",Lançamentos!$J$5:$J$604,Config!$B$7,Lançamentos!$K$5:$K$604,Config!$B$5,Lançamentos!$C$5:$C$604,Config!$D$15))</f>
        <v/>
      </c>
      <c r="C39" s="25">
        <f>IF(OR(Config!$D$15="",$A$5=0),"",B39/$A$5)</f>
        <v/>
      </c>
      <c r="D39" s="24">
        <f>IF(Config!$D$15="","",IF(Config!$B$7=1,SUMIFS(Lançamentos!$G$5:$G$604,Lançamentos!$B$5:$B$604,"Entrada",Lançamentos!$I$5:$I$604,"Sim",Lançamentos!$J$5:$J$604,12,Lançamentos!$K$5:$K$604,Config!$B$5-1,Lançamentos!$C$5:$C$604,Config!$D$15),SUMIFS(Lançamentos!$G$5:$G$604,Lançamentos!$B$5:$B$604,"Entrada",Lançamentos!$I$5:$I$604,"Sim",Lançamentos!$J$5:$J$604,Config!$B$7-1,Lançamentos!$K$5:$K$604,Config!$B$5,Lançamentos!$C$5:$C$604,Config!$D$15)))</f>
        <v/>
      </c>
      <c r="E39" s="24">
        <f>IF(Config!$D$15="","",SUMIFS(Lançamentos!$G$5:$G$604,Lançamentos!$B$5:$B$604,"Entrada",Lançamentos!$I$5:$I$604,"Sim",Lançamentos!$C$5:$C$604,Config!$D$15,Lançamentos!$K$5:$K$604,Config!$B$5,Lançamentos!$J$5:$J$604,"&lt;="&amp;Config!$B$7))</f>
        <v/>
      </c>
      <c r="F39" s="26">
        <f>IF(C39="","",REPT("█",ROUND(C39*40,0)))</f>
        <v/>
      </c>
      <c r="G39" s="21" t="n"/>
      <c r="H39" s="21" t="n"/>
      <c r="I39" s="22" t="n"/>
    </row>
    <row r="40">
      <c r="A40" s="23">
        <f>IF(Config!$D$16="","",Config!$D$16)</f>
        <v/>
      </c>
      <c r="B40" s="24">
        <f>IF(Config!$D$16="","",SUMIFS(Lançamentos!$G$5:$G$604,Lançamentos!$B$5:$B$604,"Entrada",Lançamentos!$I$5:$I$604,"Sim",Lançamentos!$J$5:$J$604,Config!$B$7,Lançamentos!$K$5:$K$604,Config!$B$5,Lançamentos!$C$5:$C$604,Config!$D$16))</f>
        <v/>
      </c>
      <c r="C40" s="25">
        <f>IF(OR(Config!$D$16="",$A$5=0),"",B40/$A$5)</f>
        <v/>
      </c>
      <c r="D40" s="24">
        <f>IF(Config!$D$16="","",IF(Config!$B$7=1,SUMIFS(Lançamentos!$G$5:$G$604,Lançamentos!$B$5:$B$604,"Entrada",Lançamentos!$I$5:$I$604,"Sim",Lançamentos!$J$5:$J$604,12,Lançamentos!$K$5:$K$604,Config!$B$5-1,Lançamentos!$C$5:$C$604,Config!$D$16),SUMIFS(Lançamentos!$G$5:$G$604,Lançamentos!$B$5:$B$604,"Entrada",Lançamentos!$I$5:$I$604,"Sim",Lançamentos!$J$5:$J$604,Config!$B$7-1,Lançamentos!$K$5:$K$604,Config!$B$5,Lançamentos!$C$5:$C$604,Config!$D$16)))</f>
        <v/>
      </c>
      <c r="E40" s="24">
        <f>IF(Config!$D$16="","",SUMIFS(Lançamentos!$G$5:$G$604,Lançamentos!$B$5:$B$604,"Entrada",Lançamentos!$I$5:$I$604,"Sim",Lançamentos!$C$5:$C$604,Config!$D$16,Lançamentos!$K$5:$K$604,Config!$B$5,Lançamentos!$J$5:$J$604,"&lt;="&amp;Config!$B$7))</f>
        <v/>
      </c>
      <c r="F40" s="26">
        <f>IF(C40="","",REPT("█",ROUND(C40*40,0)))</f>
        <v/>
      </c>
      <c r="G40" s="21" t="n"/>
      <c r="H40" s="21" t="n"/>
      <c r="I40" s="22" t="n"/>
    </row>
    <row r="41">
      <c r="A41" s="27" t="inlineStr">
        <is>
          <t>Total</t>
        </is>
      </c>
      <c r="B41" s="28">
        <f>SUM(B29:B40)</f>
        <v>5220</v>
      </c>
      <c r="D41" s="28">
        <f>SUM(D29:D40)</f>
        <v>26900</v>
      </c>
      <c r="E41" s="28">
        <f>SUM(E29:E40)</f>
        <v>213070</v>
      </c>
    </row>
    <row r="43">
      <c r="A43" s="19" t="inlineStr">
        <is>
          <t>Por cliente</t>
        </is>
      </c>
    </row>
    <row r="44" ht="26" customHeight="1">
      <c r="A44" s="20" t="inlineStr">
        <is>
          <t>Cliente</t>
        </is>
      </c>
      <c r="B44" s="20" t="inlineStr">
        <is>
          <t>Entrou no mês</t>
        </is>
      </c>
      <c r="C44" s="20" t="inlineStr">
        <is>
          <t>Entrou no ano</t>
        </is>
      </c>
      <c r="D44" s="20" t="inlineStr">
        <is>
          <t>% do ano</t>
        </is>
      </c>
      <c r="E44" s="20" t="inlineStr">
        <is>
          <t>A receber (Pago? = Não)</t>
        </is>
      </c>
      <c r="F44" s="20" t="inlineStr">
        <is>
          <t>Custas pagas no ano</t>
        </is>
      </c>
    </row>
    <row r="45">
      <c r="A45" s="23" t="str">
        <f>IF(Config!$J$5="","",Config!$J$5)</f>
        <v>Padaria do Sol Ltda</v>
      </c>
      <c r="B45" s="24">
        <f>IF(Config!$J$5="","",SUMIFS(Lançamentos!$G$5:$G$604,Lançamentos!$B$5:$B$604,"Entrada",Lançamentos!$I$5:$I$604,"Sim",Lançamentos!$J$5:$J$604,Config!$B$7,Lançamentos!$K$5:$K$604,Config!$B$5,Lançamentos!$D$5:$D$604,Config!$J$5))</f>
        <v>1500</v>
      </c>
      <c r="C45" s="24">
        <f>IF(Config!$J$5="","",SUMIFS(Lançamentos!$G$5:$G$604,Lançamentos!$B$5:$B$604,"Entrada",Lançamentos!$I$5:$I$604,"Sim",Lançamentos!$D$5:$D$604,Config!$J$5,Lançamentos!$K$5:$K$604,Config!$B$5))</f>
        <v>11250</v>
      </c>
      <c r="D45" s="25">
        <f>IF(OR(Config!$J$5="",$C$75=0),"",C45/$C$75)</f>
        <v>0.0529187638176772</v>
      </c>
      <c r="E45" s="24">
        <f>IF(Config!$J$5="","",SUMIFS(Lançamentos!$G$5:$G$604,Lançamentos!$B$5:$B$604,"Entrada",Lançamentos!$I$5:$I$604,"Não",Lançamentos!$D$5:$D$604,Config!$J$5))</f>
        <v>0</v>
      </c>
      <c r="F45" s="24">
        <f>IF(Config!$J$5="","",SUMIFS(Lançamentos!$G$5:$G$604,Lançamentos!$B$5:$B$604,"Saída",Lançamentos!$I$5:$I$604,"Sim",Lançamentos!$D$5:$D$604,Config!$J$5,Lançamentos!$K$5:$K$604,Config!$B$5))</f>
        <v>0</v>
      </c>
    </row>
    <row r="46">
      <c r="A46" s="23" t="str">
        <f>IF(Config!$J$6="","",Config!$J$6)</f>
        <v>Ana Beatriz Moreira</v>
      </c>
      <c r="B46" s="24">
        <f>IF(Config!$J$6="","",SUMIFS(Lançamentos!$G$5:$G$604,Lançamentos!$B$5:$B$604,"Entrada",Lançamentos!$I$5:$I$604,"Sim",Lançamentos!$J$5:$J$604,Config!$B$7,Lançamentos!$K$5:$K$604,Config!$B$5,Lançamentos!$D$5:$D$604,Config!$J$6))</f>
        <v>0</v>
      </c>
      <c r="C46" s="24">
        <f>IF(Config!$J$6="","",SUMIFS(Lançamentos!$G$5:$G$604,Lançamentos!$B$5:$B$604,"Entrada",Lançamentos!$I$5:$I$604,"Sim",Lançamentos!$D$5:$D$604,Config!$J$6,Lançamentos!$K$5:$K$604,Config!$B$5))</f>
        <v>5500</v>
      </c>
      <c r="D46" s="25">
        <f>IF(OR(Config!$J$6="",$C$75=0),"",C46/$C$75)</f>
        <v>0.0258713956441978</v>
      </c>
      <c r="E46" s="24">
        <f>IF(Config!$J$6="","",SUMIFS(Lançamentos!$G$5:$G$604,Lançamentos!$B$5:$B$604,"Entrada",Lançamentos!$I$5:$I$604,"Não",Lançamentos!$D$5:$D$604,Config!$J$6))</f>
        <v>0</v>
      </c>
      <c r="F46" s="24">
        <f>IF(Config!$J$6="","",SUMIFS(Lançamentos!$G$5:$G$604,Lançamentos!$B$5:$B$604,"Saída",Lançamentos!$I$5:$I$604,"Sim",Lançamentos!$D$5:$D$604,Config!$J$6,Lançamentos!$K$5:$K$604,Config!$B$5))</f>
        <v>0</v>
      </c>
    </row>
    <row r="47">
      <c r="A47" s="23" t="str">
        <f>IF(Config!$J$7="","",Config!$J$7)</f>
        <v>Construtora Horizonte</v>
      </c>
      <c r="B47" s="24">
        <f>IF(Config!$J$7="","",SUMIFS(Lançamentos!$G$5:$G$604,Lançamentos!$B$5:$B$604,"Entrada",Lançamentos!$I$5:$I$604,"Sim",Lançamentos!$J$5:$J$604,Config!$B$7,Lançamentos!$K$5:$K$604,Config!$B$5,Lançamentos!$D$5:$D$604,Config!$J$7))</f>
        <v>0</v>
      </c>
      <c r="C47" s="24">
        <f>IF(Config!$J$7="","",SUMIFS(Lançamentos!$G$5:$G$604,Lançamentos!$B$5:$B$604,"Entrada",Lançamentos!$I$5:$I$604,"Sim",Lançamentos!$D$5:$D$604,Config!$J$7,Lançamentos!$K$5:$K$604,Config!$B$5))</f>
        <v>16080</v>
      </c>
      <c r="D47" s="25">
        <f>IF(OR(Config!$J$7="",$C$75=0),"",C47/$C$75)</f>
        <v>0.0756385530834</v>
      </c>
      <c r="E47" s="24">
        <f>IF(Config!$J$7="","",SUMIFS(Lançamentos!$G$5:$G$604,Lançamentos!$B$5:$B$604,"Entrada",Lançamentos!$I$5:$I$604,"Não",Lançamentos!$D$5:$D$604,Config!$J$7))</f>
        <v>2100</v>
      </c>
      <c r="F47" s="24">
        <f>IF(Config!$J$7="","",SUMIFS(Lançamentos!$G$5:$G$604,Lançamentos!$B$5:$B$604,"Saída",Lançamentos!$I$5:$I$604,"Sim",Lançamentos!$D$5:$D$604,Config!$J$7,Lançamentos!$K$5:$K$604,Config!$B$5))</f>
        <v>780</v>
      </c>
    </row>
    <row r="48">
      <c r="A48" s="23" t="str">
        <f>IF(Config!$J$8="","",Config!$J$8)</f>
        <v>Carlos Eduardo Nunes</v>
      </c>
      <c r="B48" s="24">
        <f>IF(Config!$J$8="","",SUMIFS(Lançamentos!$G$5:$G$604,Lançamentos!$B$5:$B$604,"Entrada",Lançamentos!$I$5:$I$604,"Sim",Lançamentos!$J$5:$J$604,Config!$B$7,Lançamentos!$K$5:$K$604,Config!$B$5,Lançamentos!$D$5:$D$604,Config!$J$8))</f>
        <v>0</v>
      </c>
      <c r="C48" s="24">
        <f>IF(Config!$J$8="","",SUMIFS(Lançamentos!$G$5:$G$604,Lançamentos!$B$5:$B$604,"Entrada",Lançamentos!$I$5:$I$604,"Sim",Lançamentos!$D$5:$D$604,Config!$J$8,Lançamentos!$K$5:$K$604,Config!$B$5))</f>
        <v>7500</v>
      </c>
      <c r="D48" s="25">
        <f>IF(OR(Config!$J$8="",$C$75=0),"",C48/$C$75)</f>
        <v>0.0352791758784515</v>
      </c>
      <c r="E48" s="24">
        <f>IF(Config!$J$8="","",SUMIFS(Lançamentos!$G$5:$G$604,Lançamentos!$B$5:$B$604,"Entrada",Lançamentos!$I$5:$I$604,"Não",Lançamentos!$D$5:$D$604,Config!$J$8))</f>
        <v>1500</v>
      </c>
      <c r="F48" s="24">
        <f>IF(Config!$J$8="","",SUMIFS(Lançamentos!$G$5:$G$604,Lançamentos!$B$5:$B$604,"Saída",Lançamentos!$I$5:$I$604,"Sim",Lançamentos!$D$5:$D$604,Config!$J$8,Lançamentos!$K$5:$K$604,Config!$B$5))</f>
        <v>0</v>
      </c>
    </row>
    <row r="49">
      <c r="A49" s="23" t="str">
        <f>IF(Config!$J$9="","",Config!$J$9)</f>
        <v>Loja Verde Comércio</v>
      </c>
      <c r="B49" s="24">
        <f>IF(Config!$J$9="","",SUMIFS(Lançamentos!$G$5:$G$604,Lançamentos!$B$5:$B$604,"Entrada",Lançamentos!$I$5:$I$604,"Sim",Lançamentos!$J$5:$J$604,Config!$B$7,Lançamentos!$K$5:$K$604,Config!$B$5,Lançamentos!$D$5:$D$604,Config!$J$9))</f>
        <v>0</v>
      </c>
      <c r="C49" s="24">
        <f>IF(Config!$J$9="","",SUMIFS(Lançamentos!$G$5:$G$604,Lançamentos!$B$5:$B$604,"Entrada",Lançamentos!$I$5:$I$604,"Sim",Lançamentos!$D$5:$D$604,Config!$J$9,Lançamentos!$K$5:$K$604,Config!$B$5))</f>
        <v>3800</v>
      </c>
      <c r="D49" s="25">
        <f>IF(OR(Config!$J$9="",$C$75=0),"",C49/$C$75)</f>
        <v>0.0178747824450821</v>
      </c>
      <c r="E49" s="24">
        <f>IF(Config!$J$9="","",SUMIFS(Lançamentos!$G$5:$G$604,Lançamentos!$B$5:$B$604,"Entrada",Lançamentos!$I$5:$I$604,"Não",Lançamentos!$D$5:$D$604,Config!$J$9))</f>
        <v>2800</v>
      </c>
      <c r="F49" s="24">
        <f>IF(Config!$J$9="","",SUMIFS(Lançamentos!$G$5:$G$604,Lançamentos!$B$5:$B$604,"Saída",Lançamentos!$I$5:$I$604,"Sim",Lançamentos!$D$5:$D$604,Config!$J$9,Lançamentos!$K$5:$K$604,Config!$B$5))</f>
        <v>0</v>
      </c>
    </row>
    <row r="50">
      <c r="A50" s="23" t="str">
        <f>IF(Config!$J$10="","",Config!$J$10)</f>
        <v>Fernanda Castro</v>
      </c>
      <c r="B50" s="24">
        <f>IF(Config!$J$10="","",SUMIFS(Lançamentos!$G$5:$G$604,Lançamentos!$B$5:$B$604,"Entrada",Lançamentos!$I$5:$I$604,"Sim",Lançamentos!$J$5:$J$604,Config!$B$7,Lançamentos!$K$5:$K$604,Config!$B$5,Lançamentos!$D$5:$D$604,Config!$J$10))</f>
        <v>0</v>
      </c>
      <c r="C50" s="24">
        <f>IF(Config!$J$10="","",SUMIFS(Lançamentos!$G$5:$G$604,Lançamentos!$B$5:$B$604,"Entrada",Lançamentos!$I$5:$I$604,"Sim",Lançamentos!$D$5:$D$604,Config!$J$10,Lançamentos!$K$5:$K$604,Config!$B$5))</f>
        <v>1400</v>
      </c>
      <c r="D50" s="25">
        <f>IF(OR(Config!$J$10="",$C$75=0),"",C50/$C$75)</f>
        <v>0.00658544616397761</v>
      </c>
      <c r="E50" s="24">
        <f>IF(Config!$J$10="","",SUMIFS(Lançamentos!$G$5:$G$604,Lançamentos!$B$5:$B$604,"Entrada",Lançamentos!$I$5:$I$604,"Não",Lançamentos!$D$5:$D$604,Config!$J$10))</f>
        <v>1400</v>
      </c>
      <c r="F50" s="24">
        <f>IF(Config!$J$10="","",SUMIFS(Lançamentos!$G$5:$G$604,Lançamentos!$B$5:$B$604,"Saída",Lançamentos!$I$5:$I$604,"Sim",Lançamentos!$D$5:$D$604,Config!$J$10,Lançamentos!$K$5:$K$604,Config!$B$5))</f>
        <v>0</v>
      </c>
    </row>
    <row r="51">
      <c r="A51" s="23" t="str">
        <f>IF(Config!$J$11="","",Config!$J$11)</f>
        <v>Bistrô 42</v>
      </c>
      <c r="B51" s="24">
        <f>IF(Config!$J$11="","",SUMIFS(Lançamentos!$G$5:$G$604,Lançamentos!$B$5:$B$604,"Entrada",Lançamentos!$I$5:$I$604,"Sim",Lançamentos!$J$5:$J$604,Config!$B$7,Lançamentos!$K$5:$K$604,Config!$B$5,Lançamentos!$D$5:$D$604,Config!$J$11))</f>
        <v>0</v>
      </c>
      <c r="C51" s="24">
        <f>IF(Config!$J$11="","",SUMIFS(Lançamentos!$G$5:$G$604,Lançamentos!$B$5:$B$604,"Entrada",Lançamentos!$I$5:$I$604,"Sim",Lançamentos!$D$5:$D$604,Config!$J$11,Lançamentos!$K$5:$K$604,Config!$B$5))</f>
        <v>5300</v>
      </c>
      <c r="D51" s="25">
        <f>IF(OR(Config!$J$11="",$C$75=0),"",C51/$C$75)</f>
        <v>0.0249306176207724</v>
      </c>
      <c r="E51" s="24">
        <f>IF(Config!$J$11="","",SUMIFS(Lançamentos!$G$5:$G$604,Lançamentos!$B$5:$B$604,"Entrada",Lançamentos!$I$5:$I$604,"Não",Lançamentos!$D$5:$D$604,Config!$J$11))</f>
        <v>4200</v>
      </c>
      <c r="F51" s="24">
        <f>IF(Config!$J$11="","",SUMIFS(Lançamentos!$G$5:$G$604,Lançamentos!$B$5:$B$604,"Saída",Lançamentos!$I$5:$I$604,"Sim",Lançamentos!$D$5:$D$604,Config!$J$11,Lançamentos!$K$5:$K$604,Config!$B$5))</f>
        <v>95</v>
      </c>
    </row>
    <row r="52">
      <c r="A52" s="23" t="str">
        <f>IF(Config!$J$12="","",Config!$J$12)</f>
        <v>Roberto Almeida</v>
      </c>
      <c r="B52" s="24">
        <f>IF(Config!$J$12="","",SUMIFS(Lançamentos!$G$5:$G$604,Lançamentos!$B$5:$B$604,"Entrada",Lançamentos!$I$5:$I$604,"Sim",Lançamentos!$J$5:$J$604,Config!$B$7,Lançamentos!$K$5:$K$604,Config!$B$5,Lançamentos!$D$5:$D$604,Config!$J$12))</f>
        <v>0</v>
      </c>
      <c r="C52" s="24">
        <f>IF(Config!$J$12="","",SUMIFS(Lançamentos!$G$5:$G$604,Lançamentos!$B$5:$B$604,"Entrada",Lançamentos!$I$5:$I$604,"Sim",Lançamentos!$D$5:$D$604,Config!$J$12,Lançamentos!$K$5:$K$604,Config!$B$5))</f>
        <v>16510</v>
      </c>
      <c r="D52" s="25">
        <f>IF(OR(Config!$J$12="",$C$75=0),"",C52/$C$75)</f>
        <v>0.0776612258337645</v>
      </c>
      <c r="E52" s="24">
        <f>IF(Config!$J$12="","",SUMIFS(Lançamentos!$G$5:$G$604,Lançamentos!$B$5:$B$604,"Entrada",Lançamentos!$I$5:$I$604,"Não",Lançamentos!$D$5:$D$604,Config!$J$12))</f>
        <v>0</v>
      </c>
      <c r="F52" s="24">
        <f>IF(Config!$J$12="","",SUMIFS(Lançamentos!$G$5:$G$604,Lançamentos!$B$5:$B$604,"Saída",Lançamentos!$I$5:$I$604,"Sim",Lançamentos!$D$5:$D$604,Config!$J$12,Lançamentos!$K$5:$K$604,Config!$B$5))</f>
        <v>310</v>
      </c>
    </row>
    <row r="53">
      <c r="A53" s="23" t="str">
        <f>IF(Config!$J$13="","",Config!$J$13)</f>
        <v>Clínica Bem-Estar</v>
      </c>
      <c r="B53" s="24">
        <f>IF(Config!$J$13="","",SUMIFS(Lançamentos!$G$5:$G$604,Lançamentos!$B$5:$B$604,"Entrada",Lançamentos!$I$5:$I$604,"Sim",Lançamentos!$J$5:$J$604,Config!$B$7,Lançamentos!$K$5:$K$604,Config!$B$5,Lançamentos!$D$5:$D$604,Config!$J$13))</f>
        <v>1620</v>
      </c>
      <c r="C53" s="24">
        <f>IF(Config!$J$13="","",SUMIFS(Lançamentos!$G$5:$G$604,Lançamentos!$B$5:$B$604,"Entrada",Lançamentos!$I$5:$I$604,"Sim",Lançamentos!$D$5:$D$604,Config!$J$13,Lançamentos!$K$5:$K$604,Config!$B$5))</f>
        <v>32760</v>
      </c>
      <c r="D53" s="25">
        <f>IF(OR(Config!$J$13="",$C$75=0),"",C53/$C$75)</f>
        <v>0.154099440237076</v>
      </c>
      <c r="E53" s="24">
        <f>IF(Config!$J$13="","",SUMIFS(Lançamentos!$G$5:$G$604,Lançamentos!$B$5:$B$604,"Entrada",Lançamentos!$I$5:$I$604,"Não",Lançamentos!$D$5:$D$604,Config!$J$13))</f>
        <v>2700</v>
      </c>
      <c r="F53" s="24">
        <f>IF(Config!$J$13="","",SUMIFS(Lançamentos!$G$5:$G$604,Lançamentos!$B$5:$B$604,"Saída",Lançamentos!$I$5:$I$604,"Sim",Lançamentos!$D$5:$D$604,Config!$J$13,Lançamentos!$K$5:$K$604,Config!$B$5))</f>
        <v>0</v>
      </c>
    </row>
    <row r="54">
      <c r="A54" s="23" t="str">
        <f>IF(Config!$J$14="","",Config!$J$14)</f>
        <v>Marcos Vinícius Teles</v>
      </c>
      <c r="B54" s="24">
        <f>IF(Config!$J$14="","",SUMIFS(Lançamentos!$G$5:$G$604,Lançamentos!$B$5:$B$604,"Entrada",Lançamentos!$I$5:$I$604,"Sim",Lançamentos!$J$5:$J$604,Config!$B$7,Lançamentos!$K$5:$K$604,Config!$B$5,Lançamentos!$D$5:$D$604,Config!$J$14))</f>
        <v>1000</v>
      </c>
      <c r="C54" s="24">
        <f>IF(Config!$J$14="","",SUMIFS(Lançamentos!$G$5:$G$604,Lançamentos!$B$5:$B$604,"Entrada",Lançamentos!$I$5:$I$604,"Sim",Lançamentos!$D$5:$D$604,Config!$J$14,Lançamentos!$K$5:$K$604,Config!$B$5))</f>
        <v>14150</v>
      </c>
      <c r="D54" s="25">
        <f>IF(OR(Config!$J$14="",$C$75=0),"",C54/$C$75)</f>
        <v>0.0665600451573451</v>
      </c>
      <c r="E54" s="24">
        <f>IF(Config!$J$14="","",SUMIFS(Lançamentos!$G$5:$G$604,Lançamentos!$B$5:$B$604,"Entrada",Lançamentos!$I$5:$I$604,"Não",Lançamentos!$D$5:$D$604,Config!$J$14))</f>
        <v>2250</v>
      </c>
      <c r="F54" s="24">
        <f>IF(Config!$J$14="","",SUMIFS(Lançamentos!$G$5:$G$604,Lançamentos!$B$5:$B$604,"Saída",Lançamentos!$I$5:$I$604,"Sim",Lançamentos!$D$5:$D$604,Config!$J$14,Lançamentos!$K$5:$K$604,Config!$B$5))</f>
        <v>0</v>
      </c>
    </row>
    <row r="55">
      <c r="A55" s="23" t="str">
        <f>IF(Config!$J$15="","",Config!$J$15)</f>
        <v>Transportadora Rota Sul</v>
      </c>
      <c r="B55" s="24">
        <f>IF(Config!$J$15="","",SUMIFS(Lançamentos!$G$5:$G$604,Lançamentos!$B$5:$B$604,"Entrada",Lançamentos!$I$5:$I$604,"Sim",Lançamentos!$J$5:$J$604,Config!$B$7,Lançamentos!$K$5:$K$604,Config!$B$5,Lançamentos!$D$5:$D$604,Config!$J$15))</f>
        <v>0</v>
      </c>
      <c r="C55" s="24">
        <f>IF(Config!$J$15="","",SUMIFS(Lançamentos!$G$5:$G$604,Lançamentos!$B$5:$B$604,"Entrada",Lançamentos!$I$5:$I$604,"Sim",Lançamentos!$D$5:$D$604,Config!$J$15,Lançamentos!$K$5:$K$604,Config!$B$5))</f>
        <v>12400</v>
      </c>
      <c r="D55" s="25">
        <f>IF(OR(Config!$J$15="",$C$75=0),"",C55/$C$75)</f>
        <v>0.0583282374523731</v>
      </c>
      <c r="E55" s="24">
        <f>IF(Config!$J$15="","",SUMIFS(Lançamentos!$G$5:$G$604,Lançamentos!$B$5:$B$604,"Entrada",Lançamentos!$I$5:$I$604,"Não",Lançamentos!$D$5:$D$604,Config!$J$15))</f>
        <v>0</v>
      </c>
      <c r="F55" s="24">
        <f>IF(Config!$J$15="","",SUMIFS(Lançamentos!$G$5:$G$604,Lançamentos!$B$5:$B$604,"Saída",Lançamentos!$I$5:$I$604,"Sim",Lançamentos!$D$5:$D$604,Config!$J$15,Lançamentos!$K$5:$K$604,Config!$B$5))</f>
        <v>130</v>
      </c>
    </row>
    <row r="56">
      <c r="A56" s="23" t="str">
        <f>IF(Config!$J$16="","",Config!$J$16)</f>
        <v>Patrícia Gomes</v>
      </c>
      <c r="B56" s="24">
        <f>IF(Config!$J$16="","",SUMIFS(Lançamentos!$G$5:$G$604,Lançamentos!$B$5:$B$604,"Entrada",Lançamentos!$I$5:$I$604,"Sim",Lançamentos!$J$5:$J$604,Config!$B$7,Lançamentos!$K$5:$K$604,Config!$B$5,Lançamentos!$D$5:$D$604,Config!$J$16))</f>
        <v>0</v>
      </c>
      <c r="C56" s="24">
        <f>IF(Config!$J$16="","",SUMIFS(Lançamentos!$G$5:$G$604,Lançamentos!$B$5:$B$604,"Entrada",Lançamentos!$I$5:$I$604,"Sim",Lançamentos!$D$5:$D$604,Config!$J$16,Lançamentos!$K$5:$K$604,Config!$B$5))</f>
        <v>13500</v>
      </c>
      <c r="D56" s="25">
        <f>IF(OR(Config!$J$16="",$C$75=0),"",C56/$C$75)</f>
        <v>0.0635025165812127</v>
      </c>
      <c r="E56" s="24">
        <f>IF(Config!$J$16="","",SUMIFS(Lançamentos!$G$5:$G$604,Lançamentos!$B$5:$B$604,"Entrada",Lançamentos!$I$5:$I$604,"Não",Lançamentos!$D$5:$D$604,Config!$J$16))</f>
        <v>2100</v>
      </c>
      <c r="F56" s="24">
        <f>IF(Config!$J$16="","",SUMIFS(Lançamentos!$G$5:$G$604,Lançamentos!$B$5:$B$604,"Saída",Lançamentos!$I$5:$I$604,"Sim",Lançamentos!$D$5:$D$604,Config!$J$16,Lançamentos!$K$5:$K$604,Config!$B$5))</f>
        <v>380</v>
      </c>
    </row>
    <row r="57">
      <c r="A57" s="23" t="str">
        <f>IF(Config!$J$17="","",Config!$J$17)</f>
        <v>Escola Aurora</v>
      </c>
      <c r="B57" s="24">
        <f>IF(Config!$J$17="","",SUMIFS(Lançamentos!$G$5:$G$604,Lançamentos!$B$5:$B$604,"Entrada",Lançamentos!$I$5:$I$604,"Sim",Lançamentos!$J$5:$J$604,Config!$B$7,Lançamentos!$K$5:$K$604,Config!$B$5,Lançamentos!$D$5:$D$604,Config!$J$17))</f>
        <v>1100</v>
      </c>
      <c r="C57" s="24">
        <f>IF(Config!$J$17="","",SUMIFS(Lançamentos!$G$5:$G$604,Lançamentos!$B$5:$B$604,"Entrada",Lançamentos!$I$5:$I$604,"Sim",Lançamentos!$D$5:$D$604,Config!$J$17,Lançamentos!$K$5:$K$604,Config!$B$5))</f>
        <v>3400</v>
      </c>
      <c r="D57" s="25">
        <f>IF(OR(Config!$J$17="",$C$75=0),"",C57/$C$75)</f>
        <v>0.0159932263982313</v>
      </c>
      <c r="E57" s="24">
        <f>IF(Config!$J$17="","",SUMIFS(Lançamentos!$G$5:$G$604,Lançamentos!$B$5:$B$604,"Entrada",Lançamentos!$I$5:$I$604,"Não",Lançamentos!$D$5:$D$604,Config!$J$17))</f>
        <v>0</v>
      </c>
      <c r="F57" s="24">
        <f>IF(Config!$J$17="","",SUMIFS(Lançamentos!$G$5:$G$604,Lançamentos!$B$5:$B$604,"Saída",Lançamentos!$I$5:$I$604,"Sim",Lançamentos!$D$5:$D$604,Config!$J$17,Lançamentos!$K$5:$K$604,Config!$B$5))</f>
        <v>70</v>
      </c>
    </row>
    <row r="58">
      <c r="A58" s="23" t="str">
        <f>IF(Config!$J$18="","",Config!$J$18)</f>
        <v>José Antônio Ribeiro</v>
      </c>
      <c r="B58" s="24">
        <f>IF(Config!$J$18="","",SUMIFS(Lançamentos!$G$5:$G$604,Lançamentos!$B$5:$B$604,"Entrada",Lançamentos!$I$5:$I$604,"Sim",Lançamentos!$J$5:$J$604,Config!$B$7,Lançamentos!$K$5:$K$604,Config!$B$5,Lançamentos!$D$5:$D$604,Config!$J$18))</f>
        <v>0</v>
      </c>
      <c r="C58" s="24">
        <f>IF(Config!$J$18="","",SUMIFS(Lançamentos!$G$5:$G$604,Lançamentos!$B$5:$B$604,"Entrada",Lançamentos!$I$5:$I$604,"Sim",Lançamentos!$D$5:$D$604,Config!$J$18,Lançamentos!$K$5:$K$604,Config!$B$5))</f>
        <v>6000</v>
      </c>
      <c r="D58" s="25">
        <f>IF(OR(Config!$J$18="",$C$75=0),"",C58/$C$75)</f>
        <v>0.0282233407027612</v>
      </c>
      <c r="E58" s="24">
        <f>IF(Config!$J$18="","",SUMIFS(Lançamentos!$G$5:$G$604,Lançamentos!$B$5:$B$604,"Entrada",Lançamentos!$I$5:$I$604,"Não",Lançamentos!$D$5:$D$604,Config!$J$18))</f>
        <v>0</v>
      </c>
      <c r="F58" s="24">
        <f>IF(Config!$J$18="","",SUMIFS(Lançamentos!$G$5:$G$604,Lançamentos!$B$5:$B$604,"Saída",Lançamentos!$I$5:$I$604,"Sim",Lançamentos!$D$5:$D$604,Config!$J$18,Lançamentos!$K$5:$K$604,Config!$B$5))</f>
        <v>260</v>
      </c>
    </row>
    <row r="59">
      <c r="A59" s="23" t="str">
        <f>IF(Config!$J$19="","",Config!$J$19)</f>
        <v>Oficina Mecânica Central</v>
      </c>
      <c r="B59" s="24">
        <f>IF(Config!$J$19="","",SUMIFS(Lançamentos!$G$5:$G$604,Lançamentos!$B$5:$B$604,"Entrada",Lançamentos!$I$5:$I$604,"Sim",Lançamentos!$J$5:$J$604,Config!$B$7,Lançamentos!$K$5:$K$604,Config!$B$5,Lançamentos!$D$5:$D$604,Config!$J$19))</f>
        <v>0</v>
      </c>
      <c r="C59" s="24">
        <f>IF(Config!$J$19="","",SUMIFS(Lançamentos!$G$5:$G$604,Lançamentos!$B$5:$B$604,"Entrada",Lançamentos!$I$5:$I$604,"Sim",Lançamentos!$D$5:$D$604,Config!$J$19,Lançamentos!$K$5:$K$604,Config!$B$5))</f>
        <v>16500</v>
      </c>
      <c r="D59" s="25">
        <f>IF(OR(Config!$J$19="",$C$75=0),"",C59/$C$75)</f>
        <v>0.0776141869325933</v>
      </c>
      <c r="E59" s="24">
        <f>IF(Config!$J$19="","",SUMIFS(Lançamentos!$G$5:$G$604,Lançamentos!$B$5:$B$604,"Entrada",Lançamentos!$I$5:$I$604,"Não",Lançamentos!$D$5:$D$604,Config!$J$19))</f>
        <v>1500</v>
      </c>
      <c r="F59" s="24">
        <f>IF(Config!$J$19="","",SUMIFS(Lançamentos!$G$5:$G$604,Lançamentos!$B$5:$B$604,"Saída",Lançamentos!$I$5:$I$604,"Sim",Lançamentos!$D$5:$D$604,Config!$J$19,Lançamentos!$K$5:$K$604,Config!$B$5))</f>
        <v>310</v>
      </c>
    </row>
    <row r="60">
      <c r="A60" s="23" t="str">
        <f>IF(Config!$J$20="","",Config!$J$20)</f>
        <v>Luciana Farias</v>
      </c>
      <c r="B60" s="24">
        <f>IF(Config!$J$20="","",SUMIFS(Lançamentos!$G$5:$G$604,Lançamentos!$B$5:$B$604,"Entrada",Lançamentos!$I$5:$I$604,"Sim",Lançamentos!$J$5:$J$604,Config!$B$7,Lançamentos!$K$5:$K$604,Config!$B$5,Lançamentos!$D$5:$D$604,Config!$J$20))</f>
        <v>0</v>
      </c>
      <c r="C60" s="24">
        <f>IF(Config!$J$20="","",SUMIFS(Lançamentos!$G$5:$G$604,Lançamentos!$B$5:$B$604,"Entrada",Lançamentos!$I$5:$I$604,"Sim",Lançamentos!$D$5:$D$604,Config!$J$20,Lançamentos!$K$5:$K$604,Config!$B$5))</f>
        <v>15600</v>
      </c>
      <c r="D60" s="25">
        <f>IF(OR(Config!$J$20="",$C$75=0),"",C60/$C$75)</f>
        <v>0.0733806858271791</v>
      </c>
      <c r="E60" s="24">
        <f>IF(Config!$J$20="","",SUMIFS(Lançamentos!$G$5:$G$604,Lançamentos!$B$5:$B$604,"Entrada",Lançamentos!$I$5:$I$604,"Não",Lançamentos!$D$5:$D$604,Config!$J$20))</f>
        <v>0</v>
      </c>
      <c r="F60" s="24">
        <f>IF(Config!$J$20="","",SUMIFS(Lançamentos!$G$5:$G$604,Lançamentos!$B$5:$B$604,"Saída",Lançamentos!$I$5:$I$604,"Sim",Lançamentos!$D$5:$D$604,Config!$J$20,Lançamentos!$K$5:$K$604,Config!$B$5))</f>
        <v>0</v>
      </c>
    </row>
    <row r="61">
      <c r="A61" s="23" t="str">
        <f>IF(Config!$J$21="","",Config!$J$21)</f>
        <v>Agência Prisma</v>
      </c>
      <c r="B61" s="24">
        <f>IF(Config!$J$21="","",SUMIFS(Lançamentos!$G$5:$G$604,Lançamentos!$B$5:$B$604,"Entrada",Lançamentos!$I$5:$I$604,"Sim",Lançamentos!$J$5:$J$604,Config!$B$7,Lançamentos!$K$5:$K$604,Config!$B$5,Lançamentos!$D$5:$D$604,Config!$J$21))</f>
        <v>0</v>
      </c>
      <c r="C61" s="24">
        <f>IF(Config!$J$21="","",SUMIFS(Lançamentos!$G$5:$G$604,Lançamentos!$B$5:$B$604,"Entrada",Lançamentos!$I$5:$I$604,"Sim",Lançamentos!$D$5:$D$604,Config!$J$21,Lançamentos!$K$5:$K$604,Config!$B$5))</f>
        <v>26440</v>
      </c>
      <c r="D61" s="25">
        <f>IF(OR(Config!$J$21="",$C$75=0),"",C61/$C$75)</f>
        <v>0.124370854696834</v>
      </c>
      <c r="E61" s="24">
        <f>IF(Config!$J$21="","",SUMIFS(Lançamentos!$G$5:$G$604,Lançamentos!$B$5:$B$604,"Entrada",Lançamentos!$I$5:$I$604,"Não",Lançamentos!$D$5:$D$604,Config!$J$21))</f>
        <v>3780</v>
      </c>
      <c r="F61" s="24">
        <f>IF(Config!$J$21="","",SUMIFS(Lançamentos!$G$5:$G$604,Lançamentos!$B$5:$B$604,"Saída",Lançamentos!$I$5:$I$604,"Sim",Lançamentos!$D$5:$D$604,Config!$J$21,Lançamentos!$K$5:$K$604,Config!$B$5))</f>
        <v>540</v>
      </c>
    </row>
    <row r="62">
      <c r="A62" s="23" t="str">
        <f>IF(Config!$J$22="","",Config!$J$22)</f>
        <v>Helena Duarte</v>
      </c>
      <c r="B62" s="24">
        <f>IF(Config!$J$22="","",SUMIFS(Lançamentos!$G$5:$G$604,Lançamentos!$B$5:$B$604,"Entrada",Lançamentos!$I$5:$I$604,"Sim",Lançamentos!$J$5:$J$604,Config!$B$7,Lançamentos!$K$5:$K$604,Config!$B$5,Lançamentos!$D$5:$D$604,Config!$J$22))</f>
        <v>0</v>
      </c>
      <c r="C62" s="24">
        <f>IF(Config!$J$22="","",SUMIFS(Lançamentos!$G$5:$G$604,Lançamentos!$B$5:$B$604,"Entrada",Lançamentos!$I$5:$I$604,"Sim",Lançamentos!$D$5:$D$604,Config!$J$22,Lançamentos!$K$5:$K$604,Config!$B$5))</f>
        <v>4500</v>
      </c>
      <c r="D62" s="25">
        <f>IF(OR(Config!$J$22="",$C$75=0),"",C62/$C$75)</f>
        <v>0.0211675055270709</v>
      </c>
      <c r="E62" s="24">
        <f>IF(Config!$J$22="","",SUMIFS(Lançamentos!$G$5:$G$604,Lançamentos!$B$5:$B$604,"Entrada",Lançamentos!$I$5:$I$604,"Não",Lançamentos!$D$5:$D$604,Config!$J$22))</f>
        <v>3000</v>
      </c>
      <c r="F62" s="24">
        <f>IF(Config!$J$22="","",SUMIFS(Lançamentos!$G$5:$G$604,Lançamentos!$B$5:$B$604,"Saída",Lançamentos!$I$5:$I$604,"Sim",Lançamentos!$D$5:$D$604,Config!$J$22,Lançamentos!$K$5:$K$604,Config!$B$5))</f>
        <v>0</v>
      </c>
    </row>
    <row r="63">
      <c r="A63" s="23">
        <f>IF(Config!$J$23="","",Config!$J$23)</f>
        <v/>
      </c>
      <c r="B63" s="24">
        <f>IF(Config!$J$23="","",SUMIFS(Lançamentos!$G$5:$G$604,Lançamentos!$B$5:$B$604,"Entrada",Lançamentos!$I$5:$I$604,"Sim",Lançamentos!$J$5:$J$604,Config!$B$7,Lançamentos!$K$5:$K$604,Config!$B$5,Lançamentos!$D$5:$D$604,Config!$J$23))</f>
        <v/>
      </c>
      <c r="C63" s="24">
        <f>IF(Config!$J$23="","",SUMIFS(Lançamentos!$G$5:$G$604,Lançamentos!$B$5:$B$604,"Entrada",Lançamentos!$I$5:$I$604,"Sim",Lançamentos!$D$5:$D$604,Config!$J$23,Lançamentos!$K$5:$K$604,Config!$B$5))</f>
        <v/>
      </c>
      <c r="D63" s="25">
        <f>IF(OR(Config!$J$23="",$C$75=0),"",C63/$C$75)</f>
        <v/>
      </c>
      <c r="E63" s="24">
        <f>IF(Config!$J$23="","",SUMIFS(Lançamentos!$G$5:$G$604,Lançamentos!$B$5:$B$604,"Entrada",Lançamentos!$I$5:$I$604,"Não",Lançamentos!$D$5:$D$604,Config!$J$23))</f>
        <v/>
      </c>
      <c r="F63" s="24">
        <f>IF(Config!$J$23="","",SUMIFS(Lançamentos!$G$5:$G$604,Lançamentos!$B$5:$B$604,"Saída",Lançamentos!$I$5:$I$604,"Sim",Lançamentos!$D$5:$D$604,Config!$J$23,Lançamentos!$K$5:$K$604,Config!$B$5))</f>
        <v/>
      </c>
    </row>
    <row r="64">
      <c r="A64" s="23">
        <f>IF(Config!$J$24="","",Config!$J$24)</f>
        <v/>
      </c>
      <c r="B64" s="24">
        <f>IF(Config!$J$24="","",SUMIFS(Lançamentos!$G$5:$G$604,Lançamentos!$B$5:$B$604,"Entrada",Lançamentos!$I$5:$I$604,"Sim",Lançamentos!$J$5:$J$604,Config!$B$7,Lançamentos!$K$5:$K$604,Config!$B$5,Lançamentos!$D$5:$D$604,Config!$J$24))</f>
        <v/>
      </c>
      <c r="C64" s="24">
        <f>IF(Config!$J$24="","",SUMIFS(Lançamentos!$G$5:$G$604,Lançamentos!$B$5:$B$604,"Entrada",Lançamentos!$I$5:$I$604,"Sim",Lançamentos!$D$5:$D$604,Config!$J$24,Lançamentos!$K$5:$K$604,Config!$B$5))</f>
        <v/>
      </c>
      <c r="D64" s="25">
        <f>IF(OR(Config!$J$24="",$C$75=0),"",C64/$C$75)</f>
        <v/>
      </c>
      <c r="E64" s="24">
        <f>IF(Config!$J$24="","",SUMIFS(Lançamentos!$G$5:$G$604,Lançamentos!$B$5:$B$604,"Entrada",Lançamentos!$I$5:$I$604,"Não",Lançamentos!$D$5:$D$604,Config!$J$24))</f>
        <v/>
      </c>
      <c r="F64" s="24">
        <f>IF(Config!$J$24="","",SUMIFS(Lançamentos!$G$5:$G$604,Lançamentos!$B$5:$B$604,"Saída",Lançamentos!$I$5:$I$604,"Sim",Lançamentos!$D$5:$D$604,Config!$J$24,Lançamentos!$K$5:$K$604,Config!$B$5))</f>
        <v/>
      </c>
    </row>
    <row r="65">
      <c r="A65" s="23">
        <f>IF(Config!$J$25="","",Config!$J$25)</f>
        <v/>
      </c>
      <c r="B65" s="24">
        <f>IF(Config!$J$25="","",SUMIFS(Lançamentos!$G$5:$G$604,Lançamentos!$B$5:$B$604,"Entrada",Lançamentos!$I$5:$I$604,"Sim",Lançamentos!$J$5:$J$604,Config!$B$7,Lançamentos!$K$5:$K$604,Config!$B$5,Lançamentos!$D$5:$D$604,Config!$J$25))</f>
        <v/>
      </c>
      <c r="C65" s="24">
        <f>IF(Config!$J$25="","",SUMIFS(Lançamentos!$G$5:$G$604,Lançamentos!$B$5:$B$604,"Entrada",Lançamentos!$I$5:$I$604,"Sim",Lançamentos!$D$5:$D$604,Config!$J$25,Lançamentos!$K$5:$K$604,Config!$B$5))</f>
        <v/>
      </c>
      <c r="D65" s="25">
        <f>IF(OR(Config!$J$25="",$C$75=0),"",C65/$C$75)</f>
        <v/>
      </c>
      <c r="E65" s="24">
        <f>IF(Config!$J$25="","",SUMIFS(Lançamentos!$G$5:$G$604,Lançamentos!$B$5:$B$604,"Entrada",Lançamentos!$I$5:$I$604,"Não",Lançamentos!$D$5:$D$604,Config!$J$25))</f>
        <v/>
      </c>
      <c r="F65" s="24">
        <f>IF(Config!$J$25="","",SUMIFS(Lançamentos!$G$5:$G$604,Lançamentos!$B$5:$B$604,"Saída",Lançamentos!$I$5:$I$604,"Sim",Lançamentos!$D$5:$D$604,Config!$J$25,Lançamentos!$K$5:$K$604,Config!$B$5))</f>
        <v/>
      </c>
    </row>
    <row r="66">
      <c r="A66" s="23">
        <f>IF(Config!$J$26="","",Config!$J$26)</f>
        <v/>
      </c>
      <c r="B66" s="24">
        <f>IF(Config!$J$26="","",SUMIFS(Lançamentos!$G$5:$G$604,Lançamentos!$B$5:$B$604,"Entrada",Lançamentos!$I$5:$I$604,"Sim",Lançamentos!$J$5:$J$604,Config!$B$7,Lançamentos!$K$5:$K$604,Config!$B$5,Lançamentos!$D$5:$D$604,Config!$J$26))</f>
        <v/>
      </c>
      <c r="C66" s="24">
        <f>IF(Config!$J$26="","",SUMIFS(Lançamentos!$G$5:$G$604,Lançamentos!$B$5:$B$604,"Entrada",Lançamentos!$I$5:$I$604,"Sim",Lançamentos!$D$5:$D$604,Config!$J$26,Lançamentos!$K$5:$K$604,Config!$B$5))</f>
        <v/>
      </c>
      <c r="D66" s="25">
        <f>IF(OR(Config!$J$26="",$C$75=0),"",C66/$C$75)</f>
        <v/>
      </c>
      <c r="E66" s="24">
        <f>IF(Config!$J$26="","",SUMIFS(Lançamentos!$G$5:$G$604,Lançamentos!$B$5:$B$604,"Entrada",Lançamentos!$I$5:$I$604,"Não",Lançamentos!$D$5:$D$604,Config!$J$26))</f>
        <v/>
      </c>
      <c r="F66" s="24">
        <f>IF(Config!$J$26="","",SUMIFS(Lançamentos!$G$5:$G$604,Lançamentos!$B$5:$B$604,"Saída",Lançamentos!$I$5:$I$604,"Sim",Lançamentos!$D$5:$D$604,Config!$J$26,Lançamentos!$K$5:$K$604,Config!$B$5))</f>
        <v/>
      </c>
    </row>
    <row r="67">
      <c r="A67" s="23">
        <f>IF(Config!$J$27="","",Config!$J$27)</f>
        <v/>
      </c>
      <c r="B67" s="24">
        <f>IF(Config!$J$27="","",SUMIFS(Lançamentos!$G$5:$G$604,Lançamentos!$B$5:$B$604,"Entrada",Lançamentos!$I$5:$I$604,"Sim",Lançamentos!$J$5:$J$604,Config!$B$7,Lançamentos!$K$5:$K$604,Config!$B$5,Lançamentos!$D$5:$D$604,Config!$J$27))</f>
        <v/>
      </c>
      <c r="C67" s="24">
        <f>IF(Config!$J$27="","",SUMIFS(Lançamentos!$G$5:$G$604,Lançamentos!$B$5:$B$604,"Entrada",Lançamentos!$I$5:$I$604,"Sim",Lançamentos!$D$5:$D$604,Config!$J$27,Lançamentos!$K$5:$K$604,Config!$B$5))</f>
        <v/>
      </c>
      <c r="D67" s="25">
        <f>IF(OR(Config!$J$27="",$C$75=0),"",C67/$C$75)</f>
        <v/>
      </c>
      <c r="E67" s="24">
        <f>IF(Config!$J$27="","",SUMIFS(Lançamentos!$G$5:$G$604,Lançamentos!$B$5:$B$604,"Entrada",Lançamentos!$I$5:$I$604,"Não",Lançamentos!$D$5:$D$604,Config!$J$27))</f>
        <v/>
      </c>
      <c r="F67" s="24">
        <f>IF(Config!$J$27="","",SUMIFS(Lançamentos!$G$5:$G$604,Lançamentos!$B$5:$B$604,"Saída",Lançamentos!$I$5:$I$604,"Sim",Lançamentos!$D$5:$D$604,Config!$J$27,Lançamentos!$K$5:$K$604,Config!$B$5))</f>
        <v/>
      </c>
    </row>
    <row r="68">
      <c r="A68" s="23">
        <f>IF(Config!$J$28="","",Config!$J$28)</f>
        <v/>
      </c>
      <c r="B68" s="24">
        <f>IF(Config!$J$28="","",SUMIFS(Lançamentos!$G$5:$G$604,Lançamentos!$B$5:$B$604,"Entrada",Lançamentos!$I$5:$I$604,"Sim",Lançamentos!$J$5:$J$604,Config!$B$7,Lançamentos!$K$5:$K$604,Config!$B$5,Lançamentos!$D$5:$D$604,Config!$J$28))</f>
        <v/>
      </c>
      <c r="C68" s="24">
        <f>IF(Config!$J$28="","",SUMIFS(Lançamentos!$G$5:$G$604,Lançamentos!$B$5:$B$604,"Entrada",Lançamentos!$I$5:$I$604,"Sim",Lançamentos!$D$5:$D$604,Config!$J$28,Lançamentos!$K$5:$K$604,Config!$B$5))</f>
        <v/>
      </c>
      <c r="D68" s="25">
        <f>IF(OR(Config!$J$28="",$C$75=0),"",C68/$C$75)</f>
        <v/>
      </c>
      <c r="E68" s="24">
        <f>IF(Config!$J$28="","",SUMIFS(Lançamentos!$G$5:$G$604,Lançamentos!$B$5:$B$604,"Entrada",Lançamentos!$I$5:$I$604,"Não",Lançamentos!$D$5:$D$604,Config!$J$28))</f>
        <v/>
      </c>
      <c r="F68" s="24">
        <f>IF(Config!$J$28="","",SUMIFS(Lançamentos!$G$5:$G$604,Lançamentos!$B$5:$B$604,"Saída",Lançamentos!$I$5:$I$604,"Sim",Lançamentos!$D$5:$D$604,Config!$J$28,Lançamentos!$K$5:$K$604,Config!$B$5))</f>
        <v/>
      </c>
    </row>
    <row r="69">
      <c r="A69" s="23">
        <f>IF(Config!$J$29="","",Config!$J$29)</f>
        <v/>
      </c>
      <c r="B69" s="24">
        <f>IF(Config!$J$29="","",SUMIFS(Lançamentos!$G$5:$G$604,Lançamentos!$B$5:$B$604,"Entrada",Lançamentos!$I$5:$I$604,"Sim",Lançamentos!$J$5:$J$604,Config!$B$7,Lançamentos!$K$5:$K$604,Config!$B$5,Lançamentos!$D$5:$D$604,Config!$J$29))</f>
        <v/>
      </c>
      <c r="C69" s="24">
        <f>IF(Config!$J$29="","",SUMIFS(Lançamentos!$G$5:$G$604,Lançamentos!$B$5:$B$604,"Entrada",Lançamentos!$I$5:$I$604,"Sim",Lançamentos!$D$5:$D$604,Config!$J$29,Lançamentos!$K$5:$K$604,Config!$B$5))</f>
        <v/>
      </c>
      <c r="D69" s="25">
        <f>IF(OR(Config!$J$29="",$C$75=0),"",C69/$C$75)</f>
        <v/>
      </c>
      <c r="E69" s="24">
        <f>IF(Config!$J$29="","",SUMIFS(Lançamentos!$G$5:$G$604,Lançamentos!$B$5:$B$604,"Entrada",Lançamentos!$I$5:$I$604,"Não",Lançamentos!$D$5:$D$604,Config!$J$29))</f>
        <v/>
      </c>
      <c r="F69" s="24">
        <f>IF(Config!$J$29="","",SUMIFS(Lançamentos!$G$5:$G$604,Lançamentos!$B$5:$B$604,"Saída",Lançamentos!$I$5:$I$604,"Sim",Lançamentos!$D$5:$D$604,Config!$J$29,Lançamentos!$K$5:$K$604,Config!$B$5))</f>
        <v/>
      </c>
    </row>
    <row r="70">
      <c r="A70" s="23">
        <f>IF(Config!$J$30="","",Config!$J$30)</f>
        <v/>
      </c>
      <c r="B70" s="24">
        <f>IF(Config!$J$30="","",SUMIFS(Lançamentos!$G$5:$G$604,Lançamentos!$B$5:$B$604,"Entrada",Lançamentos!$I$5:$I$604,"Sim",Lançamentos!$J$5:$J$604,Config!$B$7,Lançamentos!$K$5:$K$604,Config!$B$5,Lançamentos!$D$5:$D$604,Config!$J$30))</f>
        <v/>
      </c>
      <c r="C70" s="24">
        <f>IF(Config!$J$30="","",SUMIFS(Lançamentos!$G$5:$G$604,Lançamentos!$B$5:$B$604,"Entrada",Lançamentos!$I$5:$I$604,"Sim",Lançamentos!$D$5:$D$604,Config!$J$30,Lançamentos!$K$5:$K$604,Config!$B$5))</f>
        <v/>
      </c>
      <c r="D70" s="25">
        <f>IF(OR(Config!$J$30="",$C$75=0),"",C70/$C$75)</f>
        <v/>
      </c>
      <c r="E70" s="24">
        <f>IF(Config!$J$30="","",SUMIFS(Lançamentos!$G$5:$G$604,Lançamentos!$B$5:$B$604,"Entrada",Lançamentos!$I$5:$I$604,"Não",Lançamentos!$D$5:$D$604,Config!$J$30))</f>
        <v/>
      </c>
      <c r="F70" s="24">
        <f>IF(Config!$J$30="","",SUMIFS(Lançamentos!$G$5:$G$604,Lançamentos!$B$5:$B$604,"Saída",Lançamentos!$I$5:$I$604,"Sim",Lançamentos!$D$5:$D$604,Config!$J$30,Lançamentos!$K$5:$K$604,Config!$B$5))</f>
        <v/>
      </c>
    </row>
    <row r="71">
      <c r="A71" s="23">
        <f>IF(Config!$J$31="","",Config!$J$31)</f>
        <v/>
      </c>
      <c r="B71" s="24">
        <f>IF(Config!$J$31="","",SUMIFS(Lançamentos!$G$5:$G$604,Lançamentos!$B$5:$B$604,"Entrada",Lançamentos!$I$5:$I$604,"Sim",Lançamentos!$J$5:$J$604,Config!$B$7,Lançamentos!$K$5:$K$604,Config!$B$5,Lançamentos!$D$5:$D$604,Config!$J$31))</f>
        <v/>
      </c>
      <c r="C71" s="24">
        <f>IF(Config!$J$31="","",SUMIFS(Lançamentos!$G$5:$G$604,Lançamentos!$B$5:$B$604,"Entrada",Lançamentos!$I$5:$I$604,"Sim",Lançamentos!$D$5:$D$604,Config!$J$31,Lançamentos!$K$5:$K$604,Config!$B$5))</f>
        <v/>
      </c>
      <c r="D71" s="25">
        <f>IF(OR(Config!$J$31="",$C$75=0),"",C71/$C$75)</f>
        <v/>
      </c>
      <c r="E71" s="24">
        <f>IF(Config!$J$31="","",SUMIFS(Lançamentos!$G$5:$G$604,Lançamentos!$B$5:$B$604,"Entrada",Lançamentos!$I$5:$I$604,"Não",Lançamentos!$D$5:$D$604,Config!$J$31))</f>
        <v/>
      </c>
      <c r="F71" s="24">
        <f>IF(Config!$J$31="","",SUMIFS(Lançamentos!$G$5:$G$604,Lançamentos!$B$5:$B$604,"Saída",Lançamentos!$I$5:$I$604,"Sim",Lançamentos!$D$5:$D$604,Config!$J$31,Lançamentos!$K$5:$K$604,Config!$B$5))</f>
        <v/>
      </c>
    </row>
    <row r="72">
      <c r="A72" s="23">
        <f>IF(Config!$J$32="","",Config!$J$32)</f>
        <v/>
      </c>
      <c r="B72" s="24">
        <f>IF(Config!$J$32="","",SUMIFS(Lançamentos!$G$5:$G$604,Lançamentos!$B$5:$B$604,"Entrada",Lançamentos!$I$5:$I$604,"Sim",Lançamentos!$J$5:$J$604,Config!$B$7,Lançamentos!$K$5:$K$604,Config!$B$5,Lançamentos!$D$5:$D$604,Config!$J$32))</f>
        <v/>
      </c>
      <c r="C72" s="24">
        <f>IF(Config!$J$32="","",SUMIFS(Lançamentos!$G$5:$G$604,Lançamentos!$B$5:$B$604,"Entrada",Lançamentos!$I$5:$I$604,"Sim",Lançamentos!$D$5:$D$604,Config!$J$32,Lançamentos!$K$5:$K$604,Config!$B$5))</f>
        <v/>
      </c>
      <c r="D72" s="25">
        <f>IF(OR(Config!$J$32="",$C$75=0),"",C72/$C$75)</f>
        <v/>
      </c>
      <c r="E72" s="24">
        <f>IF(Config!$J$32="","",SUMIFS(Lançamentos!$G$5:$G$604,Lançamentos!$B$5:$B$604,"Entrada",Lançamentos!$I$5:$I$604,"Não",Lançamentos!$D$5:$D$604,Config!$J$32))</f>
        <v/>
      </c>
      <c r="F72" s="24">
        <f>IF(Config!$J$32="","",SUMIFS(Lançamentos!$G$5:$G$604,Lançamentos!$B$5:$B$604,"Saída",Lançamentos!$I$5:$I$604,"Sim",Lançamentos!$D$5:$D$604,Config!$J$32,Lançamentos!$K$5:$K$604,Config!$B$5))</f>
        <v/>
      </c>
    </row>
    <row r="73">
      <c r="A73" s="23">
        <f>IF(Config!$J$33="","",Config!$J$33)</f>
        <v/>
      </c>
      <c r="B73" s="24">
        <f>IF(Config!$J$33="","",SUMIFS(Lançamentos!$G$5:$G$604,Lançamentos!$B$5:$B$604,"Entrada",Lançamentos!$I$5:$I$604,"Sim",Lançamentos!$J$5:$J$604,Config!$B$7,Lançamentos!$K$5:$K$604,Config!$B$5,Lançamentos!$D$5:$D$604,Config!$J$33))</f>
        <v/>
      </c>
      <c r="C73" s="24">
        <f>IF(Config!$J$33="","",SUMIFS(Lançamentos!$G$5:$G$604,Lançamentos!$B$5:$B$604,"Entrada",Lançamentos!$I$5:$I$604,"Sim",Lançamentos!$D$5:$D$604,Config!$J$33,Lançamentos!$K$5:$K$604,Config!$B$5))</f>
        <v/>
      </c>
      <c r="D73" s="25">
        <f>IF(OR(Config!$J$33="",$C$75=0),"",C73/$C$75)</f>
        <v/>
      </c>
      <c r="E73" s="24">
        <f>IF(Config!$J$33="","",SUMIFS(Lançamentos!$G$5:$G$604,Lançamentos!$B$5:$B$604,"Entrada",Lançamentos!$I$5:$I$604,"Não",Lançamentos!$D$5:$D$604,Config!$J$33))</f>
        <v/>
      </c>
      <c r="F73" s="24">
        <f>IF(Config!$J$33="","",SUMIFS(Lançamentos!$G$5:$G$604,Lançamentos!$B$5:$B$604,"Saída",Lançamentos!$I$5:$I$604,"Sim",Lançamentos!$D$5:$D$604,Config!$J$33,Lançamentos!$K$5:$K$604,Config!$B$5))</f>
        <v/>
      </c>
    </row>
    <row r="74">
      <c r="A74" s="23">
        <f>IF(Config!$J$34="","",Config!$J$34)</f>
        <v/>
      </c>
      <c r="B74" s="24">
        <f>IF(Config!$J$34="","",SUMIFS(Lançamentos!$G$5:$G$604,Lançamentos!$B$5:$B$604,"Entrada",Lançamentos!$I$5:$I$604,"Sim",Lançamentos!$J$5:$J$604,Config!$B$7,Lançamentos!$K$5:$K$604,Config!$B$5,Lançamentos!$D$5:$D$604,Config!$J$34))</f>
        <v/>
      </c>
      <c r="C74" s="24">
        <f>IF(Config!$J$34="","",SUMIFS(Lançamentos!$G$5:$G$604,Lançamentos!$B$5:$B$604,"Entrada",Lançamentos!$I$5:$I$604,"Sim",Lançamentos!$D$5:$D$604,Config!$J$34,Lançamentos!$K$5:$K$604,Config!$B$5))</f>
        <v/>
      </c>
      <c r="D74" s="25">
        <f>IF(OR(Config!$J$34="",$C$75=0),"",C74/$C$75)</f>
        <v/>
      </c>
      <c r="E74" s="24">
        <f>IF(Config!$J$34="","",SUMIFS(Lançamentos!$G$5:$G$604,Lançamentos!$B$5:$B$604,"Entrada",Lançamentos!$I$5:$I$604,"Não",Lançamentos!$D$5:$D$604,Config!$J$34))</f>
        <v/>
      </c>
      <c r="F74" s="24">
        <f>IF(Config!$J$34="","",SUMIFS(Lançamentos!$G$5:$G$604,Lançamentos!$B$5:$B$604,"Saída",Lançamentos!$I$5:$I$604,"Sim",Lançamentos!$D$5:$D$604,Config!$J$34,Lançamentos!$K$5:$K$604,Config!$B$5))</f>
        <v/>
      </c>
    </row>
    <row r="75">
      <c r="A75" s="27" t="inlineStr">
        <is>
          <t>Total</t>
        </is>
      </c>
      <c r="B75" s="28">
        <f>SUM(B45:B74)</f>
        <v>5220</v>
      </c>
      <c r="C75" s="28">
        <f>SUM(C45:C74)</f>
        <v>212590</v>
      </c>
      <c r="E75" s="28">
        <f>SUM(E45:E74)</f>
        <v>27330</v>
      </c>
      <c r="F75" s="28">
        <f>SUM(F45:F74)</f>
        <v>2875</v>
      </c>
    </row>
    <row r="76">
      <c r="A76" s="29" t="inlineStr">
        <is>
          <t>Lançamentos sem cliente (aluguel, pró-labore, impostos) não aparecem aqui; estão em "Para onde foi o dinheiro".</t>
        </is>
      </c>
    </row>
    <row r="78">
      <c r="A78" s="19" t="inlineStr">
        <is>
          <t>O ano, mês a mês</t>
        </is>
      </c>
    </row>
    <row r="79" ht="26" customHeight="1">
      <c r="A79" s="20" t="inlineStr">
        <is>
          <t>Mês</t>
        </is>
      </c>
      <c r="B79" s="20" t="inlineStr">
        <is>
          <t>Entrou</t>
        </is>
      </c>
      <c r="C79" s="20" t="inlineStr">
        <is>
          <t>Saiu</t>
        </is>
      </c>
      <c r="D79" s="20" t="inlineStr">
        <is>
          <t>Sobrou</t>
        </is>
      </c>
      <c r="E79" s="20" t="inlineStr">
        <is>
          <t>Saldo ao fim do mês</t>
        </is>
      </c>
    </row>
    <row r="80">
      <c r="A80" s="23" t="inlineStr">
        <is>
          <t>Janeiro</t>
        </is>
      </c>
      <c r="B80" s="24">
        <f>SUMIFS(Lançamentos!$G$5:$G$604,Lançamentos!$B$5:$B$604,"Entrada",Lançamentos!$I$5:$I$604,"Sim",Lançamentos!$J$5:$J$604,1,Lançamentos!$K$5:$K$604,Config!$B$5)</f>
        <v>21050</v>
      </c>
      <c r="C80" s="24">
        <f>SUMIFS(Lançamentos!$G$5:$G$604,Lançamentos!$B$5:$B$604,"Saída",Lançamentos!$I$5:$I$604,"Sim",Lançamentos!$J$5:$J$604,1,Lançamentos!$K$5:$K$604,Config!$B$5)</f>
        <v>20408</v>
      </c>
      <c r="D80" s="24">
        <f>B80-C80</f>
        <v>642</v>
      </c>
      <c r="E80" s="24">
        <f>Config!$B$8+SUMIFS(Lançamentos!$G$5:$G$604,Lançamentos!$B$5:$B$604,"Entrada",Lançamentos!$I$5:$I$604,"Sim",Lançamentos!$A$5:$A$604,"&lt;="&amp;DATE(Config!$B$5,2,0))-SUMIFS(Lançamentos!$G$5:$G$604,Lançamentos!$B$5:$B$604,"Saída",Lançamentos!$I$5:$I$604,"Sim",Lançamentos!$A$5:$A$604,"&lt;="&amp;DATE(Config!$B$5,2,0))</f>
        <v>22642</v>
      </c>
    </row>
    <row r="81">
      <c r="A81" s="23" t="inlineStr">
        <is>
          <t>Fevereiro</t>
        </is>
      </c>
      <c r="B81" s="24">
        <f>SUMIFS(Lançamentos!$G$5:$G$604,Lançamentos!$B$5:$B$604,"Entrada",Lançamentos!$I$5:$I$604,"Sim",Lançamentos!$J$5:$J$604,2,Lançamentos!$K$5:$K$604,Config!$B$5)</f>
        <v>23070</v>
      </c>
      <c r="C81" s="24">
        <f>SUMIFS(Lançamentos!$G$5:$G$604,Lançamentos!$B$5:$B$604,"Saída",Lançamentos!$I$5:$I$604,"Sim",Lançamentos!$J$5:$J$604,2,Lançamentos!$K$5:$K$604,Config!$B$5)</f>
        <v>21684</v>
      </c>
      <c r="D81" s="24">
        <f>B81-C81</f>
        <v>1386</v>
      </c>
      <c r="E81" s="24">
        <f>Config!$B$8+SUMIFS(Lançamentos!$G$5:$G$604,Lançamentos!$B$5:$B$604,"Entrada",Lançamentos!$I$5:$I$604,"Sim",Lançamentos!$A$5:$A$604,"&lt;="&amp;DATE(Config!$B$5,3,0))-SUMIFS(Lançamentos!$G$5:$G$604,Lançamentos!$B$5:$B$604,"Saída",Lançamentos!$I$5:$I$604,"Sim",Lançamentos!$A$5:$A$604,"&lt;="&amp;DATE(Config!$B$5,3,0))</f>
        <v>24028</v>
      </c>
    </row>
    <row r="82">
      <c r="A82" s="23" t="inlineStr">
        <is>
          <t>Março</t>
        </is>
      </c>
      <c r="B82" s="24">
        <f>SUMIFS(Lançamentos!$G$5:$G$604,Lançamentos!$B$5:$B$604,"Entrada",Lançamentos!$I$5:$I$604,"Sim",Lançamentos!$J$5:$J$604,3,Lançamentos!$K$5:$K$604,Config!$B$5)</f>
        <v>28590</v>
      </c>
      <c r="C82" s="24">
        <f>SUMIFS(Lançamentos!$G$5:$G$604,Lançamentos!$B$5:$B$604,"Saída",Lançamentos!$I$5:$I$604,"Sim",Lançamentos!$J$5:$J$604,3,Lançamentos!$K$5:$K$604,Config!$B$5)</f>
        <v>22276</v>
      </c>
      <c r="D82" s="24">
        <f>B82-C82</f>
        <v>6314</v>
      </c>
      <c r="E82" s="24">
        <f>Config!$B$8+SUMIFS(Lançamentos!$G$5:$G$604,Lançamentos!$B$5:$B$604,"Entrada",Lançamentos!$I$5:$I$604,"Sim",Lançamentos!$A$5:$A$604,"&lt;="&amp;DATE(Config!$B$5,4,0))-SUMIFS(Lançamentos!$G$5:$G$604,Lançamentos!$B$5:$B$604,"Saída",Lançamentos!$I$5:$I$604,"Sim",Lançamentos!$A$5:$A$604,"&lt;="&amp;DATE(Config!$B$5,4,0))</f>
        <v>30342</v>
      </c>
    </row>
    <row r="83">
      <c r="A83" s="23" t="inlineStr">
        <is>
          <t>Abril</t>
        </is>
      </c>
      <c r="B83" s="24">
        <f>SUMIFS(Lançamentos!$G$5:$G$604,Lançamentos!$B$5:$B$604,"Entrada",Lançamentos!$I$5:$I$604,"Sim",Lançamentos!$J$5:$J$604,4,Lançamentos!$K$5:$K$604,Config!$B$5)</f>
        <v>20240</v>
      </c>
      <c r="C83" s="24">
        <f>SUMIFS(Lançamentos!$G$5:$G$604,Lançamentos!$B$5:$B$604,"Saída",Lançamentos!$I$5:$I$604,"Sim",Lançamentos!$J$5:$J$604,4,Lançamentos!$K$5:$K$604,Config!$B$5)</f>
        <v>26638</v>
      </c>
      <c r="D83" s="24">
        <f>B83-C83</f>
        <v>-6398</v>
      </c>
      <c r="E83" s="24">
        <f>Config!$B$8+SUMIFS(Lançamentos!$G$5:$G$604,Lançamentos!$B$5:$B$604,"Entrada",Lançamentos!$I$5:$I$604,"Sim",Lançamentos!$A$5:$A$604,"&lt;="&amp;DATE(Config!$B$5,5,0))-SUMIFS(Lançamentos!$G$5:$G$604,Lançamentos!$B$5:$B$604,"Saída",Lançamentos!$I$5:$I$604,"Sim",Lançamentos!$A$5:$A$604,"&lt;="&amp;DATE(Config!$B$5,5,0))</f>
        <v>23944</v>
      </c>
    </row>
    <row r="84">
      <c r="A84" s="23" t="inlineStr">
        <is>
          <t>Maio</t>
        </is>
      </c>
      <c r="B84" s="24">
        <f>SUMIFS(Lançamentos!$G$5:$G$604,Lançamentos!$B$5:$B$604,"Entrada",Lançamentos!$I$5:$I$604,"Sim",Lançamentos!$J$5:$J$604,5,Lançamentos!$K$5:$K$604,Config!$B$5)</f>
        <v>31120</v>
      </c>
      <c r="C84" s="24">
        <f>SUMIFS(Lançamentos!$G$5:$G$604,Lançamentos!$B$5:$B$604,"Saída",Lançamentos!$I$5:$I$604,"Sim",Lançamentos!$J$5:$J$604,5,Lançamentos!$K$5:$K$604,Config!$B$5)</f>
        <v>21181</v>
      </c>
      <c r="D84" s="24">
        <f>B84-C84</f>
        <v>9939</v>
      </c>
      <c r="E84" s="24">
        <f>Config!$B$8+SUMIFS(Lançamentos!$G$5:$G$604,Lançamentos!$B$5:$B$604,"Entrada",Lançamentos!$I$5:$I$604,"Sim",Lançamentos!$A$5:$A$604,"&lt;="&amp;DATE(Config!$B$5,6,0))-SUMIFS(Lançamentos!$G$5:$G$604,Lançamentos!$B$5:$B$604,"Saída",Lançamentos!$I$5:$I$604,"Sim",Lançamentos!$A$5:$A$604,"&lt;="&amp;DATE(Config!$B$5,6,0))</f>
        <v>33883</v>
      </c>
    </row>
    <row r="85">
      <c r="A85" s="23" t="inlineStr">
        <is>
          <t>Junho</t>
        </is>
      </c>
      <c r="B85" s="24">
        <f>SUMIFS(Lançamentos!$G$5:$G$604,Lançamentos!$B$5:$B$604,"Entrada",Lançamentos!$I$5:$I$604,"Sim",Lançamentos!$J$5:$J$604,6,Lançamentos!$K$5:$K$604,Config!$B$5)</f>
        <v>27420</v>
      </c>
      <c r="C85" s="24">
        <f>SUMIFS(Lançamentos!$G$5:$G$604,Lançamentos!$B$5:$B$604,"Saída",Lançamentos!$I$5:$I$604,"Sim",Lançamentos!$J$5:$J$604,6,Lançamentos!$K$5:$K$604,Config!$B$5)</f>
        <v>23085</v>
      </c>
      <c r="D85" s="24">
        <f>B85-C85</f>
        <v>4335</v>
      </c>
      <c r="E85" s="24">
        <f>Config!$B$8+SUMIFS(Lançamentos!$G$5:$G$604,Lançamentos!$B$5:$B$604,"Entrada",Lançamentos!$I$5:$I$604,"Sim",Lançamentos!$A$5:$A$604,"&lt;="&amp;DATE(Config!$B$5,7,0))-SUMIFS(Lançamentos!$G$5:$G$604,Lançamentos!$B$5:$B$604,"Saída",Lançamentos!$I$5:$I$604,"Sim",Lançamentos!$A$5:$A$604,"&lt;="&amp;DATE(Config!$B$5,7,0))</f>
        <v>38218</v>
      </c>
    </row>
    <row r="86">
      <c r="A86" s="23" t="inlineStr">
        <is>
          <t>Julho</t>
        </is>
      </c>
      <c r="B86" s="24">
        <f>SUMIFS(Lançamentos!$G$5:$G$604,Lançamentos!$B$5:$B$604,"Entrada",Lançamentos!$I$5:$I$604,"Sim",Lançamentos!$J$5:$J$604,7,Lançamentos!$K$5:$K$604,Config!$B$5)</f>
        <v>29460</v>
      </c>
      <c r="C86" s="24">
        <f>SUMIFS(Lançamentos!$G$5:$G$604,Lançamentos!$B$5:$B$604,"Saída",Lançamentos!$I$5:$I$604,"Sim",Lançamentos!$J$5:$J$604,7,Lançamentos!$K$5:$K$604,Config!$B$5)</f>
        <v>28898</v>
      </c>
      <c r="D86" s="24">
        <f>B86-C86</f>
        <v>562</v>
      </c>
      <c r="E86" s="24">
        <f>Config!$B$8+SUMIFS(Lançamentos!$G$5:$G$604,Lançamentos!$B$5:$B$604,"Entrada",Lançamentos!$I$5:$I$604,"Sim",Lançamentos!$A$5:$A$604,"&lt;="&amp;DATE(Config!$B$5,8,0))-SUMIFS(Lançamentos!$G$5:$G$604,Lançamentos!$B$5:$B$604,"Saída",Lançamentos!$I$5:$I$604,"Sim",Lançamentos!$A$5:$A$604,"&lt;="&amp;DATE(Config!$B$5,8,0))</f>
        <v>38780</v>
      </c>
    </row>
    <row r="87">
      <c r="A87" s="23" t="inlineStr">
        <is>
          <t>Agosto</t>
        </is>
      </c>
      <c r="B87" s="24">
        <f>SUMIFS(Lançamentos!$G$5:$G$604,Lançamentos!$B$5:$B$604,"Entrada",Lançamentos!$I$5:$I$604,"Sim",Lançamentos!$J$5:$J$604,8,Lançamentos!$K$5:$K$604,Config!$B$5)</f>
        <v>26900</v>
      </c>
      <c r="C87" s="24">
        <f>SUMIFS(Lançamentos!$G$5:$G$604,Lançamentos!$B$5:$B$604,"Saída",Lançamentos!$I$5:$I$604,"Sim",Lançamentos!$J$5:$J$604,8,Lançamentos!$K$5:$K$604,Config!$B$5)</f>
        <v>21897</v>
      </c>
      <c r="D87" s="24">
        <f>B87-C87</f>
        <v>5003</v>
      </c>
      <c r="E87" s="24">
        <f>Config!$B$8+SUMIFS(Lançamentos!$G$5:$G$604,Lançamentos!$B$5:$B$604,"Entrada",Lançamentos!$I$5:$I$604,"Sim",Lançamentos!$A$5:$A$604,"&lt;="&amp;DATE(Config!$B$5,9,0))-SUMIFS(Lançamentos!$G$5:$G$604,Lançamentos!$B$5:$B$604,"Saída",Lançamentos!$I$5:$I$604,"Sim",Lançamentos!$A$5:$A$604,"&lt;="&amp;DATE(Config!$B$5,9,0))</f>
        <v>43783</v>
      </c>
    </row>
    <row r="88">
      <c r="A88" s="23" t="inlineStr">
        <is>
          <t>Setembro</t>
        </is>
      </c>
      <c r="B88" s="24">
        <f>SUMIFS(Lançamentos!$G$5:$G$604,Lançamentos!$B$5:$B$604,"Entrada",Lançamentos!$I$5:$I$604,"Sim",Lançamentos!$J$5:$J$604,9,Lançamentos!$K$5:$K$604,Config!$B$5)</f>
        <v>5220</v>
      </c>
      <c r="C88" s="24">
        <f>SUMIFS(Lançamentos!$G$5:$G$604,Lançamentos!$B$5:$B$604,"Saída",Lançamentos!$I$5:$I$604,"Sim",Lançamentos!$J$5:$J$604,9,Lançamentos!$K$5:$K$604,Config!$B$5)</f>
        <v>5320</v>
      </c>
      <c r="D88" s="24">
        <f>B88-C88</f>
        <v>-100</v>
      </c>
      <c r="E88" s="24">
        <f>Config!$B$8+SUMIFS(Lançamentos!$G$5:$G$604,Lançamentos!$B$5:$B$604,"Entrada",Lançamentos!$I$5:$I$604,"Sim",Lançamentos!$A$5:$A$604,"&lt;="&amp;DATE(Config!$B$5,10,0))-SUMIFS(Lançamentos!$G$5:$G$604,Lançamentos!$B$5:$B$604,"Saída",Lançamentos!$I$5:$I$604,"Sim",Lançamentos!$A$5:$A$604,"&lt;="&amp;DATE(Config!$B$5,10,0))</f>
        <v>43683</v>
      </c>
    </row>
    <row r="89">
      <c r="A89" s="23" t="inlineStr">
        <is>
          <t>Outubro</t>
        </is>
      </c>
      <c r="B89" s="24">
        <f>SUMIFS(Lançamentos!$G$5:$G$604,Lançamentos!$B$5:$B$604,"Entrada",Lançamentos!$I$5:$I$604,"Sim",Lançamentos!$J$5:$J$604,10,Lançamentos!$K$5:$K$604,Config!$B$5)</f>
        <v>0</v>
      </c>
      <c r="C89" s="24">
        <f>SUMIFS(Lançamentos!$G$5:$G$604,Lançamentos!$B$5:$B$604,"Saída",Lançamentos!$I$5:$I$604,"Sim",Lançamentos!$J$5:$J$604,10,Lançamentos!$K$5:$K$604,Config!$B$5)</f>
        <v>0</v>
      </c>
      <c r="D89" s="24">
        <f>B89-C89</f>
        <v>0</v>
      </c>
      <c r="E89" s="24">
        <f>Config!$B$8+SUMIFS(Lançamentos!$G$5:$G$604,Lançamentos!$B$5:$B$604,"Entrada",Lançamentos!$I$5:$I$604,"Sim",Lançamentos!$A$5:$A$604,"&lt;="&amp;DATE(Config!$B$5,11,0))-SUMIFS(Lançamentos!$G$5:$G$604,Lançamentos!$B$5:$B$604,"Saída",Lançamentos!$I$5:$I$604,"Sim",Lançamentos!$A$5:$A$604,"&lt;="&amp;DATE(Config!$B$5,11,0))</f>
        <v>43683</v>
      </c>
    </row>
    <row r="90">
      <c r="A90" s="23" t="inlineStr">
        <is>
          <t>Novembro</t>
        </is>
      </c>
      <c r="B90" s="24">
        <f>SUMIFS(Lançamentos!$G$5:$G$604,Lançamentos!$B$5:$B$604,"Entrada",Lançamentos!$I$5:$I$604,"Sim",Lançamentos!$J$5:$J$604,11,Lançamentos!$K$5:$K$604,Config!$B$5)</f>
        <v>0</v>
      </c>
      <c r="C90" s="24">
        <f>SUMIFS(Lançamentos!$G$5:$G$604,Lançamentos!$B$5:$B$604,"Saída",Lançamentos!$I$5:$I$604,"Sim",Lançamentos!$J$5:$J$604,11,Lançamentos!$K$5:$K$604,Config!$B$5)</f>
        <v>0</v>
      </c>
      <c r="D90" s="24">
        <f>B90-C90</f>
        <v>0</v>
      </c>
      <c r="E90" s="24">
        <f>Config!$B$8+SUMIFS(Lançamentos!$G$5:$G$604,Lançamentos!$B$5:$B$604,"Entrada",Lançamentos!$I$5:$I$604,"Sim",Lançamentos!$A$5:$A$604,"&lt;="&amp;DATE(Config!$B$5,12,0))-SUMIFS(Lançamentos!$G$5:$G$604,Lançamentos!$B$5:$B$604,"Saída",Lançamentos!$I$5:$I$604,"Sim",Lançamentos!$A$5:$A$604,"&lt;="&amp;DATE(Config!$B$5,12,0))</f>
        <v>43683</v>
      </c>
    </row>
    <row r="91">
      <c r="A91" s="23" t="inlineStr">
        <is>
          <t>Dezembro</t>
        </is>
      </c>
      <c r="B91" s="24">
        <f>SUMIFS(Lançamentos!$G$5:$G$604,Lançamentos!$B$5:$B$604,"Entrada",Lançamentos!$I$5:$I$604,"Sim",Lançamentos!$J$5:$J$604,12,Lançamentos!$K$5:$K$604,Config!$B$5)</f>
        <v>0</v>
      </c>
      <c r="C91" s="24">
        <f>SUMIFS(Lançamentos!$G$5:$G$604,Lançamentos!$B$5:$B$604,"Saída",Lançamentos!$I$5:$I$604,"Sim",Lançamentos!$J$5:$J$604,12,Lançamentos!$K$5:$K$604,Config!$B$5)</f>
        <v>0</v>
      </c>
      <c r="D91" s="24">
        <f>B91-C91</f>
        <v>0</v>
      </c>
      <c r="E91" s="24">
        <f>Config!$B$8+SUMIFS(Lançamentos!$G$5:$G$604,Lançamentos!$B$5:$B$604,"Entrada",Lançamentos!$I$5:$I$604,"Sim",Lançamentos!$A$5:$A$604,"&lt;="&amp;DATE(Config!$B$5,13,0))-SUMIFS(Lançamentos!$G$5:$G$604,Lançamentos!$B$5:$B$604,"Saída",Lançamentos!$I$5:$I$604,"Sim",Lançamentos!$A$5:$A$604,"&lt;="&amp;DATE(Config!$B$5,13,0))</f>
        <v>43683</v>
      </c>
    </row>
    <row r="92">
      <c r="A92" s="29" t="inlineStr">
        <is>
          <t>Meses sem lançamento pago aparecem zerados. Compare só os meses já fechados; o mês corrente ainda não tem todas as saídas.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4">
    <mergeCell ref="F13:I13"/>
    <mergeCell ref="F31:I31"/>
    <mergeCell ref="F9:I9"/>
    <mergeCell ref="F39:I39"/>
    <mergeCell ref="C5:D5"/>
    <mergeCell ref="E5:F5"/>
    <mergeCell ref="K5:L5"/>
    <mergeCell ref="F37:I37"/>
    <mergeCell ref="C4:D4"/>
    <mergeCell ref="F14:I14"/>
    <mergeCell ref="A2:L2"/>
    <mergeCell ref="E4:F4"/>
    <mergeCell ref="F11:I11"/>
    <mergeCell ref="F29:I29"/>
    <mergeCell ref="F16:I16"/>
    <mergeCell ref="F19:I19"/>
    <mergeCell ref="F34:I34"/>
    <mergeCell ref="F10:I10"/>
    <mergeCell ref="F28:I28"/>
    <mergeCell ref="F40:I40"/>
    <mergeCell ref="A5:B5"/>
    <mergeCell ref="G5:H5"/>
    <mergeCell ref="F12:I12"/>
    <mergeCell ref="F24:I24"/>
    <mergeCell ref="I5:J5"/>
    <mergeCell ref="F15:I15"/>
    <mergeCell ref="F21:I21"/>
    <mergeCell ref="F30:I30"/>
    <mergeCell ref="F20:I20"/>
    <mergeCell ref="F33:I33"/>
    <mergeCell ref="F36:I36"/>
    <mergeCell ref="A4:B4"/>
    <mergeCell ref="G4:H4"/>
    <mergeCell ref="F18:I18"/>
    <mergeCell ref="F32:I32"/>
    <mergeCell ref="I4:J4"/>
    <mergeCell ref="F17:I17"/>
    <mergeCell ref="F35:I35"/>
    <mergeCell ref="F8:I8"/>
    <mergeCell ref="A1:L1"/>
    <mergeCell ref="F38:I38"/>
    <mergeCell ref="K4:L4"/>
    <mergeCell ref="F23:I23"/>
    <mergeCell ref="F22:I22"/>
  </mergeCells>
  <conditionalFormatting sqref="E5">
    <cfRule type="expression" priority="1" dxfId="0">
      <formula>E5&lt;0</formula>
    </cfRule>
  </conditionalFormatting>
  <conditionalFormatting sqref="D80:E91">
    <cfRule type="expression" priority="2" dxfId="1">
      <formula>D80&lt;0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" customWidth="1" min="3" max="3"/>
    <col width="26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8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Categorias e clientes alimentam as listas de Lançamentos e o Painel.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  <c r="D4" s="30" t="inlineStr">
        <is>
          <t>Categorias de entrada (até 12)</t>
        </is>
      </c>
      <c r="F4" s="30" t="inlineStr">
        <is>
          <t>Categorias de saída (até 16)</t>
        </is>
      </c>
      <c r="H4" s="30" t="inlineStr">
        <is>
          <t>Todas as categorias (automático)</t>
        </is>
      </c>
      <c r="J4" s="30" t="inlineStr">
        <is>
          <t>Clientes (até 30)</t>
        </is>
      </c>
      <c r="L4" s="30" t="inlineStr">
        <is>
          <t>Meses</t>
        </is>
      </c>
    </row>
    <row r="5">
      <c r="A5" s="30" t="inlineStr">
        <is>
          <t>Ano do painel</t>
        </is>
      </c>
      <c r="B5" s="32" t="n">
        <v>2026</v>
      </c>
      <c r="D5" s="31" t="inlineStr">
        <is>
          <t>Honorários fixos</t>
        </is>
      </c>
      <c r="F5" s="31" t="inlineStr">
        <is>
          <t>Pró-labore dos sócios</t>
        </is>
      </c>
      <c r="H5" s="33" t="str">
        <f>IF(1&lt;=COUNTA($D$5:$D$16),INDEX($D$5:$D$16,1),IF(1&lt;=COUNTA($D$5:$D$16)+COUNTA($F$5:$F$20),INDEX($F$5:$F$20,1-COUNTA($D$5:$D$16)),""))</f>
        <v>Honorários fixos</v>
      </c>
      <c r="J5" s="31" t="inlineStr">
        <is>
          <t>Padaria do Sol Ltda</t>
        </is>
      </c>
      <c r="L5" s="34" t="inlineStr">
        <is>
          <t>Janeiro</t>
        </is>
      </c>
    </row>
    <row r="6">
      <c r="A6" s="30" t="inlineStr">
        <is>
          <t>Mês do painel</t>
        </is>
      </c>
      <c r="B6" s="32" t="inlineStr">
        <is>
          <t>Setembro</t>
        </is>
      </c>
      <c r="D6" s="31" t="inlineStr">
        <is>
          <t>Honorários por hora</t>
        </is>
      </c>
      <c r="F6" s="31" t="inlineStr">
        <is>
          <t>Aluguel e condomínio</t>
        </is>
      </c>
      <c r="H6" s="33" t="str">
        <f>IF(2&lt;=COUNTA($D$5:$D$16),INDEX($D$5:$D$16,2),IF(2&lt;=COUNTA($D$5:$D$16)+COUNTA($F$5:$F$20),INDEX($F$5:$F$20,2-COUNTA($D$5:$D$16)),""))</f>
        <v>Honorários por hora</v>
      </c>
      <c r="J6" s="31" t="inlineStr">
        <is>
          <t>Ana Beatriz Moreira</t>
        </is>
      </c>
      <c r="L6" s="34" t="inlineStr">
        <is>
          <t>Fevereiro</t>
        </is>
      </c>
    </row>
    <row r="7">
      <c r="A7" s="30" t="inlineStr">
        <is>
          <t>Número do mês</t>
        </is>
      </c>
      <c r="B7" s="35">
        <f>MATCH(B6,$L$5:$L$16,0)</f>
        <v>9</v>
      </c>
      <c r="D7" s="31" t="inlineStr">
        <is>
          <t>Honorários de êxito</t>
        </is>
      </c>
      <c r="F7" s="31" t="inlineStr">
        <is>
          <t>Contador</t>
        </is>
      </c>
      <c r="H7" s="33" t="str">
        <f>IF(3&lt;=COUNTA($D$5:$D$16),INDEX($D$5:$D$16,3),IF(3&lt;=COUNTA($D$5:$D$16)+COUNTA($F$5:$F$20),INDEX($F$5:$F$20,3-COUNTA($D$5:$D$16)),""))</f>
        <v>Honorários de êxito</v>
      </c>
      <c r="J7" s="31" t="inlineStr">
        <is>
          <t>Construtora Horizonte</t>
        </is>
      </c>
      <c r="L7" s="34" t="inlineStr">
        <is>
          <t>Março</t>
        </is>
      </c>
    </row>
    <row r="8">
      <c r="A8" s="30" t="inlineStr">
        <is>
          <t>Saldo em caixa antes do 1º lançamento</t>
        </is>
      </c>
      <c r="B8" s="36" t="n">
        <v>22000</v>
      </c>
      <c r="D8" s="31" t="inlineStr">
        <is>
          <t>Consultoria e pareceres</t>
        </is>
      </c>
      <c r="F8" s="31" t="inlineStr">
        <is>
          <t>Sistemas e assinaturas</t>
        </is>
      </c>
      <c r="H8" s="33" t="str">
        <f>IF(4&lt;=COUNTA($D$5:$D$16),INDEX($D$5:$D$16,4),IF(4&lt;=COUNTA($D$5:$D$16)+COUNTA($F$5:$F$20),INDEX($F$5:$F$20,4-COUNTA($D$5:$D$16)),""))</f>
        <v>Consultoria e pareceres</v>
      </c>
      <c r="J8" s="31" t="inlineStr">
        <is>
          <t>Carlos Eduardo Nunes</t>
        </is>
      </c>
      <c r="L8" s="34" t="inlineStr">
        <is>
          <t>Abril</t>
        </is>
      </c>
    </row>
    <row r="9">
      <c r="A9" s="30" t="inlineStr">
        <is>
          <t>Data de referência</t>
        </is>
      </c>
      <c r="B9" s="37">
        <f>TODAY()</f>
        <v>46279.0</v>
      </c>
      <c r="D9" s="31" t="inlineStr">
        <is>
          <t>Reembolso de custas</t>
        </is>
      </c>
      <c r="F9" s="31" t="inlineStr">
        <is>
          <t>Telefone e internet</t>
        </is>
      </c>
      <c r="H9" s="33" t="str">
        <f>IF(5&lt;=COUNTA($D$5:$D$16),INDEX($D$5:$D$16,5),IF(5&lt;=COUNTA($D$5:$D$16)+COUNTA($F$5:$F$20),INDEX($F$5:$F$20,5-COUNTA($D$5:$D$16)),""))</f>
        <v>Reembolso de custas</v>
      </c>
      <c r="J9" s="31" t="inlineStr">
        <is>
          <t>Loja Verde Comércio</t>
        </is>
      </c>
      <c r="L9" s="34" t="inlineStr">
        <is>
          <t>Maio</t>
        </is>
      </c>
    </row>
    <row r="10">
      <c r="D10" s="31" t="inlineStr">
        <is>
          <t>Outras entradas</t>
        </is>
      </c>
      <c r="F10" s="31" t="inlineStr">
        <is>
          <t>Anuidades OAB e cursos</t>
        </is>
      </c>
      <c r="H10" s="33" t="str">
        <f>IF(6&lt;=COUNTA($D$5:$D$16),INDEX($D$5:$D$16,6),IF(6&lt;=COUNTA($D$5:$D$16)+COUNTA($F$5:$F$20),INDEX($F$5:$F$20,6-COUNTA($D$5:$D$16)),""))</f>
        <v>Outras entradas</v>
      </c>
      <c r="J10" s="31" t="inlineStr">
        <is>
          <t>Fernanda Castro</t>
        </is>
      </c>
      <c r="L10" s="34" t="inlineStr">
        <is>
          <t>Junho</t>
        </is>
      </c>
    </row>
    <row r="11">
      <c r="D11" s="31" t="n"/>
      <c r="F11" s="31" t="inlineStr">
        <is>
          <t>Marketing e site</t>
        </is>
      </c>
      <c r="H11" s="33" t="str">
        <f>IF(7&lt;=COUNTA($D$5:$D$16),INDEX($D$5:$D$16,7),IF(7&lt;=COUNTA($D$5:$D$16)+COUNTA($F$5:$F$20),INDEX($F$5:$F$20,7-COUNTA($D$5:$D$16)),""))</f>
        <v>Pró-labore dos sócios</v>
      </c>
      <c r="J11" s="31" t="inlineStr">
        <is>
          <t>Bistrô 42</t>
        </is>
      </c>
      <c r="L11" s="34" t="inlineStr">
        <is>
          <t>Julho</t>
        </is>
      </c>
    </row>
    <row r="12">
      <c r="D12" s="31" t="n"/>
      <c r="F12" s="31" t="inlineStr">
        <is>
          <t>Estagiária (bolsa)</t>
        </is>
      </c>
      <c r="H12" s="33" t="str">
        <f>IF(8&lt;=COUNTA($D$5:$D$16),INDEX($D$5:$D$16,8),IF(8&lt;=COUNTA($D$5:$D$16)+COUNTA($F$5:$F$20),INDEX($F$5:$F$20,8-COUNTA($D$5:$D$16)),""))</f>
        <v>Aluguel e condomínio</v>
      </c>
      <c r="J12" s="31" t="inlineStr">
        <is>
          <t>Roberto Almeida</t>
        </is>
      </c>
      <c r="L12" s="34" t="inlineStr">
        <is>
          <t>Agosto</t>
        </is>
      </c>
    </row>
    <row r="13">
      <c r="D13" s="31" t="n"/>
      <c r="F13" s="31" t="inlineStr">
        <is>
          <t>Material, correio e outros</t>
        </is>
      </c>
      <c r="H13" s="33" t="str">
        <f>IF(9&lt;=COUNTA($D$5:$D$16),INDEX($D$5:$D$16,9),IF(9&lt;=COUNTA($D$5:$D$16)+COUNTA($F$5:$F$20),INDEX($F$5:$F$20,9-COUNTA($D$5:$D$16)),""))</f>
        <v>Contador</v>
      </c>
      <c r="J13" s="31" t="inlineStr">
        <is>
          <t>Clínica Bem-Estar</t>
        </is>
      </c>
      <c r="L13" s="34" t="inlineStr">
        <is>
          <t>Setembro</t>
        </is>
      </c>
    </row>
    <row r="14">
      <c r="D14" s="31" t="n"/>
      <c r="F14" s="31" t="inlineStr">
        <is>
          <t>Impostos e taxas</t>
        </is>
      </c>
      <c r="H14" s="33" t="str">
        <f>IF(10&lt;=COUNTA($D$5:$D$16),INDEX($D$5:$D$16,10),IF(10&lt;=COUNTA($D$5:$D$16)+COUNTA($F$5:$F$20),INDEX($F$5:$F$20,10-COUNTA($D$5:$D$16)),""))</f>
        <v>Sistemas e assinaturas</v>
      </c>
      <c r="J14" s="31" t="inlineStr">
        <is>
          <t>Marcos Vinícius Teles</t>
        </is>
      </c>
      <c r="L14" s="34" t="inlineStr">
        <is>
          <t>Outubro</t>
        </is>
      </c>
    </row>
    <row r="15">
      <c r="D15" s="31" t="n"/>
      <c r="F15" s="31" t="inlineStr">
        <is>
          <t>Custas e despesas de processo</t>
        </is>
      </c>
      <c r="H15" s="33" t="str">
        <f>IF(11&lt;=COUNTA($D$5:$D$16),INDEX($D$5:$D$16,11),IF(11&lt;=COUNTA($D$5:$D$16)+COUNTA($F$5:$F$20),INDEX($F$5:$F$20,11-COUNTA($D$5:$D$16)),""))</f>
        <v>Telefone e internet</v>
      </c>
      <c r="J15" s="31" t="inlineStr">
        <is>
          <t>Transportadora Rota Sul</t>
        </is>
      </c>
      <c r="L15" s="34" t="inlineStr">
        <is>
          <t>Novembro</t>
        </is>
      </c>
    </row>
    <row r="16">
      <c r="D16" s="31" t="n"/>
      <c r="F16" s="31" t="inlineStr">
        <is>
          <t>Deslocamento e viagens</t>
        </is>
      </c>
      <c r="H16" s="33" t="str">
        <f>IF(12&lt;=COUNTA($D$5:$D$16),INDEX($D$5:$D$16,12),IF(12&lt;=COUNTA($D$5:$D$16)+COUNTA($F$5:$F$20),INDEX($F$5:$F$20,12-COUNTA($D$5:$D$16)),""))</f>
        <v>Anuidades OAB e cursos</v>
      </c>
      <c r="J16" s="31" t="inlineStr">
        <is>
          <t>Patrícia Gomes</t>
        </is>
      </c>
      <c r="L16" s="34" t="inlineStr">
        <is>
          <t>Dezembro</t>
        </is>
      </c>
    </row>
    <row r="17">
      <c r="F17" s="31" t="inlineStr">
        <is>
          <t>Outras saídas</t>
        </is>
      </c>
      <c r="H17" s="33" t="str">
        <f>IF(13&lt;=COUNTA($D$5:$D$16),INDEX($D$5:$D$16,13),IF(13&lt;=COUNTA($D$5:$D$16)+COUNTA($F$5:$F$20),INDEX($F$5:$F$20,13-COUNTA($D$5:$D$16)),""))</f>
        <v>Marketing e site</v>
      </c>
      <c r="J17" s="31" t="inlineStr">
        <is>
          <t>Escola Aurora</t>
        </is>
      </c>
    </row>
    <row r="18">
      <c r="F18" s="31" t="n"/>
      <c r="H18" s="33" t="str">
        <f>IF(14&lt;=COUNTA($D$5:$D$16),INDEX($D$5:$D$16,14),IF(14&lt;=COUNTA($D$5:$D$16)+COUNTA($F$5:$F$20),INDEX($F$5:$F$20,14-COUNTA($D$5:$D$16)),""))</f>
        <v>Estagiária (bolsa)</v>
      </c>
      <c r="J18" s="31" t="inlineStr">
        <is>
          <t>José Antônio Ribeiro</t>
        </is>
      </c>
    </row>
    <row r="19">
      <c r="F19" s="31" t="n"/>
      <c r="H19" s="33" t="str">
        <f>IF(15&lt;=COUNTA($D$5:$D$16),INDEX($D$5:$D$16,15),IF(15&lt;=COUNTA($D$5:$D$16)+COUNTA($F$5:$F$20),INDEX($F$5:$F$20,15-COUNTA($D$5:$D$16)),""))</f>
        <v>Material, correio e outros</v>
      </c>
      <c r="J19" s="31" t="inlineStr">
        <is>
          <t>Oficina Mecânica Central</t>
        </is>
      </c>
    </row>
    <row r="20">
      <c r="F20" s="31" t="n"/>
      <c r="H20" s="33" t="str">
        <f>IF(16&lt;=COUNTA($D$5:$D$16),INDEX($D$5:$D$16,16),IF(16&lt;=COUNTA($D$5:$D$16)+COUNTA($F$5:$F$20),INDEX($F$5:$F$20,16-COUNTA($D$5:$D$16)),""))</f>
        <v>Impostos e taxas</v>
      </c>
      <c r="J20" s="31" t="inlineStr">
        <is>
          <t>Luciana Farias</t>
        </is>
      </c>
    </row>
    <row r="21">
      <c r="H21" s="33" t="str">
        <f>IF(17&lt;=COUNTA($D$5:$D$16),INDEX($D$5:$D$16,17),IF(17&lt;=COUNTA($D$5:$D$16)+COUNTA($F$5:$F$20),INDEX($F$5:$F$20,17-COUNTA($D$5:$D$16)),""))</f>
        <v>Custas e despesas de processo</v>
      </c>
      <c r="J21" s="31" t="inlineStr">
        <is>
          <t>Agência Prisma</t>
        </is>
      </c>
    </row>
    <row r="22">
      <c r="H22" s="33" t="str">
        <f>IF(18&lt;=COUNTA($D$5:$D$16),INDEX($D$5:$D$16,18),IF(18&lt;=COUNTA($D$5:$D$16)+COUNTA($F$5:$F$20),INDEX($F$5:$F$20,18-COUNTA($D$5:$D$16)),""))</f>
        <v>Deslocamento e viagens</v>
      </c>
      <c r="J22" s="31" t="inlineStr">
        <is>
          <t>Helena Duarte</t>
        </is>
      </c>
    </row>
    <row r="23">
      <c r="H23" s="33" t="str">
        <f>IF(19&lt;=COUNTA($D$5:$D$16),INDEX($D$5:$D$16,19),IF(19&lt;=COUNTA($D$5:$D$16)+COUNTA($F$5:$F$20),INDEX($F$5:$F$20,19-COUNTA($D$5:$D$16)),""))</f>
        <v>Outras saídas</v>
      </c>
      <c r="J23" s="31" t="n"/>
    </row>
    <row r="24">
      <c r="H24" s="33">
        <f>IF(20&lt;=COUNTA($D$5:$D$16),INDEX($D$5:$D$16,20),IF(20&lt;=COUNTA($D$5:$D$16)+COUNTA($F$5:$F$20),INDEX($F$5:$F$20,20-COUNTA($D$5:$D$16)),""))</f>
        <v/>
      </c>
      <c r="J24" s="31" t="n"/>
    </row>
    <row r="25">
      <c r="H25" s="33">
        <f>IF(21&lt;=COUNTA($D$5:$D$16),INDEX($D$5:$D$16,21),IF(21&lt;=COUNTA($D$5:$D$16)+COUNTA($F$5:$F$20),INDEX($F$5:$F$20,21-COUNTA($D$5:$D$16)),""))</f>
        <v/>
      </c>
      <c r="J25" s="31" t="n"/>
    </row>
    <row r="26">
      <c r="H26" s="33">
        <f>IF(22&lt;=COUNTA($D$5:$D$16),INDEX($D$5:$D$16,22),IF(22&lt;=COUNTA($D$5:$D$16)+COUNTA($F$5:$F$20),INDEX($F$5:$F$20,22-COUNTA($D$5:$D$16)),""))</f>
        <v/>
      </c>
      <c r="J26" s="31" t="n"/>
    </row>
    <row r="27">
      <c r="H27" s="33">
        <f>IF(23&lt;=COUNTA($D$5:$D$16),INDEX($D$5:$D$16,23),IF(23&lt;=COUNTA($D$5:$D$16)+COUNTA($F$5:$F$20),INDEX($F$5:$F$20,23-COUNTA($D$5:$D$16)),""))</f>
        <v/>
      </c>
      <c r="J27" s="31" t="n"/>
    </row>
    <row r="28">
      <c r="H28" s="33">
        <f>IF(24&lt;=COUNTA($D$5:$D$16),INDEX($D$5:$D$16,24),IF(24&lt;=COUNTA($D$5:$D$16)+COUNTA($F$5:$F$20),INDEX($F$5:$F$20,24-COUNTA($D$5:$D$16)),""))</f>
        <v/>
      </c>
      <c r="J28" s="31" t="n"/>
    </row>
    <row r="29">
      <c r="H29" s="33">
        <f>IF(25&lt;=COUNTA($D$5:$D$16),INDEX($D$5:$D$16,25),IF(25&lt;=COUNTA($D$5:$D$16)+COUNTA($F$5:$F$20),INDEX($F$5:$F$20,25-COUNTA($D$5:$D$16)),""))</f>
        <v/>
      </c>
      <c r="J29" s="31" t="n"/>
    </row>
    <row r="30">
      <c r="H30" s="33">
        <f>IF(26&lt;=COUNTA($D$5:$D$16),INDEX($D$5:$D$16,26),IF(26&lt;=COUNTA($D$5:$D$16)+COUNTA($F$5:$F$20),INDEX($F$5:$F$20,26-COUNTA($D$5:$D$16)),""))</f>
        <v/>
      </c>
      <c r="J30" s="31" t="n"/>
    </row>
    <row r="31">
      <c r="H31" s="33">
        <f>IF(27&lt;=COUNTA($D$5:$D$16),INDEX($D$5:$D$16,27),IF(27&lt;=COUNTA($D$5:$D$16)+COUNTA($F$5:$F$20),INDEX($F$5:$F$20,27-COUNTA($D$5:$D$16)),""))</f>
        <v/>
      </c>
      <c r="J31" s="31" t="n"/>
    </row>
    <row r="32">
      <c r="H32" s="33">
        <f>IF(28&lt;=COUNTA($D$5:$D$16),INDEX($D$5:$D$16,28),IF(28&lt;=COUNTA($D$5:$D$16)+COUNTA($F$5:$F$20),INDEX($F$5:$F$20,28-COUNTA($D$5:$D$16)),""))</f>
        <v/>
      </c>
      <c r="J32" s="31" t="n"/>
    </row>
    <row r="33">
      <c r="J33" s="31" t="n"/>
    </row>
    <row r="34">
      <c r="J34" s="31" t="n"/>
    </row>
    <row r="37">
      <c r="A37" s="29" t="inlineStr">
        <is>
          <t>Preencha categorias e clientes de cima para baixo, sem pular linha: as listas suspensas de Lançamentos param na última linha preenchida.</t>
        </is>
      </c>
    </row>
    <row r="38">
      <c r="A38" s="29" t="inlineStr">
        <is>
          <t>Saldo antes do 1º lançamento: o que havia na conta do escritório na data do primeiro lançamento (no exemplo, 01/01/2026, já contando honorários recebidos em 2025).</t>
        </is>
      </c>
    </row>
    <row r="39">
      <c r="A39" s="29" t="inlineStr">
        <is>
          <t>Pró-labore dos sócios é uma categoria de saída como qualquer outra: o que sai do caixa do escritório para a pessoa física. A separação detalhada fica na planilha 11.</t>
        </is>
      </c>
    </row>
    <row r="40">
      <c r="A40" s="29" t="inlineStr">
        <is>
          <t>Exemplo: cada entrada de honorários é uma parcela paga da planilha 14 (Parcelas), dos casos da 13 (Carteira). Pago? = Não são as parcelas já vencidas e as que vencem até o fim do mês (faturadas); o cronograma completo fica na 14. Lançamentos pagos vão até 11/09/2026 (a última sexta).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1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6" customWidth="1" min="4" max="4"/>
    <col width="26" customWidth="1" min="5" max="5"/>
    <col width="40" customWidth="1" min="6" max="6"/>
    <col width="14" customWidth="1" min="7" max="7"/>
    <col width="13" customWidth="1" min="8" max="8"/>
    <col width="8" customWidth="1" min="9" max="9"/>
    <col width="6" customWidth="1" min="10" max="10"/>
    <col width="7" customWidth="1" min="11" max="11"/>
  </cols>
  <sheetData>
    <row r="1" ht="28" customHeight="1">
      <c r="A1" s="5" t="inlineStr">
        <is>
          <t>Lançamentos</t>
        </is>
      </c>
    </row>
    <row r="2">
      <c r="A2" s="6" t="inlineStr">
        <is>
          <t>Uma linha por entrada ou saída. Preencha o amarelo; mês e ano são calculados. Pago? = Não fica em A receber / A pagar e só entra no caixa quando virar Sim.</t>
        </is>
      </c>
    </row>
    <row r="4" ht="26" customHeight="1">
      <c r="A4" s="20" t="inlineStr">
        <is>
          <t>Data</t>
        </is>
      </c>
      <c r="B4" s="20" t="inlineStr">
        <is>
          <t>Tipo</t>
        </is>
      </c>
      <c r="C4" s="20" t="inlineStr">
        <is>
          <t>Categoria</t>
        </is>
      </c>
      <c r="D4" s="20" t="inlineStr">
        <is>
          <t>Cliente</t>
        </is>
      </c>
      <c r="E4" s="20" t="inlineStr">
        <is>
          <t>Caso (nº ou referência)</t>
        </is>
      </c>
      <c r="F4" s="20" t="inlineStr">
        <is>
          <t>Descrição</t>
        </is>
      </c>
      <c r="G4" s="20" t="inlineStr">
        <is>
          <t>Valor</t>
        </is>
      </c>
      <c r="H4" s="20" t="inlineStr">
        <is>
          <t>Forma</t>
        </is>
      </c>
      <c r="I4" s="20" t="inlineStr">
        <is>
          <t>Pago?</t>
        </is>
      </c>
      <c r="J4" s="20" t="inlineStr">
        <is>
          <t>Mês</t>
        </is>
      </c>
      <c r="K4" s="20" t="inlineStr">
        <is>
          <t>Ano</t>
        </is>
      </c>
    </row>
    <row r="5">
      <c r="A5" s="38" t="n">
        <v>46027</v>
      </c>
      <c r="B5" s="32" t="inlineStr">
        <is>
          <t>Saída</t>
        </is>
      </c>
      <c r="C5" s="31" t="inlineStr">
        <is>
          <t>Aluguel e condomínio</t>
        </is>
      </c>
      <c r="D5" s="31" t="inlineStr"/>
      <c r="E5" s="31" t="inlineStr"/>
      <c r="F5" s="31" t="inlineStr">
        <is>
          <t>Aluguel e condomínio da sala</t>
        </is>
      </c>
      <c r="G5" s="36" t="n">
        <v>2800</v>
      </c>
      <c r="H5" s="32" t="inlineStr">
        <is>
          <t>Boleto</t>
        </is>
      </c>
      <c r="I5" s="32" t="inlineStr">
        <is>
          <t>Sim</t>
        </is>
      </c>
      <c r="J5" s="35">
        <f>IF(A5="","",MONTH(A5))</f>
        <v>1</v>
      </c>
      <c r="K5" s="35">
        <f>IF(A5="","",YEAR(A5))</f>
        <v>2026</v>
      </c>
    </row>
    <row r="6">
      <c r="A6" s="38" t="n">
        <v>46027</v>
      </c>
      <c r="B6" s="32" t="inlineStr">
        <is>
          <t>Saída</t>
        </is>
      </c>
      <c r="C6" s="31" t="inlineStr">
        <is>
          <t>Estagiária (bolsa)</t>
        </is>
      </c>
      <c r="D6" s="31" t="inlineStr"/>
      <c r="E6" s="31" t="inlineStr"/>
      <c r="F6" s="31" t="inlineStr">
        <is>
          <t>Bolsa da estagiária · Júlia Prado</t>
        </is>
      </c>
      <c r="G6" s="36" t="n">
        <v>1400</v>
      </c>
      <c r="H6" s="32" t="inlineStr">
        <is>
          <t>Cartão</t>
        </is>
      </c>
      <c r="I6" s="32" t="inlineStr">
        <is>
          <t>Sim</t>
        </is>
      </c>
      <c r="J6" s="35">
        <f>IF(A6="","",MONTH(A6))</f>
        <v>1</v>
      </c>
      <c r="K6" s="35">
        <f>IF(A6="","",YEAR(A6))</f>
        <v>2026</v>
      </c>
    </row>
    <row r="7">
      <c r="A7" s="38" t="n">
        <v>46029</v>
      </c>
      <c r="B7" s="32" t="inlineStr">
        <is>
          <t>Entrada</t>
        </is>
      </c>
      <c r="C7" s="31" t="inlineStr">
        <is>
          <t>Honorários fixos</t>
        </is>
      </c>
      <c r="D7" s="31" t="inlineStr">
        <is>
          <t>Transportadora Rota Sul</t>
        </is>
      </c>
      <c r="E7" s="31" t="inlineStr">
        <is>
          <t>9225646-96.2025.8.26.0322</t>
        </is>
      </c>
      <c r="F7" s="31" t="inlineStr">
        <is>
          <t>Honorários · parcela 1</t>
        </is>
      </c>
      <c r="G7" s="36" t="n">
        <v>2000</v>
      </c>
      <c r="H7" s="32" t="inlineStr">
        <is>
          <t>Pix</t>
        </is>
      </c>
      <c r="I7" s="32" t="inlineStr">
        <is>
          <t>Sim</t>
        </is>
      </c>
      <c r="J7" s="35">
        <f>IF(A7="","",MONTH(A7))</f>
        <v>1</v>
      </c>
      <c r="K7" s="35">
        <f>IF(A7="","",YEAR(A7))</f>
        <v>2026</v>
      </c>
    </row>
    <row r="8">
      <c r="A8" s="38" t="n">
        <v>46030</v>
      </c>
      <c r="B8" s="32" t="inlineStr">
        <is>
          <t>Saída</t>
        </is>
      </c>
      <c r="C8" s="31" t="inlineStr">
        <is>
          <t>Sistemas e assinaturas</t>
        </is>
      </c>
      <c r="D8" s="31" t="inlineStr"/>
      <c r="E8" s="31" t="inlineStr"/>
      <c r="F8" s="31" t="inlineStr">
        <is>
          <t>Sistemas e assinaturas</t>
        </is>
      </c>
      <c r="G8" s="36" t="n">
        <v>450</v>
      </c>
      <c r="H8" s="32" t="inlineStr">
        <is>
          <t>Cartão</t>
        </is>
      </c>
      <c r="I8" s="32" t="inlineStr">
        <is>
          <t>Sim</t>
        </is>
      </c>
      <c r="J8" s="35">
        <f>IF(A8="","",MONTH(A8))</f>
        <v>1</v>
      </c>
      <c r="K8" s="35">
        <f>IF(A8="","",YEAR(A8))</f>
        <v>2026</v>
      </c>
    </row>
    <row r="9">
      <c r="A9" s="38" t="n">
        <v>46032</v>
      </c>
      <c r="B9" s="32" t="inlineStr">
        <is>
          <t>Saída</t>
        </is>
      </c>
      <c r="C9" s="31" t="inlineStr">
        <is>
          <t>Contador</t>
        </is>
      </c>
      <c r="D9" s="31" t="inlineStr"/>
      <c r="E9" s="31" t="inlineStr"/>
      <c r="F9" s="31" t="inlineStr">
        <is>
          <t>Honorários do contador</t>
        </is>
      </c>
      <c r="G9" s="36" t="n">
        <v>600</v>
      </c>
      <c r="H9" s="32" t="inlineStr">
        <is>
          <t>Boleto</t>
        </is>
      </c>
      <c r="I9" s="32" t="inlineStr">
        <is>
          <t>Sim</t>
        </is>
      </c>
      <c r="J9" s="35">
        <f>IF(A9="","",MONTH(A9))</f>
        <v>1</v>
      </c>
      <c r="K9" s="35">
        <f>IF(A9="","",YEAR(A9))</f>
        <v>2026</v>
      </c>
    </row>
    <row r="10">
      <c r="A10" s="38" t="n">
        <v>46034</v>
      </c>
      <c r="B10" s="32" t="inlineStr">
        <is>
          <t>Entrada</t>
        </is>
      </c>
      <c r="C10" s="31" t="inlineStr">
        <is>
          <t>Consultoria e pareceres</t>
        </is>
      </c>
      <c r="D10" s="31" t="inlineStr">
        <is>
          <t>Clínica Bem-Estar</t>
        </is>
      </c>
      <c r="E10" s="31" t="inlineStr">
        <is>
          <t>CONS-2025-05</t>
        </is>
      </c>
      <c r="F10" s="31" t="inlineStr">
        <is>
          <t>Fatura de horas · 2</t>
        </is>
      </c>
      <c r="G10" s="36" t="n">
        <v>2520</v>
      </c>
      <c r="H10" s="32" t="inlineStr">
        <is>
          <t>Boleto</t>
        </is>
      </c>
      <c r="I10" s="32" t="inlineStr">
        <is>
          <t>Sim</t>
        </is>
      </c>
      <c r="J10" s="35">
        <f>IF(A10="","",MONTH(A10))</f>
        <v>1</v>
      </c>
      <c r="K10" s="35">
        <f>IF(A10="","",YEAR(A10))</f>
        <v>2026</v>
      </c>
    </row>
    <row r="11">
      <c r="A11" s="38" t="n">
        <v>46034</v>
      </c>
      <c r="B11" s="32" t="inlineStr">
        <is>
          <t>Entrada</t>
        </is>
      </c>
      <c r="C11" s="31" t="inlineStr">
        <is>
          <t>Honorários fixos</t>
        </is>
      </c>
      <c r="D11" s="31" t="inlineStr">
        <is>
          <t>Roberto Almeida</t>
        </is>
      </c>
      <c r="E11" s="31" t="inlineStr">
        <is>
          <t>5025425-10.2025.8.26.0629</t>
        </is>
      </c>
      <c r="F11" s="31" t="inlineStr">
        <is>
          <t>Honorários · parcela 1</t>
        </is>
      </c>
      <c r="G11" s="36" t="n">
        <v>3000</v>
      </c>
      <c r="H11" s="32" t="inlineStr">
        <is>
          <t>Pix</t>
        </is>
      </c>
      <c r="I11" s="32" t="inlineStr">
        <is>
          <t>Sim</t>
        </is>
      </c>
      <c r="J11" s="35">
        <f>IF(A11="","",MONTH(A11))</f>
        <v>1</v>
      </c>
      <c r="K11" s="35">
        <f>IF(A11="","",YEAR(A11))</f>
        <v>2026</v>
      </c>
    </row>
    <row r="12">
      <c r="A12" s="38" t="n">
        <v>46034</v>
      </c>
      <c r="B12" s="32" t="inlineStr">
        <is>
          <t>Entrada</t>
        </is>
      </c>
      <c r="C12" s="31" t="inlineStr">
        <is>
          <t>Honorários fixos</t>
        </is>
      </c>
      <c r="D12" s="31" t="inlineStr">
        <is>
          <t>Oficina Mecânica Central</t>
        </is>
      </c>
      <c r="E12" s="31" t="inlineStr">
        <is>
          <t>8663770-96.2025.8.26.0481</t>
        </is>
      </c>
      <c r="F12" s="31" t="inlineStr">
        <is>
          <t>Honorários · parcela 8</t>
        </is>
      </c>
      <c r="G12" s="36" t="n">
        <v>800</v>
      </c>
      <c r="H12" s="32" t="inlineStr">
        <is>
          <t>Pix</t>
        </is>
      </c>
      <c r="I12" s="32" t="inlineStr">
        <is>
          <t>Sim</t>
        </is>
      </c>
      <c r="J12" s="35">
        <f>IF(A12="","",MONTH(A12))</f>
        <v>1</v>
      </c>
      <c r="K12" s="35">
        <f>IF(A12="","",YEAR(A12))</f>
        <v>2026</v>
      </c>
    </row>
    <row r="13">
      <c r="A13" s="38" t="n">
        <v>46034</v>
      </c>
      <c r="B13" s="32" t="inlineStr">
        <is>
          <t>Entrada</t>
        </is>
      </c>
      <c r="C13" s="31" t="inlineStr">
        <is>
          <t>Honorários por hora</t>
        </is>
      </c>
      <c r="D13" s="31" t="inlineStr">
        <is>
          <t>Agência Prisma</t>
        </is>
      </c>
      <c r="E13" s="31" t="inlineStr">
        <is>
          <t>9362688-24.2025.8.26.0436</t>
        </is>
      </c>
      <c r="F13" s="31" t="inlineStr">
        <is>
          <t>Fatura de horas · 1</t>
        </is>
      </c>
      <c r="G13" s="36" t="n">
        <v>2880</v>
      </c>
      <c r="H13" s="32" t="inlineStr">
        <is>
          <t>Boleto</t>
        </is>
      </c>
      <c r="I13" s="32" t="inlineStr">
        <is>
          <t>Sim</t>
        </is>
      </c>
      <c r="J13" s="35">
        <f>IF(A13="","",MONTH(A13))</f>
        <v>1</v>
      </c>
      <c r="K13" s="35">
        <f>IF(A13="","",YEAR(A13))</f>
        <v>2026</v>
      </c>
    </row>
    <row r="14">
      <c r="A14" s="38" t="n">
        <v>46034</v>
      </c>
      <c r="B14" s="32" t="inlineStr">
        <is>
          <t>Saída</t>
        </is>
      </c>
      <c r="C14" s="31" t="inlineStr">
        <is>
          <t>Telefone e internet</t>
        </is>
      </c>
      <c r="D14" s="31" t="inlineStr"/>
      <c r="E14" s="31" t="inlineStr"/>
      <c r="F14" s="31" t="inlineStr">
        <is>
          <t>Telefone e internet</t>
        </is>
      </c>
      <c r="G14" s="36" t="n">
        <v>220</v>
      </c>
      <c r="H14" s="32" t="inlineStr">
        <is>
          <t>Boleto</t>
        </is>
      </c>
      <c r="I14" s="32" t="inlineStr">
        <is>
          <t>Sim</t>
        </is>
      </c>
      <c r="J14" s="35">
        <f>IF(A14="","",MONTH(A14))</f>
        <v>1</v>
      </c>
      <c r="K14" s="35">
        <f>IF(A14="","",YEAR(A14))</f>
        <v>2026</v>
      </c>
    </row>
    <row r="15">
      <c r="A15" s="38" t="n">
        <v>46036</v>
      </c>
      <c r="B15" s="32" t="inlineStr">
        <is>
          <t>Saída</t>
        </is>
      </c>
      <c r="C15" s="31" t="inlineStr">
        <is>
          <t>Custas e despesas de processo</t>
        </is>
      </c>
      <c r="D15" s="31" t="inlineStr">
        <is>
          <t>José Antônio Ribeiro</t>
        </is>
      </c>
      <c r="E15" s="31" t="inlineStr">
        <is>
          <t>5900991-46.2026.8.26.0469</t>
        </is>
      </c>
      <c r="F15" s="31" t="inlineStr">
        <is>
          <t>Custas iniciais</t>
        </is>
      </c>
      <c r="G15" s="36" t="n">
        <v>260</v>
      </c>
      <c r="H15" s="32" t="inlineStr">
        <is>
          <t>Boleto</t>
        </is>
      </c>
      <c r="I15" s="32" t="inlineStr">
        <is>
          <t>Sim</t>
        </is>
      </c>
      <c r="J15" s="35">
        <f>IF(A15="","",MONTH(A15))</f>
        <v>1</v>
      </c>
      <c r="K15" s="35">
        <f>IF(A15="","",YEAR(A15))</f>
        <v>2026</v>
      </c>
    </row>
    <row r="16">
      <c r="A16" s="38" t="n">
        <v>46037</v>
      </c>
      <c r="B16" s="32" t="inlineStr">
        <is>
          <t>Entrada</t>
        </is>
      </c>
      <c r="C16" s="31" t="inlineStr">
        <is>
          <t>Honorários fixos</t>
        </is>
      </c>
      <c r="D16" s="31" t="inlineStr">
        <is>
          <t>Fernanda Castro</t>
        </is>
      </c>
      <c r="E16" s="31" t="inlineStr">
        <is>
          <t>5211189-81.2025.8.26.0412</t>
        </is>
      </c>
      <c r="F16" s="31" t="inlineStr">
        <is>
          <t>Honorários · parcela 3</t>
        </is>
      </c>
      <c r="G16" s="36" t="n">
        <v>1400</v>
      </c>
      <c r="H16" s="32" t="inlineStr">
        <is>
          <t>Pix</t>
        </is>
      </c>
      <c r="I16" s="32" t="inlineStr">
        <is>
          <t>Sim</t>
        </is>
      </c>
      <c r="J16" s="35">
        <f>IF(A16="","",MONTH(A16))</f>
        <v>1</v>
      </c>
      <c r="K16" s="35">
        <f>IF(A16="","",YEAR(A16))</f>
        <v>2026</v>
      </c>
    </row>
    <row r="17">
      <c r="A17" s="38" t="n">
        <v>46037</v>
      </c>
      <c r="B17" s="32" t="inlineStr">
        <is>
          <t>Saída</t>
        </is>
      </c>
      <c r="C17" s="31" t="inlineStr">
        <is>
          <t>Anuidades OAB e cursos</t>
        </is>
      </c>
      <c r="D17" s="31" t="inlineStr"/>
      <c r="E17" s="31" t="inlineStr"/>
      <c r="F17" s="31" t="inlineStr">
        <is>
          <t>Anuidades OAB e cursos</t>
        </is>
      </c>
      <c r="G17" s="36" t="n">
        <v>250</v>
      </c>
      <c r="H17" s="32" t="inlineStr">
        <is>
          <t>Cartão</t>
        </is>
      </c>
      <c r="I17" s="32" t="inlineStr">
        <is>
          <t>Sim</t>
        </is>
      </c>
      <c r="J17" s="35">
        <f>IF(A17="","",MONTH(A17))</f>
        <v>1</v>
      </c>
      <c r="K17" s="35">
        <f>IF(A17="","",YEAR(A17))</f>
        <v>2026</v>
      </c>
    </row>
    <row r="18">
      <c r="A18" s="38" t="n">
        <v>46040</v>
      </c>
      <c r="B18" s="32" t="inlineStr">
        <is>
          <t>Saída</t>
        </is>
      </c>
      <c r="C18" s="31" t="inlineStr">
        <is>
          <t>Material, correio e outros</t>
        </is>
      </c>
      <c r="D18" s="31" t="inlineStr"/>
      <c r="E18" s="31" t="inlineStr"/>
      <c r="F18" s="31" t="inlineStr">
        <is>
          <t>Material, correio e outros</t>
        </is>
      </c>
      <c r="G18" s="36" t="n">
        <v>380</v>
      </c>
      <c r="H18" s="32" t="inlineStr">
        <is>
          <t>Cartão</t>
        </is>
      </c>
      <c r="I18" s="32" t="inlineStr">
        <is>
          <t>Sim</t>
        </is>
      </c>
      <c r="J18" s="35">
        <f>IF(A18="","",MONTH(A18))</f>
        <v>1</v>
      </c>
      <c r="K18" s="35">
        <f>IF(A18="","",YEAR(A18))</f>
        <v>2026</v>
      </c>
    </row>
    <row r="19">
      <c r="A19" s="38" t="n">
        <v>46041</v>
      </c>
      <c r="B19" s="32" t="inlineStr">
        <is>
          <t>Entrada</t>
        </is>
      </c>
      <c r="C19" s="31" t="inlineStr">
        <is>
          <t>Honorários fixos</t>
        </is>
      </c>
      <c r="D19" s="31" t="inlineStr">
        <is>
          <t>Bistrô 42</t>
        </is>
      </c>
      <c r="E19" s="31" t="inlineStr">
        <is>
          <t>8056747-83.2026.8.26.0561</t>
        </is>
      </c>
      <c r="F19" s="31" t="inlineStr">
        <is>
          <t>Honorários · entrada</t>
        </is>
      </c>
      <c r="G19" s="36" t="n">
        <v>3200</v>
      </c>
      <c r="H19" s="32" t="inlineStr">
        <is>
          <t>Pix</t>
        </is>
      </c>
      <c r="I19" s="32" t="inlineStr">
        <is>
          <t>Sim</t>
        </is>
      </c>
      <c r="J19" s="35">
        <f>IF(A19="","",MONTH(A19))</f>
        <v>1</v>
      </c>
      <c r="K19" s="35">
        <f>IF(A19="","",YEAR(A19))</f>
        <v>2026</v>
      </c>
    </row>
    <row r="20">
      <c r="A20" s="38" t="n">
        <v>46041</v>
      </c>
      <c r="B20" s="32" t="inlineStr">
        <is>
          <t>Entrada</t>
        </is>
      </c>
      <c r="C20" s="31" t="inlineStr">
        <is>
          <t>Honorários fixos</t>
        </is>
      </c>
      <c r="D20" s="31" t="inlineStr">
        <is>
          <t>Padaria do Sol Ltda</t>
        </is>
      </c>
      <c r="E20" s="31" t="inlineStr">
        <is>
          <t>4766902-26.2025.8.26.0051</t>
        </is>
      </c>
      <c r="F20" s="31" t="inlineStr">
        <is>
          <t>Honorários · parcela 2</t>
        </is>
      </c>
      <c r="G20" s="36" t="n">
        <v>2250</v>
      </c>
      <c r="H20" s="32" t="inlineStr">
        <is>
          <t>Pix</t>
        </is>
      </c>
      <c r="I20" s="32" t="inlineStr">
        <is>
          <t>Sim</t>
        </is>
      </c>
      <c r="J20" s="35">
        <f>IF(A20="","",MONTH(A20))</f>
        <v>1</v>
      </c>
      <c r="K20" s="35">
        <f>IF(A20="","",YEAR(A20))</f>
        <v>2026</v>
      </c>
    </row>
    <row r="21">
      <c r="A21" s="38" t="n">
        <v>46042</v>
      </c>
      <c r="B21" s="32" t="inlineStr">
        <is>
          <t>Saída</t>
        </is>
      </c>
      <c r="C21" s="31" t="inlineStr">
        <is>
          <t>Impostos e taxas</t>
        </is>
      </c>
      <c r="D21" s="31" t="inlineStr"/>
      <c r="E21" s="31" t="inlineStr"/>
      <c r="F21" s="31" t="inlineStr">
        <is>
          <t>Guia de impostos do mês anterior (alíquota efetiva combinada com o contador)</t>
        </is>
      </c>
      <c r="G21" s="36" t="n">
        <v>1648</v>
      </c>
      <c r="H21" s="32" t="inlineStr">
        <is>
          <t>Boleto</t>
        </is>
      </c>
      <c r="I21" s="32" t="inlineStr">
        <is>
          <t>Sim</t>
        </is>
      </c>
      <c r="J21" s="35">
        <f>IF(A21="","",MONTH(A21))</f>
        <v>1</v>
      </c>
      <c r="K21" s="35">
        <f>IF(A21="","",YEAR(A21))</f>
        <v>2026</v>
      </c>
    </row>
    <row r="22">
      <c r="A22" s="38" t="n">
        <v>46042</v>
      </c>
      <c r="B22" s="32" t="inlineStr">
        <is>
          <t>Saída</t>
        </is>
      </c>
      <c r="C22" s="31" t="inlineStr">
        <is>
          <t>Marketing e site</t>
        </is>
      </c>
      <c r="D22" s="31" t="inlineStr"/>
      <c r="E22" s="31" t="inlineStr"/>
      <c r="F22" s="31" t="inlineStr">
        <is>
          <t>Marketing e site</t>
        </is>
      </c>
      <c r="G22" s="36" t="n">
        <v>400</v>
      </c>
      <c r="H22" s="32" t="inlineStr">
        <is>
          <t>Cartão</t>
        </is>
      </c>
      <c r="I22" s="32" t="inlineStr">
        <is>
          <t>Sim</t>
        </is>
      </c>
      <c r="J22" s="35">
        <f>IF(A22="","",MONTH(A22))</f>
        <v>1</v>
      </c>
      <c r="K22" s="35">
        <f>IF(A22="","",YEAR(A22))</f>
        <v>2026</v>
      </c>
    </row>
    <row r="23">
      <c r="A23" s="38" t="n">
        <v>46044</v>
      </c>
      <c r="B23" s="32" t="inlineStr">
        <is>
          <t>Entrada</t>
        </is>
      </c>
      <c r="C23" s="31" t="inlineStr">
        <is>
          <t>Honorários fixos</t>
        </is>
      </c>
      <c r="D23" s="31" t="inlineStr">
        <is>
          <t>Loja Verde Comércio</t>
        </is>
      </c>
      <c r="E23" s="31" t="inlineStr">
        <is>
          <t>9088515-39.2025.8.26.0125</t>
        </is>
      </c>
      <c r="F23" s="31" t="inlineStr">
        <is>
          <t>Honorários · parcela 4</t>
        </is>
      </c>
      <c r="G23" s="36" t="n">
        <v>1000</v>
      </c>
      <c r="H23" s="32" t="inlineStr">
        <is>
          <t>Pix</t>
        </is>
      </c>
      <c r="I23" s="32" t="inlineStr">
        <is>
          <t>Sim</t>
        </is>
      </c>
      <c r="J23" s="35">
        <f>IF(A23="","",MONTH(A23))</f>
        <v>1</v>
      </c>
      <c r="K23" s="35">
        <f>IF(A23="","",YEAR(A23))</f>
        <v>2026</v>
      </c>
    </row>
    <row r="24">
      <c r="A24" s="38" t="n">
        <v>46045</v>
      </c>
      <c r="B24" s="32" t="inlineStr">
        <is>
          <t>Entrada</t>
        </is>
      </c>
      <c r="C24" s="31" t="inlineStr">
        <is>
          <t>Honorários fixos</t>
        </is>
      </c>
      <c r="D24" s="31" t="inlineStr">
        <is>
          <t>Oficina Mecânica Central</t>
        </is>
      </c>
      <c r="E24" s="31" t="inlineStr">
        <is>
          <t>3363714-92.2025.8.26.0592</t>
        </is>
      </c>
      <c r="F24" s="31" t="inlineStr">
        <is>
          <t>Honorários · parcela 2</t>
        </is>
      </c>
      <c r="G24" s="36" t="n">
        <v>2000</v>
      </c>
      <c r="H24" s="32" t="inlineStr">
        <is>
          <t>Pix</t>
        </is>
      </c>
      <c r="I24" s="32" t="inlineStr">
        <is>
          <t>Sim</t>
        </is>
      </c>
      <c r="J24" s="35">
        <f>IF(A24="","",MONTH(A24))</f>
        <v>1</v>
      </c>
      <c r="K24" s="35">
        <f>IF(A24="","",YEAR(A24))</f>
        <v>2026</v>
      </c>
    </row>
    <row r="25">
      <c r="A25" s="38" t="n">
        <v>46050</v>
      </c>
      <c r="B25" s="32" t="inlineStr">
        <is>
          <t>Saída</t>
        </is>
      </c>
      <c r="C25" s="31" t="inlineStr">
        <is>
          <t>Pró-labore dos sócios</t>
        </is>
      </c>
      <c r="D25" s="31" t="inlineStr"/>
      <c r="E25" s="31" t="inlineStr"/>
      <c r="F25" s="31" t="inlineStr">
        <is>
          <t>Pró-labore · Marina Ferraz</t>
        </is>
      </c>
      <c r="G25" s="36" t="n">
        <v>6000</v>
      </c>
      <c r="H25" s="32" t="inlineStr">
        <is>
          <t>Transferência</t>
        </is>
      </c>
      <c r="I25" s="32" t="inlineStr">
        <is>
          <t>Sim</t>
        </is>
      </c>
      <c r="J25" s="35">
        <f>IF(A25="","",MONTH(A25))</f>
        <v>1</v>
      </c>
      <c r="K25" s="35">
        <f>IF(A25="","",YEAR(A25))</f>
        <v>2026</v>
      </c>
    </row>
    <row r="26">
      <c r="A26" s="38" t="n">
        <v>46050</v>
      </c>
      <c r="B26" s="32" t="inlineStr">
        <is>
          <t>Saída</t>
        </is>
      </c>
      <c r="C26" s="31" t="inlineStr">
        <is>
          <t>Pró-labore dos sócios</t>
        </is>
      </c>
      <c r="D26" s="31" t="inlineStr"/>
      <c r="E26" s="31" t="inlineStr"/>
      <c r="F26" s="31" t="inlineStr">
        <is>
          <t>Pró-labore · Rafael Lima</t>
        </is>
      </c>
      <c r="G26" s="36" t="n">
        <v>6000</v>
      </c>
      <c r="H26" s="32" t="inlineStr">
        <is>
          <t>Transferência</t>
        </is>
      </c>
      <c r="I26" s="32" t="inlineStr">
        <is>
          <t>Sim</t>
        </is>
      </c>
      <c r="J26" s="35">
        <f>IF(A26="","",MONTH(A26))</f>
        <v>1</v>
      </c>
      <c r="K26" s="35">
        <f>IF(A26="","",YEAR(A26))</f>
        <v>2026</v>
      </c>
    </row>
    <row r="27">
      <c r="A27" s="38" t="n">
        <v>46055</v>
      </c>
      <c r="B27" s="32" t="inlineStr">
        <is>
          <t>Entrada</t>
        </is>
      </c>
      <c r="C27" s="31" t="inlineStr">
        <is>
          <t>Honorários fixos</t>
        </is>
      </c>
      <c r="D27" s="31" t="inlineStr">
        <is>
          <t>Escola Aurora</t>
        </is>
      </c>
      <c r="E27" s="31" t="inlineStr">
        <is>
          <t>6710873-21.2025.8.26.0571</t>
        </is>
      </c>
      <c r="F27" s="31" t="inlineStr">
        <is>
          <t>Honorários · parcela 3</t>
        </is>
      </c>
      <c r="G27" s="36" t="n">
        <v>1200</v>
      </c>
      <c r="H27" s="32" t="inlineStr">
        <is>
          <t>Pix</t>
        </is>
      </c>
      <c r="I27" s="32" t="inlineStr">
        <is>
          <t>Sim</t>
        </is>
      </c>
      <c r="J27" s="35">
        <f>IF(A27="","",MONTH(A27))</f>
        <v>2</v>
      </c>
      <c r="K27" s="35">
        <f>IF(A27="","",YEAR(A27))</f>
        <v>2026</v>
      </c>
    </row>
    <row r="28">
      <c r="A28" s="38" t="n">
        <v>46058</v>
      </c>
      <c r="B28" s="32" t="inlineStr">
        <is>
          <t>Saída</t>
        </is>
      </c>
      <c r="C28" s="31" t="inlineStr">
        <is>
          <t>Aluguel e condomínio</t>
        </is>
      </c>
      <c r="D28" s="31" t="inlineStr"/>
      <c r="E28" s="31" t="inlineStr"/>
      <c r="F28" s="31" t="inlineStr">
        <is>
          <t>Aluguel e condomínio da sala</t>
        </is>
      </c>
      <c r="G28" s="36" t="n">
        <v>2800</v>
      </c>
      <c r="H28" s="32" t="inlineStr">
        <is>
          <t>Boleto</t>
        </is>
      </c>
      <c r="I28" s="32" t="inlineStr">
        <is>
          <t>Sim</t>
        </is>
      </c>
      <c r="J28" s="35">
        <f>IF(A28="","",MONTH(A28))</f>
        <v>2</v>
      </c>
      <c r="K28" s="35">
        <f>IF(A28="","",YEAR(A28))</f>
        <v>2026</v>
      </c>
    </row>
    <row r="29">
      <c r="A29" s="38" t="n">
        <v>46058</v>
      </c>
      <c r="B29" s="32" t="inlineStr">
        <is>
          <t>Saída</t>
        </is>
      </c>
      <c r="C29" s="31" t="inlineStr">
        <is>
          <t>Estagiária (bolsa)</t>
        </is>
      </c>
      <c r="D29" s="31" t="inlineStr"/>
      <c r="E29" s="31" t="inlineStr"/>
      <c r="F29" s="31" t="inlineStr">
        <is>
          <t>Bolsa da estagiária · Júlia Prado</t>
        </is>
      </c>
      <c r="G29" s="36" t="n">
        <v>1400</v>
      </c>
      <c r="H29" s="32" t="inlineStr">
        <is>
          <t>Cartão</t>
        </is>
      </c>
      <c r="I29" s="32" t="inlineStr">
        <is>
          <t>Sim</t>
        </is>
      </c>
      <c r="J29" s="35">
        <f>IF(A29="","",MONTH(A29))</f>
        <v>2</v>
      </c>
      <c r="K29" s="35">
        <f>IF(A29="","",YEAR(A29))</f>
        <v>2026</v>
      </c>
    </row>
    <row r="30">
      <c r="A30" s="38" t="n">
        <v>46059</v>
      </c>
      <c r="B30" s="32" t="inlineStr">
        <is>
          <t>Entrada</t>
        </is>
      </c>
      <c r="C30" s="31" t="inlineStr">
        <is>
          <t>Honorários de êxito</t>
        </is>
      </c>
      <c r="D30" s="31" t="inlineStr">
        <is>
          <t>Marcos Vinícius Teles</t>
        </is>
      </c>
      <c r="E30" s="31" t="inlineStr">
        <is>
          <t>8204296-70.2025.8.26.0146</t>
        </is>
      </c>
      <c r="F30" s="31" t="inlineStr">
        <is>
          <t>Honorários de êxito (fim do caso)</t>
        </is>
      </c>
      <c r="G30" s="36" t="n">
        <v>6500</v>
      </c>
      <c r="H30" s="32" t="inlineStr">
        <is>
          <t>Pix</t>
        </is>
      </c>
      <c r="I30" s="32" t="inlineStr">
        <is>
          <t>Sim</t>
        </is>
      </c>
      <c r="J30" s="35">
        <f>IF(A30="","",MONTH(A30))</f>
        <v>2</v>
      </c>
      <c r="K30" s="35">
        <f>IF(A30="","",YEAR(A30))</f>
        <v>2026</v>
      </c>
    </row>
    <row r="31">
      <c r="A31" s="38" t="n">
        <v>46059</v>
      </c>
      <c r="B31" s="32" t="inlineStr">
        <is>
          <t>Entrada</t>
        </is>
      </c>
      <c r="C31" s="31" t="inlineStr">
        <is>
          <t>Honorários fixos</t>
        </is>
      </c>
      <c r="D31" s="31" t="inlineStr">
        <is>
          <t>Transportadora Rota Sul</t>
        </is>
      </c>
      <c r="E31" s="31" t="inlineStr">
        <is>
          <t>9225646-96.2025.8.26.0322</t>
        </is>
      </c>
      <c r="F31" s="31" t="inlineStr">
        <is>
          <t>Honorários · parcela 2</t>
        </is>
      </c>
      <c r="G31" s="36" t="n">
        <v>2000</v>
      </c>
      <c r="H31" s="32" t="inlineStr">
        <is>
          <t>Pix</t>
        </is>
      </c>
      <c r="I31" s="32" t="inlineStr">
        <is>
          <t>Sim</t>
        </is>
      </c>
      <c r="J31" s="35">
        <f>IF(A31="","",MONTH(A31))</f>
        <v>2</v>
      </c>
      <c r="K31" s="35">
        <f>IF(A31="","",YEAR(A31))</f>
        <v>2026</v>
      </c>
    </row>
    <row r="32">
      <c r="A32" s="38" t="n">
        <v>46059</v>
      </c>
      <c r="B32" s="32" t="inlineStr">
        <is>
          <t>Saída</t>
        </is>
      </c>
      <c r="C32" s="31" t="inlineStr">
        <is>
          <t>Outras saídas</t>
        </is>
      </c>
      <c r="D32" s="31" t="inlineStr"/>
      <c r="E32" s="31" t="inlineStr"/>
      <c r="F32" s="31" t="inlineStr">
        <is>
          <t>Despesa pessoal · Marina Ferraz · plano de saúde particular (a acertar)</t>
        </is>
      </c>
      <c r="G32" s="36" t="n">
        <v>480</v>
      </c>
      <c r="H32" s="32" t="inlineStr">
        <is>
          <t>Boleto</t>
        </is>
      </c>
      <c r="I32" s="32" t="inlineStr">
        <is>
          <t>Sim</t>
        </is>
      </c>
      <c r="J32" s="35">
        <f>IF(A32="","",MONTH(A32))</f>
        <v>2</v>
      </c>
      <c r="K32" s="35">
        <f>IF(A32="","",YEAR(A32))</f>
        <v>2026</v>
      </c>
    </row>
    <row r="33">
      <c r="A33" s="38" t="n">
        <v>46061</v>
      </c>
      <c r="B33" s="32" t="inlineStr">
        <is>
          <t>Saída</t>
        </is>
      </c>
      <c r="C33" s="31" t="inlineStr">
        <is>
          <t>Sistemas e assinaturas</t>
        </is>
      </c>
      <c r="D33" s="31" t="inlineStr"/>
      <c r="E33" s="31" t="inlineStr"/>
      <c r="F33" s="31" t="inlineStr">
        <is>
          <t>Sistemas e assinaturas</t>
        </is>
      </c>
      <c r="G33" s="36" t="n">
        <v>450</v>
      </c>
      <c r="H33" s="32" t="inlineStr">
        <is>
          <t>Cartão</t>
        </is>
      </c>
      <c r="I33" s="32" t="inlineStr">
        <is>
          <t>Sim</t>
        </is>
      </c>
      <c r="J33" s="35">
        <f>IF(A33="","",MONTH(A33))</f>
        <v>2</v>
      </c>
      <c r="K33" s="35">
        <f>IF(A33="","",YEAR(A33))</f>
        <v>2026</v>
      </c>
    </row>
    <row r="34">
      <c r="A34" s="38" t="n">
        <v>46062</v>
      </c>
      <c r="B34" s="32" t="inlineStr">
        <is>
          <t>Entrada</t>
        </is>
      </c>
      <c r="C34" s="31" t="inlineStr">
        <is>
          <t>Honorários fixos</t>
        </is>
      </c>
      <c r="D34" s="31" t="inlineStr">
        <is>
          <t>Roberto Almeida</t>
        </is>
      </c>
      <c r="E34" s="31" t="inlineStr">
        <is>
          <t>5025425-10.2025.8.26.0629</t>
        </is>
      </c>
      <c r="F34" s="31" t="inlineStr">
        <is>
          <t>Honorários · parcela 2</t>
        </is>
      </c>
      <c r="G34" s="36" t="n">
        <v>3000</v>
      </c>
      <c r="H34" s="32" t="inlineStr">
        <is>
          <t>Pix</t>
        </is>
      </c>
      <c r="I34" s="32" t="inlineStr">
        <is>
          <t>Sim</t>
        </is>
      </c>
      <c r="J34" s="35">
        <f>IF(A34="","",MONTH(A34))</f>
        <v>2</v>
      </c>
      <c r="K34" s="35">
        <f>IF(A34="","",YEAR(A34))</f>
        <v>2026</v>
      </c>
    </row>
    <row r="35">
      <c r="A35" s="38" t="n">
        <v>46062</v>
      </c>
      <c r="B35" s="32" t="inlineStr">
        <is>
          <t>Saída</t>
        </is>
      </c>
      <c r="C35" s="31" t="inlineStr">
        <is>
          <t>Custas e despesas de processo</t>
        </is>
      </c>
      <c r="D35" s="31" t="inlineStr">
        <is>
          <t>Construtora Horizonte</t>
        </is>
      </c>
      <c r="E35" s="31" t="inlineStr">
        <is>
          <t>9778116-95.2025.8.26.0106</t>
        </is>
      </c>
      <c r="F35" s="31" t="inlineStr">
        <is>
          <t>Honorários periciais adiantados</t>
        </is>
      </c>
      <c r="G35" s="36" t="n">
        <v>780</v>
      </c>
      <c r="H35" s="32" t="inlineStr">
        <is>
          <t>Boleto</t>
        </is>
      </c>
      <c r="I35" s="32" t="inlineStr">
        <is>
          <t>Sim</t>
        </is>
      </c>
      <c r="J35" s="35">
        <f>IF(A35="","",MONTH(A35))</f>
        <v>2</v>
      </c>
      <c r="K35" s="35">
        <f>IF(A35="","",YEAR(A35))</f>
        <v>2026</v>
      </c>
    </row>
    <row r="36">
      <c r="A36" s="38" t="n">
        <v>46063</v>
      </c>
      <c r="B36" s="32" t="inlineStr">
        <is>
          <t>Entrada</t>
        </is>
      </c>
      <c r="C36" s="31" t="inlineStr">
        <is>
          <t>Consultoria e pareceres</t>
        </is>
      </c>
      <c r="D36" s="31" t="inlineStr">
        <is>
          <t>Clínica Bem-Estar</t>
        </is>
      </c>
      <c r="E36" s="31" t="inlineStr">
        <is>
          <t>CONS-2025-05</t>
        </is>
      </c>
      <c r="F36" s="31" t="inlineStr">
        <is>
          <t>Fatura de horas · 3</t>
        </is>
      </c>
      <c r="G36" s="36" t="n">
        <v>1980</v>
      </c>
      <c r="H36" s="32" t="inlineStr">
        <is>
          <t>Boleto</t>
        </is>
      </c>
      <c r="I36" s="32" t="inlineStr">
        <is>
          <t>Sim</t>
        </is>
      </c>
      <c r="J36" s="35">
        <f>IF(A36="","",MONTH(A36))</f>
        <v>2</v>
      </c>
      <c r="K36" s="35">
        <f>IF(A36="","",YEAR(A36))</f>
        <v>2026</v>
      </c>
    </row>
    <row r="37">
      <c r="A37" s="38" t="n">
        <v>46063</v>
      </c>
      <c r="B37" s="32" t="inlineStr">
        <is>
          <t>Entrada</t>
        </is>
      </c>
      <c r="C37" s="31" t="inlineStr">
        <is>
          <t>Honorários por hora</t>
        </is>
      </c>
      <c r="D37" s="31" t="inlineStr">
        <is>
          <t>Agência Prisma</t>
        </is>
      </c>
      <c r="E37" s="31" t="inlineStr">
        <is>
          <t>9362688-24.2025.8.26.0436</t>
        </is>
      </c>
      <c r="F37" s="31" t="inlineStr">
        <is>
          <t>Fatura de horas · 2</t>
        </is>
      </c>
      <c r="G37" s="36" t="n">
        <v>3240</v>
      </c>
      <c r="H37" s="32" t="inlineStr">
        <is>
          <t>Boleto</t>
        </is>
      </c>
      <c r="I37" s="32" t="inlineStr">
        <is>
          <t>Sim</t>
        </is>
      </c>
      <c r="J37" s="35">
        <f>IF(A37="","",MONTH(A37))</f>
        <v>2</v>
      </c>
      <c r="K37" s="35">
        <f>IF(A37="","",YEAR(A37))</f>
        <v>2026</v>
      </c>
    </row>
    <row r="38">
      <c r="A38" s="38" t="n">
        <v>46063</v>
      </c>
      <c r="B38" s="32" t="inlineStr">
        <is>
          <t>Saída</t>
        </is>
      </c>
      <c r="C38" s="31" t="inlineStr">
        <is>
          <t>Contador</t>
        </is>
      </c>
      <c r="D38" s="31" t="inlineStr"/>
      <c r="E38" s="31" t="inlineStr"/>
      <c r="F38" s="31" t="inlineStr">
        <is>
          <t>Honorários do contador</t>
        </is>
      </c>
      <c r="G38" s="36" t="n">
        <v>600</v>
      </c>
      <c r="H38" s="32" t="inlineStr">
        <is>
          <t>Boleto</t>
        </is>
      </c>
      <c r="I38" s="32" t="inlineStr">
        <is>
          <t>Sim</t>
        </is>
      </c>
      <c r="J38" s="35">
        <f>IF(A38="","",MONTH(A38))</f>
        <v>2</v>
      </c>
      <c r="K38" s="35">
        <f>IF(A38="","",YEAR(A38))</f>
        <v>2026</v>
      </c>
    </row>
    <row r="39">
      <c r="A39" s="38" t="n">
        <v>46065</v>
      </c>
      <c r="B39" s="32" t="inlineStr">
        <is>
          <t>Entrada</t>
        </is>
      </c>
      <c r="C39" s="31" t="inlineStr">
        <is>
          <t>Honorários fixos</t>
        </is>
      </c>
      <c r="D39" s="31" t="inlineStr">
        <is>
          <t>Oficina Mecânica Central</t>
        </is>
      </c>
      <c r="E39" s="31" t="inlineStr">
        <is>
          <t>8663770-96.2025.8.26.0481</t>
        </is>
      </c>
      <c r="F39" s="31" t="inlineStr">
        <is>
          <t>Honorários · parcela 9</t>
        </is>
      </c>
      <c r="G39" s="36" t="n">
        <v>800</v>
      </c>
      <c r="H39" s="32" t="inlineStr">
        <is>
          <t>Pix</t>
        </is>
      </c>
      <c r="I39" s="32" t="inlineStr">
        <is>
          <t>Sim</t>
        </is>
      </c>
      <c r="J39" s="35">
        <f>IF(A39="","",MONTH(A39))</f>
        <v>2</v>
      </c>
      <c r="K39" s="35">
        <f>IF(A39="","",YEAR(A39))</f>
        <v>2026</v>
      </c>
    </row>
    <row r="40">
      <c r="A40" s="38" t="n">
        <v>46065</v>
      </c>
      <c r="B40" s="32" t="inlineStr">
        <is>
          <t>Saída</t>
        </is>
      </c>
      <c r="C40" s="31" t="inlineStr">
        <is>
          <t>Telefone e internet</t>
        </is>
      </c>
      <c r="D40" s="31" t="inlineStr"/>
      <c r="E40" s="31" t="inlineStr"/>
      <c r="F40" s="31" t="inlineStr">
        <is>
          <t>Telefone e internet</t>
        </is>
      </c>
      <c r="G40" s="36" t="n">
        <v>220</v>
      </c>
      <c r="H40" s="32" t="inlineStr">
        <is>
          <t>Boleto</t>
        </is>
      </c>
      <c r="I40" s="32" t="inlineStr">
        <is>
          <t>Sim</t>
        </is>
      </c>
      <c r="J40" s="35">
        <f>IF(A40="","",MONTH(A40))</f>
        <v>2</v>
      </c>
      <c r="K40" s="35">
        <f>IF(A40="","",YEAR(A40))</f>
        <v>2026</v>
      </c>
    </row>
    <row r="41">
      <c r="A41" s="38" t="n">
        <v>46066</v>
      </c>
      <c r="B41" s="32" t="inlineStr">
        <is>
          <t>Entrada</t>
        </is>
      </c>
      <c r="C41" s="31" t="inlineStr">
        <is>
          <t>Honorários fixos</t>
        </is>
      </c>
      <c r="D41" s="31" t="inlineStr">
        <is>
          <t>Fernanda Castro</t>
        </is>
      </c>
      <c r="E41" s="31" t="inlineStr">
        <is>
          <t>5211189-81.2025.8.26.0412</t>
        </is>
      </c>
      <c r="F41" s="31" t="inlineStr">
        <is>
          <t>Honorários · parcela 4 (vencida)</t>
        </is>
      </c>
      <c r="G41" s="36" t="n">
        <v>1400</v>
      </c>
      <c r="H41" s="32" t="inlineStr">
        <is>
          <t>Boleto</t>
        </is>
      </c>
      <c r="I41" s="32" t="inlineStr">
        <is>
          <t>Não</t>
        </is>
      </c>
      <c r="J41" s="35">
        <f>IF(A41="","",MONTH(A41))</f>
        <v>2</v>
      </c>
      <c r="K41" s="35">
        <f>IF(A41="","",YEAR(A41))</f>
        <v>2026</v>
      </c>
    </row>
    <row r="42">
      <c r="A42" s="38" t="n">
        <v>46068</v>
      </c>
      <c r="B42" s="32" t="inlineStr">
        <is>
          <t>Saída</t>
        </is>
      </c>
      <c r="C42" s="31" t="inlineStr">
        <is>
          <t>Anuidades OAB e cursos</t>
        </is>
      </c>
      <c r="D42" s="31" t="inlineStr"/>
      <c r="E42" s="31" t="inlineStr"/>
      <c r="F42" s="31" t="inlineStr">
        <is>
          <t>Anuidades OAB e cursos</t>
        </is>
      </c>
      <c r="G42" s="36" t="n">
        <v>250</v>
      </c>
      <c r="H42" s="32" t="inlineStr">
        <is>
          <t>Cartão</t>
        </is>
      </c>
      <c r="I42" s="32" t="inlineStr">
        <is>
          <t>Sim</t>
        </is>
      </c>
      <c r="J42" s="35">
        <f>IF(A42="","",MONTH(A42))</f>
        <v>2</v>
      </c>
      <c r="K42" s="35">
        <f>IF(A42="","",YEAR(A42))</f>
        <v>2026</v>
      </c>
    </row>
    <row r="43">
      <c r="A43" s="38" t="n">
        <v>46070</v>
      </c>
      <c r="B43" s="32" t="inlineStr">
        <is>
          <t>Entrada</t>
        </is>
      </c>
      <c r="C43" s="31" t="inlineStr">
        <is>
          <t>Honorários fixos</t>
        </is>
      </c>
      <c r="D43" s="31" t="inlineStr">
        <is>
          <t>Padaria do Sol Ltda</t>
        </is>
      </c>
      <c r="E43" s="31" t="inlineStr">
        <is>
          <t>4766902-26.2025.8.26.0051</t>
        </is>
      </c>
      <c r="F43" s="31" t="inlineStr">
        <is>
          <t>Honorários · parcela 3</t>
        </is>
      </c>
      <c r="G43" s="36" t="n">
        <v>2250</v>
      </c>
      <c r="H43" s="32" t="inlineStr">
        <is>
          <t>Pix</t>
        </is>
      </c>
      <c r="I43" s="32" t="inlineStr">
        <is>
          <t>Sim</t>
        </is>
      </c>
      <c r="J43" s="35">
        <f>IF(A43="","",MONTH(A43))</f>
        <v>2</v>
      </c>
      <c r="K43" s="35">
        <f>IF(A43="","",YEAR(A43))</f>
        <v>2026</v>
      </c>
    </row>
    <row r="44">
      <c r="A44" s="38" t="n">
        <v>46070</v>
      </c>
      <c r="B44" s="32" t="inlineStr">
        <is>
          <t>Saída</t>
        </is>
      </c>
      <c r="C44" s="31" t="inlineStr">
        <is>
          <t>Deslocamento e viagens</t>
        </is>
      </c>
      <c r="D44" s="31" t="inlineStr"/>
      <c r="E44" s="31" t="inlineStr"/>
      <c r="F44" s="31" t="inlineStr">
        <is>
          <t>Combustível e estacionamento (audiências)</t>
        </is>
      </c>
      <c r="G44" s="36" t="n">
        <v>240</v>
      </c>
      <c r="H44" s="32" t="inlineStr">
        <is>
          <t>Cartão</t>
        </is>
      </c>
      <c r="I44" s="32" t="inlineStr">
        <is>
          <t>Sim</t>
        </is>
      </c>
      <c r="J44" s="35">
        <f>IF(A44="","",MONTH(A44))</f>
        <v>2</v>
      </c>
      <c r="K44" s="35">
        <f>IF(A44="","",YEAR(A44))</f>
        <v>2026</v>
      </c>
    </row>
    <row r="45">
      <c r="A45" s="38" t="n">
        <v>46071</v>
      </c>
      <c r="B45" s="32" t="inlineStr">
        <is>
          <t>Saída</t>
        </is>
      </c>
      <c r="C45" s="31" t="inlineStr">
        <is>
          <t>Material, correio e outros</t>
        </is>
      </c>
      <c r="D45" s="31" t="inlineStr"/>
      <c r="E45" s="31" t="inlineStr"/>
      <c r="F45" s="31" t="inlineStr">
        <is>
          <t>Material, correio e outros</t>
        </is>
      </c>
      <c r="G45" s="36" t="n">
        <v>380</v>
      </c>
      <c r="H45" s="32" t="inlineStr">
        <is>
          <t>Cartão</t>
        </is>
      </c>
      <c r="I45" s="32" t="inlineStr">
        <is>
          <t>Sim</t>
        </is>
      </c>
      <c r="J45" s="35">
        <f>IF(A45="","",MONTH(A45))</f>
        <v>2</v>
      </c>
      <c r="K45" s="35">
        <f>IF(A45="","",YEAR(A45))</f>
        <v>2026</v>
      </c>
    </row>
    <row r="46">
      <c r="A46" s="38" t="n">
        <v>46073</v>
      </c>
      <c r="B46" s="32" t="inlineStr">
        <is>
          <t>Entrada</t>
        </is>
      </c>
      <c r="C46" s="31" t="inlineStr">
        <is>
          <t>Honorários fixos</t>
        </is>
      </c>
      <c r="D46" s="31" t="inlineStr">
        <is>
          <t>Bistrô 42</t>
        </is>
      </c>
      <c r="E46" s="31" t="inlineStr">
        <is>
          <t>8056747-83.2026.8.26.0561</t>
        </is>
      </c>
      <c r="F46" s="31" t="inlineStr">
        <is>
          <t>Honorários · parcela 1</t>
        </is>
      </c>
      <c r="G46" s="36" t="n">
        <v>2100</v>
      </c>
      <c r="H46" s="32" t="inlineStr">
        <is>
          <t>Pix</t>
        </is>
      </c>
      <c r="I46" s="32" t="inlineStr">
        <is>
          <t>Sim</t>
        </is>
      </c>
      <c r="J46" s="35">
        <f>IF(A46="","",MONTH(A46))</f>
        <v>2</v>
      </c>
      <c r="K46" s="35">
        <f>IF(A46="","",YEAR(A46))</f>
        <v>2026</v>
      </c>
    </row>
    <row r="47">
      <c r="A47" s="38" t="n">
        <v>46073</v>
      </c>
      <c r="B47" s="32" t="inlineStr">
        <is>
          <t>Saída</t>
        </is>
      </c>
      <c r="C47" s="31" t="inlineStr">
        <is>
          <t>Impostos e taxas</t>
        </is>
      </c>
      <c r="D47" s="31" t="inlineStr"/>
      <c r="E47" s="31" t="inlineStr"/>
      <c r="F47" s="31" t="inlineStr">
        <is>
          <t>Guia de impostos do mês anterior (alíquota efetiva combinada com o contador)</t>
        </is>
      </c>
      <c r="G47" s="36" t="n">
        <v>1684</v>
      </c>
      <c r="H47" s="32" t="inlineStr">
        <is>
          <t>Boleto</t>
        </is>
      </c>
      <c r="I47" s="32" t="inlineStr">
        <is>
          <t>Sim</t>
        </is>
      </c>
      <c r="J47" s="35">
        <f>IF(A47="","",MONTH(A47))</f>
        <v>2</v>
      </c>
      <c r="K47" s="35">
        <f>IF(A47="","",YEAR(A47))</f>
        <v>2026</v>
      </c>
    </row>
    <row r="48">
      <c r="A48" s="38" t="n">
        <v>46073</v>
      </c>
      <c r="B48" s="32" t="inlineStr">
        <is>
          <t>Saída</t>
        </is>
      </c>
      <c r="C48" s="31" t="inlineStr">
        <is>
          <t>Marketing e site</t>
        </is>
      </c>
      <c r="D48" s="31" t="inlineStr"/>
      <c r="E48" s="31" t="inlineStr"/>
      <c r="F48" s="31" t="inlineStr">
        <is>
          <t>Marketing e site</t>
        </is>
      </c>
      <c r="G48" s="36" t="n">
        <v>400</v>
      </c>
      <c r="H48" s="32" t="inlineStr">
        <is>
          <t>Cartão</t>
        </is>
      </c>
      <c r="I48" s="32" t="inlineStr">
        <is>
          <t>Sim</t>
        </is>
      </c>
      <c r="J48" s="35">
        <f>IF(A48="","",MONTH(A48))</f>
        <v>2</v>
      </c>
      <c r="K48" s="35">
        <f>IF(A48="","",YEAR(A48))</f>
        <v>2026</v>
      </c>
    </row>
    <row r="49">
      <c r="A49" s="38" t="n">
        <v>46081</v>
      </c>
      <c r="B49" s="32" t="inlineStr">
        <is>
          <t>Saída</t>
        </is>
      </c>
      <c r="C49" s="31" t="inlineStr">
        <is>
          <t>Pró-labore dos sócios</t>
        </is>
      </c>
      <c r="D49" s="31" t="inlineStr"/>
      <c r="E49" s="31" t="inlineStr"/>
      <c r="F49" s="31" t="inlineStr">
        <is>
          <t>Pró-labore · Marina Ferraz</t>
        </is>
      </c>
      <c r="G49" s="36" t="n">
        <v>6000</v>
      </c>
      <c r="H49" s="32" t="inlineStr">
        <is>
          <t>Transferência</t>
        </is>
      </c>
      <c r="I49" s="32" t="inlineStr">
        <is>
          <t>Sim</t>
        </is>
      </c>
      <c r="J49" s="35">
        <f>IF(A49="","",MONTH(A49))</f>
        <v>2</v>
      </c>
      <c r="K49" s="35">
        <f>IF(A49="","",YEAR(A49))</f>
        <v>2026</v>
      </c>
    </row>
    <row r="50">
      <c r="A50" s="38" t="n">
        <v>46081</v>
      </c>
      <c r="B50" s="32" t="inlineStr">
        <is>
          <t>Saída</t>
        </is>
      </c>
      <c r="C50" s="31" t="inlineStr">
        <is>
          <t>Pró-labore dos sócios</t>
        </is>
      </c>
      <c r="D50" s="31" t="inlineStr"/>
      <c r="E50" s="31" t="inlineStr"/>
      <c r="F50" s="31" t="inlineStr">
        <is>
          <t>Pró-labore · Rafael Lima</t>
        </is>
      </c>
      <c r="G50" s="36" t="n">
        <v>6000</v>
      </c>
      <c r="H50" s="32" t="inlineStr">
        <is>
          <t>Transferência</t>
        </is>
      </c>
      <c r="I50" s="32" t="inlineStr">
        <is>
          <t>Sim</t>
        </is>
      </c>
      <c r="J50" s="35">
        <f>IF(A50="","",MONTH(A50))</f>
        <v>2</v>
      </c>
      <c r="K50" s="35">
        <f>IF(A50="","",YEAR(A50))</f>
        <v>2026</v>
      </c>
    </row>
    <row r="51">
      <c r="A51" s="38" t="n">
        <v>46083</v>
      </c>
      <c r="B51" s="32" t="inlineStr">
        <is>
          <t>Entrada</t>
        </is>
      </c>
      <c r="C51" s="31" t="inlineStr">
        <is>
          <t>Honorários fixos</t>
        </is>
      </c>
      <c r="D51" s="31" t="inlineStr">
        <is>
          <t>Oficina Mecânica Central</t>
        </is>
      </c>
      <c r="E51" s="31" t="inlineStr">
        <is>
          <t>3363714-92.2025.8.26.0592</t>
        </is>
      </c>
      <c r="F51" s="31" t="inlineStr">
        <is>
          <t>Honorários · parcela 3</t>
        </is>
      </c>
      <c r="G51" s="36" t="n">
        <v>2000</v>
      </c>
      <c r="H51" s="32" t="inlineStr">
        <is>
          <t>Pix</t>
        </is>
      </c>
      <c r="I51" s="32" t="inlineStr">
        <is>
          <t>Sim</t>
        </is>
      </c>
      <c r="J51" s="35">
        <f>IF(A51="","",MONTH(A51))</f>
        <v>3</v>
      </c>
      <c r="K51" s="35">
        <f>IF(A51="","",YEAR(A51))</f>
        <v>2026</v>
      </c>
    </row>
    <row r="52">
      <c r="A52" s="38" t="n">
        <v>46084</v>
      </c>
      <c r="B52" s="32" t="inlineStr">
        <is>
          <t>Saída</t>
        </is>
      </c>
      <c r="C52" s="31" t="inlineStr">
        <is>
          <t>Custas e despesas de processo</t>
        </is>
      </c>
      <c r="D52" s="31" t="inlineStr">
        <is>
          <t>Transportadora Rota Sul</t>
        </is>
      </c>
      <c r="E52" s="31" t="inlineStr">
        <is>
          <t>9225646-96.2025.8.26.0322</t>
        </is>
      </c>
      <c r="F52" s="31" t="inlineStr">
        <is>
          <t>Diligência de oficial de justiça</t>
        </is>
      </c>
      <c r="G52" s="36" t="n">
        <v>130</v>
      </c>
      <c r="H52" s="32" t="inlineStr">
        <is>
          <t>Boleto</t>
        </is>
      </c>
      <c r="I52" s="32" t="inlineStr">
        <is>
          <t>Sim</t>
        </is>
      </c>
      <c r="J52" s="35">
        <f>IF(A52="","",MONTH(A52))</f>
        <v>3</v>
      </c>
      <c r="K52" s="35">
        <f>IF(A52="","",YEAR(A52))</f>
        <v>2026</v>
      </c>
    </row>
    <row r="53">
      <c r="A53" s="38" t="n">
        <v>46086</v>
      </c>
      <c r="B53" s="32" t="inlineStr">
        <is>
          <t>Saída</t>
        </is>
      </c>
      <c r="C53" s="31" t="inlineStr">
        <is>
          <t>Aluguel e condomínio</t>
        </is>
      </c>
      <c r="D53" s="31" t="inlineStr"/>
      <c r="E53" s="31" t="inlineStr"/>
      <c r="F53" s="31" t="inlineStr">
        <is>
          <t>Aluguel e condomínio da sala</t>
        </is>
      </c>
      <c r="G53" s="36" t="n">
        <v>2800</v>
      </c>
      <c r="H53" s="32" t="inlineStr">
        <is>
          <t>Boleto</t>
        </is>
      </c>
      <c r="I53" s="32" t="inlineStr">
        <is>
          <t>Sim</t>
        </is>
      </c>
      <c r="J53" s="35">
        <f>IF(A53="","",MONTH(A53))</f>
        <v>3</v>
      </c>
      <c r="K53" s="35">
        <f>IF(A53="","",YEAR(A53))</f>
        <v>2026</v>
      </c>
    </row>
    <row r="54">
      <c r="A54" s="38" t="n">
        <v>46086</v>
      </c>
      <c r="B54" s="32" t="inlineStr">
        <is>
          <t>Saída</t>
        </is>
      </c>
      <c r="C54" s="31" t="inlineStr">
        <is>
          <t>Estagiária (bolsa)</t>
        </is>
      </c>
      <c r="D54" s="31" t="inlineStr"/>
      <c r="E54" s="31" t="inlineStr"/>
      <c r="F54" s="31" t="inlineStr">
        <is>
          <t>Bolsa da estagiária · Júlia Prado</t>
        </is>
      </c>
      <c r="G54" s="36" t="n">
        <v>1400</v>
      </c>
      <c r="H54" s="32" t="inlineStr">
        <is>
          <t>Cartão</t>
        </is>
      </c>
      <c r="I54" s="32" t="inlineStr">
        <is>
          <t>Sim</t>
        </is>
      </c>
      <c r="J54" s="35">
        <f>IF(A54="","",MONTH(A54))</f>
        <v>3</v>
      </c>
      <c r="K54" s="35">
        <f>IF(A54="","",YEAR(A54))</f>
        <v>2026</v>
      </c>
    </row>
    <row r="55">
      <c r="A55" s="38" t="n">
        <v>46089</v>
      </c>
      <c r="B55" s="32" t="inlineStr">
        <is>
          <t>Saída</t>
        </is>
      </c>
      <c r="C55" s="31" t="inlineStr">
        <is>
          <t>Sistemas e assinaturas</t>
        </is>
      </c>
      <c r="D55" s="31" t="inlineStr"/>
      <c r="E55" s="31" t="inlineStr"/>
      <c r="F55" s="31" t="inlineStr">
        <is>
          <t>Sistemas e assinaturas</t>
        </is>
      </c>
      <c r="G55" s="36" t="n">
        <v>450</v>
      </c>
      <c r="H55" s="32" t="inlineStr">
        <is>
          <t>Cartão</t>
        </is>
      </c>
      <c r="I55" s="32" t="inlineStr">
        <is>
          <t>Sim</t>
        </is>
      </c>
      <c r="J55" s="35">
        <f>IF(A55="","",MONTH(A55))</f>
        <v>3</v>
      </c>
      <c r="K55" s="35">
        <f>IF(A55="","",YEAR(A55))</f>
        <v>2026</v>
      </c>
    </row>
    <row r="56">
      <c r="A56" s="38" t="n">
        <v>46090</v>
      </c>
      <c r="B56" s="32" t="inlineStr">
        <is>
          <t>Entrada</t>
        </is>
      </c>
      <c r="C56" s="31" t="inlineStr">
        <is>
          <t>Honorários fixos</t>
        </is>
      </c>
      <c r="D56" s="31" t="inlineStr">
        <is>
          <t>Roberto Almeida</t>
        </is>
      </c>
      <c r="E56" s="31" t="inlineStr">
        <is>
          <t>5025425-10.2025.8.26.0629</t>
        </is>
      </c>
      <c r="F56" s="31" t="inlineStr">
        <is>
          <t>Honorários · parcela 3</t>
        </is>
      </c>
      <c r="G56" s="36" t="n">
        <v>3000</v>
      </c>
      <c r="H56" s="32" t="inlineStr">
        <is>
          <t>Pix</t>
        </is>
      </c>
      <c r="I56" s="32" t="inlineStr">
        <is>
          <t>Sim</t>
        </is>
      </c>
      <c r="J56" s="35">
        <f>IF(A56="","",MONTH(A56))</f>
        <v>3</v>
      </c>
      <c r="K56" s="35">
        <f>IF(A56="","",YEAR(A56))</f>
        <v>2026</v>
      </c>
    </row>
    <row r="57">
      <c r="A57" s="38" t="n">
        <v>46090</v>
      </c>
      <c r="B57" s="32" t="inlineStr">
        <is>
          <t>Entrada</t>
        </is>
      </c>
      <c r="C57" s="31" t="inlineStr">
        <is>
          <t>Reembolso de custas</t>
        </is>
      </c>
      <c r="D57" s="31" t="inlineStr">
        <is>
          <t>Construtora Horizonte</t>
        </is>
      </c>
      <c r="E57" s="31" t="inlineStr">
        <is>
          <t>9778116-95.2025.8.26.0106</t>
        </is>
      </c>
      <c r="F57" s="31" t="inlineStr">
        <is>
          <t>Reembolso das custas periciais</t>
        </is>
      </c>
      <c r="G57" s="36" t="n">
        <v>780</v>
      </c>
      <c r="H57" s="32" t="inlineStr">
        <is>
          <t>Transferência</t>
        </is>
      </c>
      <c r="I57" s="32" t="inlineStr">
        <is>
          <t>Sim</t>
        </is>
      </c>
      <c r="J57" s="35">
        <f>IF(A57="","",MONTH(A57))</f>
        <v>3</v>
      </c>
      <c r="K57" s="35">
        <f>IF(A57="","",YEAR(A57))</f>
        <v>2026</v>
      </c>
    </row>
    <row r="58">
      <c r="A58" s="38" t="n">
        <v>46091</v>
      </c>
      <c r="B58" s="32" t="inlineStr">
        <is>
          <t>Entrada</t>
        </is>
      </c>
      <c r="C58" s="31" t="inlineStr">
        <is>
          <t>Consultoria e pareceres</t>
        </is>
      </c>
      <c r="D58" s="31" t="inlineStr">
        <is>
          <t>Clínica Bem-Estar</t>
        </is>
      </c>
      <c r="E58" s="31" t="inlineStr">
        <is>
          <t>CONS-2025-05</t>
        </is>
      </c>
      <c r="F58" s="31" t="inlineStr">
        <is>
          <t>Fatura de horas · 4</t>
        </is>
      </c>
      <c r="G58" s="36" t="n">
        <v>2340</v>
      </c>
      <c r="H58" s="32" t="inlineStr">
        <is>
          <t>Boleto</t>
        </is>
      </c>
      <c r="I58" s="32" t="inlineStr">
        <is>
          <t>Sim</t>
        </is>
      </c>
      <c r="J58" s="35">
        <f>IF(A58="","",MONTH(A58))</f>
        <v>3</v>
      </c>
      <c r="K58" s="35">
        <f>IF(A58="","",YEAR(A58))</f>
        <v>2026</v>
      </c>
    </row>
    <row r="59">
      <c r="A59" s="38" t="n">
        <v>46091</v>
      </c>
      <c r="B59" s="32" t="inlineStr">
        <is>
          <t>Entrada</t>
        </is>
      </c>
      <c r="C59" s="31" t="inlineStr">
        <is>
          <t>Honorários por hora</t>
        </is>
      </c>
      <c r="D59" s="31" t="inlineStr">
        <is>
          <t>Agência Prisma</t>
        </is>
      </c>
      <c r="E59" s="31" t="inlineStr">
        <is>
          <t>9362688-24.2025.8.26.0436</t>
        </is>
      </c>
      <c r="F59" s="31" t="inlineStr">
        <is>
          <t>Fatura de horas · 3</t>
        </is>
      </c>
      <c r="G59" s="36" t="n">
        <v>2520</v>
      </c>
      <c r="H59" s="32" t="inlineStr">
        <is>
          <t>Boleto</t>
        </is>
      </c>
      <c r="I59" s="32" t="inlineStr">
        <is>
          <t>Sim</t>
        </is>
      </c>
      <c r="J59" s="35">
        <f>IF(A59="","",MONTH(A59))</f>
        <v>3</v>
      </c>
      <c r="K59" s="35">
        <f>IF(A59="","",YEAR(A59))</f>
        <v>2026</v>
      </c>
    </row>
    <row r="60">
      <c r="A60" s="38" t="n">
        <v>46091</v>
      </c>
      <c r="B60" s="32" t="inlineStr">
        <is>
          <t>Saída</t>
        </is>
      </c>
      <c r="C60" s="31" t="inlineStr">
        <is>
          <t>Contador</t>
        </is>
      </c>
      <c r="D60" s="31" t="inlineStr"/>
      <c r="E60" s="31" t="inlineStr"/>
      <c r="F60" s="31" t="inlineStr">
        <is>
          <t>Honorários do contador</t>
        </is>
      </c>
      <c r="G60" s="36" t="n">
        <v>600</v>
      </c>
      <c r="H60" s="32" t="inlineStr">
        <is>
          <t>Boleto</t>
        </is>
      </c>
      <c r="I60" s="32" t="inlineStr">
        <is>
          <t>Sim</t>
        </is>
      </c>
      <c r="J60" s="35">
        <f>IF(A60="","",MONTH(A60))</f>
        <v>3</v>
      </c>
      <c r="K60" s="35">
        <f>IF(A60="","",YEAR(A60))</f>
        <v>2026</v>
      </c>
    </row>
    <row r="61">
      <c r="A61" s="38" t="n">
        <v>46092</v>
      </c>
      <c r="B61" s="32" t="inlineStr">
        <is>
          <t>Saída</t>
        </is>
      </c>
      <c r="C61" s="31" t="inlineStr">
        <is>
          <t>Outras saídas</t>
        </is>
      </c>
      <c r="D61" s="31" t="inlineStr"/>
      <c r="E61" s="31" t="inlineStr"/>
      <c r="F61" s="31" t="inlineStr">
        <is>
          <t>Despesa pessoal · Rafael Lima · combustível particular (a acertar)</t>
        </is>
      </c>
      <c r="G61" s="36" t="n">
        <v>300</v>
      </c>
      <c r="H61" s="32" t="inlineStr">
        <is>
          <t>Cartão</t>
        </is>
      </c>
      <c r="I61" s="32" t="inlineStr">
        <is>
          <t>Sim</t>
        </is>
      </c>
      <c r="J61" s="35">
        <f>IF(A61="","",MONTH(A61))</f>
        <v>3</v>
      </c>
      <c r="K61" s="35">
        <f>IF(A61="","",YEAR(A61))</f>
        <v>2026</v>
      </c>
    </row>
    <row r="62">
      <c r="A62" s="38" t="n">
        <v>46093</v>
      </c>
      <c r="B62" s="32" t="inlineStr">
        <is>
          <t>Entrada</t>
        </is>
      </c>
      <c r="C62" s="31" t="inlineStr">
        <is>
          <t>Honorários fixos</t>
        </is>
      </c>
      <c r="D62" s="31" t="inlineStr">
        <is>
          <t>Oficina Mecânica Central</t>
        </is>
      </c>
      <c r="E62" s="31" t="inlineStr">
        <is>
          <t>8663770-96.2025.8.26.0481</t>
        </is>
      </c>
      <c r="F62" s="31" t="inlineStr">
        <is>
          <t>Honorários · parcela 10</t>
        </is>
      </c>
      <c r="G62" s="36" t="n">
        <v>800</v>
      </c>
      <c r="H62" s="32" t="inlineStr">
        <is>
          <t>Pix</t>
        </is>
      </c>
      <c r="I62" s="32" t="inlineStr">
        <is>
          <t>Sim</t>
        </is>
      </c>
      <c r="J62" s="35">
        <f>IF(A62="","",MONTH(A62))</f>
        <v>3</v>
      </c>
      <c r="K62" s="35">
        <f>IF(A62="","",YEAR(A62))</f>
        <v>2026</v>
      </c>
    </row>
    <row r="63">
      <c r="A63" s="38" t="n">
        <v>46093</v>
      </c>
      <c r="B63" s="32" t="inlineStr">
        <is>
          <t>Saída</t>
        </is>
      </c>
      <c r="C63" s="31" t="inlineStr">
        <is>
          <t>Telefone e internet</t>
        </is>
      </c>
      <c r="D63" s="31" t="inlineStr"/>
      <c r="E63" s="31" t="inlineStr"/>
      <c r="F63" s="31" t="inlineStr">
        <is>
          <t>Telefone e internet</t>
        </is>
      </c>
      <c r="G63" s="36" t="n">
        <v>220</v>
      </c>
      <c r="H63" s="32" t="inlineStr">
        <is>
          <t>Boleto</t>
        </is>
      </c>
      <c r="I63" s="32" t="inlineStr">
        <is>
          <t>Sim</t>
        </is>
      </c>
      <c r="J63" s="35">
        <f>IF(A63="","",MONTH(A63))</f>
        <v>3</v>
      </c>
      <c r="K63" s="35">
        <f>IF(A63="","",YEAR(A63))</f>
        <v>2026</v>
      </c>
    </row>
    <row r="64">
      <c r="A64" s="38" t="n">
        <v>46096</v>
      </c>
      <c r="B64" s="32" t="inlineStr">
        <is>
          <t>Saída</t>
        </is>
      </c>
      <c r="C64" s="31" t="inlineStr">
        <is>
          <t>Anuidades OAB e cursos</t>
        </is>
      </c>
      <c r="D64" s="31" t="inlineStr"/>
      <c r="E64" s="31" t="inlineStr"/>
      <c r="F64" s="31" t="inlineStr">
        <is>
          <t>Anuidades OAB e cursos</t>
        </is>
      </c>
      <c r="G64" s="36" t="n">
        <v>250</v>
      </c>
      <c r="H64" s="32" t="inlineStr">
        <is>
          <t>Cartão</t>
        </is>
      </c>
      <c r="I64" s="32" t="inlineStr">
        <is>
          <t>Sim</t>
        </is>
      </c>
      <c r="J64" s="35">
        <f>IF(A64="","",MONTH(A64))</f>
        <v>3</v>
      </c>
      <c r="K64" s="35">
        <f>IF(A64="","",YEAR(A64))</f>
        <v>2026</v>
      </c>
    </row>
    <row r="65">
      <c r="A65" s="38" t="n">
        <v>46097</v>
      </c>
      <c r="B65" s="32" t="inlineStr">
        <is>
          <t>Entrada</t>
        </is>
      </c>
      <c r="C65" s="31" t="inlineStr">
        <is>
          <t>Honorários fixos</t>
        </is>
      </c>
      <c r="D65" s="31" t="inlineStr">
        <is>
          <t>Carlos Eduardo Nunes</t>
        </is>
      </c>
      <c r="E65" s="31" t="inlineStr">
        <is>
          <t>8045862-82.2026.8.26.0491</t>
        </is>
      </c>
      <c r="F65" s="31" t="inlineStr">
        <is>
          <t>Honorários · entrada</t>
        </is>
      </c>
      <c r="G65" s="36" t="n">
        <v>1800</v>
      </c>
      <c r="H65" s="32" t="inlineStr">
        <is>
          <t>Pix</t>
        </is>
      </c>
      <c r="I65" s="32" t="inlineStr">
        <is>
          <t>Sim</t>
        </is>
      </c>
      <c r="J65" s="35">
        <f>IF(A65="","",MONTH(A65))</f>
        <v>3</v>
      </c>
      <c r="K65" s="35">
        <f>IF(A65="","",YEAR(A65))</f>
        <v>2026</v>
      </c>
    </row>
    <row r="66">
      <c r="A66" s="38" t="n">
        <v>46097</v>
      </c>
      <c r="B66" s="32" t="inlineStr">
        <is>
          <t>Saída</t>
        </is>
      </c>
      <c r="C66" s="31" t="inlineStr">
        <is>
          <t>Pró-labore dos sócios</t>
        </is>
      </c>
      <c r="D66" s="31" t="inlineStr"/>
      <c r="E66" s="31" t="inlineStr"/>
      <c r="F66" s="31" t="inlineStr">
        <is>
          <t>Retirada extra · Rafael Lima · adiantamento para viagem</t>
        </is>
      </c>
      <c r="G66" s="36" t="n">
        <v>1500</v>
      </c>
      <c r="H66" s="32" t="inlineStr">
        <is>
          <t>Transferência</t>
        </is>
      </c>
      <c r="I66" s="32" t="inlineStr">
        <is>
          <t>Sim</t>
        </is>
      </c>
      <c r="J66" s="35">
        <f>IF(A66="","",MONTH(A66))</f>
        <v>3</v>
      </c>
      <c r="K66" s="35">
        <f>IF(A66="","",YEAR(A66))</f>
        <v>2026</v>
      </c>
    </row>
    <row r="67">
      <c r="A67" s="38" t="n">
        <v>46098</v>
      </c>
      <c r="B67" s="32" t="inlineStr">
        <is>
          <t>Entrada</t>
        </is>
      </c>
      <c r="C67" s="31" t="inlineStr">
        <is>
          <t>Honorários fixos</t>
        </is>
      </c>
      <c r="D67" s="31" t="inlineStr">
        <is>
          <t>Padaria do Sol Ltda</t>
        </is>
      </c>
      <c r="E67" s="31" t="inlineStr">
        <is>
          <t>4766902-26.2025.8.26.0051</t>
        </is>
      </c>
      <c r="F67" s="31" t="inlineStr">
        <is>
          <t>Honorários · parcela 4</t>
        </is>
      </c>
      <c r="G67" s="36" t="n">
        <v>2250</v>
      </c>
      <c r="H67" s="32" t="inlineStr">
        <is>
          <t>Pix</t>
        </is>
      </c>
      <c r="I67" s="32" t="inlineStr">
        <is>
          <t>Sim</t>
        </is>
      </c>
      <c r="J67" s="35">
        <f>IF(A67="","",MONTH(A67))</f>
        <v>3</v>
      </c>
      <c r="K67" s="35">
        <f>IF(A67="","",YEAR(A67))</f>
        <v>2026</v>
      </c>
    </row>
    <row r="68">
      <c r="A68" s="38" t="n">
        <v>46099</v>
      </c>
      <c r="B68" s="32" t="inlineStr">
        <is>
          <t>Entrada</t>
        </is>
      </c>
      <c r="C68" s="31" t="inlineStr">
        <is>
          <t>Honorários fixos</t>
        </is>
      </c>
      <c r="D68" s="31" t="inlineStr">
        <is>
          <t>Bistrô 42</t>
        </is>
      </c>
      <c r="E68" s="31" t="inlineStr">
        <is>
          <t>8056747-83.2026.8.26.0561</t>
        </is>
      </c>
      <c r="F68" s="31" t="inlineStr">
        <is>
          <t>Honorários · parcela 2 (vencida)</t>
        </is>
      </c>
      <c r="G68" s="36" t="n">
        <v>2100</v>
      </c>
      <c r="H68" s="32" t="inlineStr">
        <is>
          <t>Boleto</t>
        </is>
      </c>
      <c r="I68" s="32" t="inlineStr">
        <is>
          <t>Não</t>
        </is>
      </c>
      <c r="J68" s="35">
        <f>IF(A68="","",MONTH(A68))</f>
        <v>3</v>
      </c>
      <c r="K68" s="35">
        <f>IF(A68="","",YEAR(A68))</f>
        <v>2026</v>
      </c>
    </row>
    <row r="69">
      <c r="A69" s="38" t="n">
        <v>46099</v>
      </c>
      <c r="B69" s="32" t="inlineStr">
        <is>
          <t>Saída</t>
        </is>
      </c>
      <c r="C69" s="31" t="inlineStr">
        <is>
          <t>Material, correio e outros</t>
        </is>
      </c>
      <c r="D69" s="31" t="inlineStr"/>
      <c r="E69" s="31" t="inlineStr"/>
      <c r="F69" s="31" t="inlineStr">
        <is>
          <t>Material, correio e outros</t>
        </is>
      </c>
      <c r="G69" s="36" t="n">
        <v>380</v>
      </c>
      <c r="H69" s="32" t="inlineStr">
        <is>
          <t>Cartão</t>
        </is>
      </c>
      <c r="I69" s="32" t="inlineStr">
        <is>
          <t>Sim</t>
        </is>
      </c>
      <c r="J69" s="35">
        <f>IF(A69="","",MONTH(A69))</f>
        <v>3</v>
      </c>
      <c r="K69" s="35">
        <f>IF(A69="","",YEAR(A69))</f>
        <v>2026</v>
      </c>
    </row>
    <row r="70">
      <c r="A70" s="38" t="n">
        <v>46101</v>
      </c>
      <c r="B70" s="32" t="inlineStr">
        <is>
          <t>Entrada</t>
        </is>
      </c>
      <c r="C70" s="31" t="inlineStr">
        <is>
          <t>Honorários de êxito</t>
        </is>
      </c>
      <c r="D70" s="31" t="inlineStr">
        <is>
          <t>Ana Beatriz Moreira</t>
        </is>
      </c>
      <c r="E70" s="31" t="inlineStr">
        <is>
          <t>9420478-99.2025.8.26.0491</t>
        </is>
      </c>
      <c r="F70" s="31" t="inlineStr">
        <is>
          <t>Honorários de êxito (fim do caso)</t>
        </is>
      </c>
      <c r="G70" s="36" t="n">
        <v>5500</v>
      </c>
      <c r="H70" s="32" t="inlineStr">
        <is>
          <t>Pix</t>
        </is>
      </c>
      <c r="I70" s="32" t="inlineStr">
        <is>
          <t>Sim</t>
        </is>
      </c>
      <c r="J70" s="35">
        <f>IF(A70="","",MONTH(A70))</f>
        <v>3</v>
      </c>
      <c r="K70" s="35">
        <f>IF(A70="","",YEAR(A70))</f>
        <v>2026</v>
      </c>
    </row>
    <row r="71">
      <c r="A71" s="38" t="n">
        <v>46101</v>
      </c>
      <c r="B71" s="32" t="inlineStr">
        <is>
          <t>Entrada</t>
        </is>
      </c>
      <c r="C71" s="31" t="inlineStr">
        <is>
          <t>Honorários fixos</t>
        </is>
      </c>
      <c r="D71" s="31" t="inlineStr">
        <is>
          <t>Transportadora Rota Sul</t>
        </is>
      </c>
      <c r="E71" s="31" t="inlineStr">
        <is>
          <t>9225646-96.2025.8.26.0322</t>
        </is>
      </c>
      <c r="F71" s="31" t="inlineStr">
        <is>
          <t>Honorários · parcela 3</t>
        </is>
      </c>
      <c r="G71" s="36" t="n">
        <v>2000</v>
      </c>
      <c r="H71" s="32" t="inlineStr">
        <is>
          <t>Pix</t>
        </is>
      </c>
      <c r="I71" s="32" t="inlineStr">
        <is>
          <t>Sim</t>
        </is>
      </c>
      <c r="J71" s="35">
        <f>IF(A71="","",MONTH(A71))</f>
        <v>3</v>
      </c>
      <c r="K71" s="35">
        <f>IF(A71="","",YEAR(A71))</f>
        <v>2026</v>
      </c>
    </row>
    <row r="72">
      <c r="A72" s="38" t="n">
        <v>46101</v>
      </c>
      <c r="B72" s="32" t="inlineStr">
        <is>
          <t>Saída</t>
        </is>
      </c>
      <c r="C72" s="31" t="inlineStr">
        <is>
          <t>Impostos e taxas</t>
        </is>
      </c>
      <c r="D72" s="31" t="inlineStr"/>
      <c r="E72" s="31" t="inlineStr"/>
      <c r="F72" s="31" t="inlineStr">
        <is>
          <t>Guia de impostos do mês anterior (alíquota efetiva combinada com o contador)</t>
        </is>
      </c>
      <c r="G72" s="36" t="n">
        <v>1846</v>
      </c>
      <c r="H72" s="32" t="inlineStr">
        <is>
          <t>Boleto</t>
        </is>
      </c>
      <c r="I72" s="32" t="inlineStr">
        <is>
          <t>Sim</t>
        </is>
      </c>
      <c r="J72" s="35">
        <f>IF(A72="","",MONTH(A72))</f>
        <v>3</v>
      </c>
      <c r="K72" s="35">
        <f>IF(A72="","",YEAR(A72))</f>
        <v>2026</v>
      </c>
    </row>
    <row r="73">
      <c r="A73" s="38" t="n">
        <v>46101</v>
      </c>
      <c r="B73" s="32" t="inlineStr">
        <is>
          <t>Saída</t>
        </is>
      </c>
      <c r="C73" s="31" t="inlineStr">
        <is>
          <t>Marketing e site</t>
        </is>
      </c>
      <c r="D73" s="31" t="inlineStr"/>
      <c r="E73" s="31" t="inlineStr"/>
      <c r="F73" s="31" t="inlineStr">
        <is>
          <t>Marketing e site</t>
        </is>
      </c>
      <c r="G73" s="36" t="n">
        <v>400</v>
      </c>
      <c r="H73" s="32" t="inlineStr">
        <is>
          <t>Cartão</t>
        </is>
      </c>
      <c r="I73" s="32" t="inlineStr">
        <is>
          <t>Sim</t>
        </is>
      </c>
      <c r="J73" s="35">
        <f>IF(A73="","",MONTH(A73))</f>
        <v>3</v>
      </c>
      <c r="K73" s="35">
        <f>IF(A73="","",YEAR(A73))</f>
        <v>2026</v>
      </c>
    </row>
    <row r="74">
      <c r="A74" s="38" t="n">
        <v>46104</v>
      </c>
      <c r="B74" s="32" t="inlineStr">
        <is>
          <t>Entrada</t>
        </is>
      </c>
      <c r="C74" s="31" t="inlineStr">
        <is>
          <t>Honorários fixos</t>
        </is>
      </c>
      <c r="D74" s="31" t="inlineStr">
        <is>
          <t>Patrícia Gomes</t>
        </is>
      </c>
      <c r="E74" s="31" t="inlineStr">
        <is>
          <t>6832730-55.2026.8.26.0386</t>
        </is>
      </c>
      <c r="F74" s="31" t="inlineStr">
        <is>
          <t>Honorários · entrada</t>
        </is>
      </c>
      <c r="G74" s="36" t="n">
        <v>3600</v>
      </c>
      <c r="H74" s="32" t="inlineStr">
        <is>
          <t>Pix</t>
        </is>
      </c>
      <c r="I74" s="32" t="inlineStr">
        <is>
          <t>Sim</t>
        </is>
      </c>
      <c r="J74" s="35">
        <f>IF(A74="","",MONTH(A74))</f>
        <v>3</v>
      </c>
      <c r="K74" s="35">
        <f>IF(A74="","",YEAR(A74))</f>
        <v>2026</v>
      </c>
    </row>
    <row r="75">
      <c r="A75" s="38" t="n">
        <v>46104</v>
      </c>
      <c r="B75" s="32" t="inlineStr">
        <is>
          <t>Entrada</t>
        </is>
      </c>
      <c r="C75" s="31" t="inlineStr">
        <is>
          <t>Honorários fixos</t>
        </is>
      </c>
      <c r="D75" s="31" t="inlineStr">
        <is>
          <t>Oficina Mecânica Central</t>
        </is>
      </c>
      <c r="E75" s="31" t="inlineStr">
        <is>
          <t>3363714-92.2025.8.26.0592</t>
        </is>
      </c>
      <c r="F75" s="31" t="inlineStr">
        <is>
          <t>Honorários · parcela 4</t>
        </is>
      </c>
      <c r="G75" s="36" t="n">
        <v>2000</v>
      </c>
      <c r="H75" s="32" t="inlineStr">
        <is>
          <t>Pix</t>
        </is>
      </c>
      <c r="I75" s="32" t="inlineStr">
        <is>
          <t>Sim</t>
        </is>
      </c>
      <c r="J75" s="35">
        <f>IF(A75="","",MONTH(A75))</f>
        <v>3</v>
      </c>
      <c r="K75" s="35">
        <f>IF(A75="","",YEAR(A75))</f>
        <v>2026</v>
      </c>
    </row>
    <row r="76">
      <c r="A76" s="38" t="n">
        <v>46109</v>
      </c>
      <c r="B76" s="32" t="inlineStr">
        <is>
          <t>Saída</t>
        </is>
      </c>
      <c r="C76" s="31" t="inlineStr">
        <is>
          <t>Pró-labore dos sócios</t>
        </is>
      </c>
      <c r="D76" s="31" t="inlineStr"/>
      <c r="E76" s="31" t="inlineStr"/>
      <c r="F76" s="31" t="inlineStr">
        <is>
          <t>Pró-labore · Marina Ferraz</t>
        </is>
      </c>
      <c r="G76" s="36" t="n">
        <v>6000</v>
      </c>
      <c r="H76" s="32" t="inlineStr">
        <is>
          <t>Transferência</t>
        </is>
      </c>
      <c r="I76" s="32" t="inlineStr">
        <is>
          <t>Sim</t>
        </is>
      </c>
      <c r="J76" s="35">
        <f>IF(A76="","",MONTH(A76))</f>
        <v>3</v>
      </c>
      <c r="K76" s="35">
        <f>IF(A76="","",YEAR(A76))</f>
        <v>2026</v>
      </c>
    </row>
    <row r="77">
      <c r="A77" s="38" t="n">
        <v>46109</v>
      </c>
      <c r="B77" s="32" t="inlineStr">
        <is>
          <t>Saída</t>
        </is>
      </c>
      <c r="C77" s="31" t="inlineStr">
        <is>
          <t>Pró-labore dos sócios</t>
        </is>
      </c>
      <c r="D77" s="31" t="inlineStr"/>
      <c r="E77" s="31" t="inlineStr"/>
      <c r="F77" s="31" t="inlineStr">
        <is>
          <t>Pró-labore · Rafael Lima</t>
        </is>
      </c>
      <c r="G77" s="36" t="n">
        <v>6000</v>
      </c>
      <c r="H77" s="32" t="inlineStr">
        <is>
          <t>Transferência</t>
        </is>
      </c>
      <c r="I77" s="32" t="inlineStr">
        <is>
          <t>Sim</t>
        </is>
      </c>
      <c r="J77" s="35">
        <f>IF(A77="","",MONTH(A77))</f>
        <v>3</v>
      </c>
      <c r="K77" s="35">
        <f>IF(A77="","",YEAR(A77))</f>
        <v>2026</v>
      </c>
    </row>
    <row r="78">
      <c r="A78" s="38" t="n">
        <v>46117</v>
      </c>
      <c r="B78" s="32" t="inlineStr">
        <is>
          <t>Saída</t>
        </is>
      </c>
      <c r="C78" s="31" t="inlineStr">
        <is>
          <t>Aluguel e condomínio</t>
        </is>
      </c>
      <c r="D78" s="31" t="inlineStr"/>
      <c r="E78" s="31" t="inlineStr"/>
      <c r="F78" s="31" t="inlineStr">
        <is>
          <t>Aluguel e condomínio da sala</t>
        </is>
      </c>
      <c r="G78" s="36" t="n">
        <v>2800</v>
      </c>
      <c r="H78" s="32" t="inlineStr">
        <is>
          <t>Boleto</t>
        </is>
      </c>
      <c r="I78" s="32" t="inlineStr">
        <is>
          <t>Sim</t>
        </is>
      </c>
      <c r="J78" s="35">
        <f>IF(A78="","",MONTH(A78))</f>
        <v>4</v>
      </c>
      <c r="K78" s="35">
        <f>IF(A78="","",YEAR(A78))</f>
        <v>2026</v>
      </c>
    </row>
    <row r="79">
      <c r="A79" s="38" t="n">
        <v>46117</v>
      </c>
      <c r="B79" s="32" t="inlineStr">
        <is>
          <t>Saída</t>
        </is>
      </c>
      <c r="C79" s="31" t="inlineStr">
        <is>
          <t>Estagiária (bolsa)</t>
        </is>
      </c>
      <c r="D79" s="31" t="inlineStr"/>
      <c r="E79" s="31" t="inlineStr"/>
      <c r="F79" s="31" t="inlineStr">
        <is>
          <t>Bolsa da estagiária · Júlia Prado</t>
        </is>
      </c>
      <c r="G79" s="36" t="n">
        <v>1400</v>
      </c>
      <c r="H79" s="32" t="inlineStr">
        <is>
          <t>Cartão</t>
        </is>
      </c>
      <c r="I79" s="32" t="inlineStr">
        <is>
          <t>Sim</t>
        </is>
      </c>
      <c r="J79" s="35">
        <f>IF(A79="","",MONTH(A79))</f>
        <v>4</v>
      </c>
      <c r="K79" s="35">
        <f>IF(A79="","",YEAR(A79))</f>
        <v>2026</v>
      </c>
    </row>
    <row r="80">
      <c r="A80" s="38" t="n">
        <v>46120</v>
      </c>
      <c r="B80" s="32" t="inlineStr">
        <is>
          <t>Entrada</t>
        </is>
      </c>
      <c r="C80" s="31" t="inlineStr">
        <is>
          <t>Honorários fixos</t>
        </is>
      </c>
      <c r="D80" s="31" t="inlineStr">
        <is>
          <t>Transportadora Rota Sul</t>
        </is>
      </c>
      <c r="E80" s="31" t="inlineStr">
        <is>
          <t>9225646-96.2025.8.26.0322</t>
        </is>
      </c>
      <c r="F80" s="31" t="inlineStr">
        <is>
          <t>Honorários · parcela 4</t>
        </is>
      </c>
      <c r="G80" s="36" t="n">
        <v>2000</v>
      </c>
      <c r="H80" s="32" t="inlineStr">
        <is>
          <t>Pix</t>
        </is>
      </c>
      <c r="I80" s="32" t="inlineStr">
        <is>
          <t>Sim</t>
        </is>
      </c>
      <c r="J80" s="35">
        <f>IF(A80="","",MONTH(A80))</f>
        <v>4</v>
      </c>
      <c r="K80" s="35">
        <f>IF(A80="","",YEAR(A80))</f>
        <v>2026</v>
      </c>
    </row>
    <row r="81">
      <c r="A81" s="38" t="n">
        <v>46120</v>
      </c>
      <c r="B81" s="32" t="inlineStr">
        <is>
          <t>Saída</t>
        </is>
      </c>
      <c r="C81" s="31" t="inlineStr">
        <is>
          <t>Sistemas e assinaturas</t>
        </is>
      </c>
      <c r="D81" s="31" t="inlineStr"/>
      <c r="E81" s="31" t="inlineStr"/>
      <c r="F81" s="31" t="inlineStr">
        <is>
          <t>Sistemas e assinaturas</t>
        </is>
      </c>
      <c r="G81" s="36" t="n">
        <v>450</v>
      </c>
      <c r="H81" s="32" t="inlineStr">
        <is>
          <t>Cartão</t>
        </is>
      </c>
      <c r="I81" s="32" t="inlineStr">
        <is>
          <t>Sim</t>
        </is>
      </c>
      <c r="J81" s="35">
        <f>IF(A81="","",MONTH(A81))</f>
        <v>4</v>
      </c>
      <c r="K81" s="35">
        <f>IF(A81="","",YEAR(A81))</f>
        <v>2026</v>
      </c>
    </row>
    <row r="82">
      <c r="A82" s="38" t="n">
        <v>46122</v>
      </c>
      <c r="B82" s="32" t="inlineStr">
        <is>
          <t>Entrada</t>
        </is>
      </c>
      <c r="C82" s="31" t="inlineStr">
        <is>
          <t>Consultoria e pareceres</t>
        </is>
      </c>
      <c r="D82" s="31" t="inlineStr">
        <is>
          <t>Clínica Bem-Estar</t>
        </is>
      </c>
      <c r="E82" s="31" t="inlineStr">
        <is>
          <t>CONS-2025-05</t>
        </is>
      </c>
      <c r="F82" s="31" t="inlineStr">
        <is>
          <t>Fatura de horas · 5</t>
        </is>
      </c>
      <c r="G82" s="36" t="n">
        <v>1800</v>
      </c>
      <c r="H82" s="32" t="inlineStr">
        <is>
          <t>Boleto</t>
        </is>
      </c>
      <c r="I82" s="32" t="inlineStr">
        <is>
          <t>Sim</t>
        </is>
      </c>
      <c r="J82" s="35">
        <f>IF(A82="","",MONTH(A82))</f>
        <v>4</v>
      </c>
      <c r="K82" s="35">
        <f>IF(A82="","",YEAR(A82))</f>
        <v>2026</v>
      </c>
    </row>
    <row r="83">
      <c r="A83" s="38" t="n">
        <v>46122</v>
      </c>
      <c r="B83" s="32" t="inlineStr">
        <is>
          <t>Entrada</t>
        </is>
      </c>
      <c r="C83" s="31" t="inlineStr">
        <is>
          <t>Honorários por hora</t>
        </is>
      </c>
      <c r="D83" s="31" t="inlineStr">
        <is>
          <t>Agência Prisma</t>
        </is>
      </c>
      <c r="E83" s="31" t="inlineStr">
        <is>
          <t>9362688-24.2025.8.26.0436</t>
        </is>
      </c>
      <c r="F83" s="31" t="inlineStr">
        <is>
          <t>Fatura de horas · 4</t>
        </is>
      </c>
      <c r="G83" s="36" t="n">
        <v>3060</v>
      </c>
      <c r="H83" s="32" t="inlineStr">
        <is>
          <t>Boleto</t>
        </is>
      </c>
      <c r="I83" s="32" t="inlineStr">
        <is>
          <t>Sim</t>
        </is>
      </c>
      <c r="J83" s="35">
        <f>IF(A83="","",MONTH(A83))</f>
        <v>4</v>
      </c>
      <c r="K83" s="35">
        <f>IF(A83="","",YEAR(A83))</f>
        <v>2026</v>
      </c>
    </row>
    <row r="84">
      <c r="A84" s="38" t="n">
        <v>46122</v>
      </c>
      <c r="B84" s="32" t="inlineStr">
        <is>
          <t>Saída</t>
        </is>
      </c>
      <c r="C84" s="31" t="inlineStr">
        <is>
          <t>Contador</t>
        </is>
      </c>
      <c r="D84" s="31" t="inlineStr"/>
      <c r="E84" s="31" t="inlineStr"/>
      <c r="F84" s="31" t="inlineStr">
        <is>
          <t>Honorários do contador</t>
        </is>
      </c>
      <c r="G84" s="36" t="n">
        <v>600</v>
      </c>
      <c r="H84" s="32" t="inlineStr">
        <is>
          <t>Boleto</t>
        </is>
      </c>
      <c r="I84" s="32" t="inlineStr">
        <is>
          <t>Sim</t>
        </is>
      </c>
      <c r="J84" s="35">
        <f>IF(A84="","",MONTH(A84))</f>
        <v>4</v>
      </c>
      <c r="K84" s="35">
        <f>IF(A84="","",YEAR(A84))</f>
        <v>2026</v>
      </c>
    </row>
    <row r="85">
      <c r="A85" s="38" t="n">
        <v>46122</v>
      </c>
      <c r="B85" s="32" t="inlineStr">
        <is>
          <t>Saída</t>
        </is>
      </c>
      <c r="C85" s="31" t="inlineStr">
        <is>
          <t>Pró-labore dos sócios</t>
        </is>
      </c>
      <c r="D85" s="31" t="inlineStr"/>
      <c r="E85" s="31" t="inlineStr"/>
      <c r="F85" s="31" t="inlineStr">
        <is>
          <t>Distribuição de lucro · 1º trimestre · Marina Ferraz</t>
        </is>
      </c>
      <c r="G85" s="36" t="n">
        <v>2655</v>
      </c>
      <c r="H85" s="32" t="inlineStr">
        <is>
          <t>Transferência</t>
        </is>
      </c>
      <c r="I85" s="32" t="inlineStr">
        <is>
          <t>Sim</t>
        </is>
      </c>
      <c r="J85" s="35">
        <f>IF(A85="","",MONTH(A85))</f>
        <v>4</v>
      </c>
      <c r="K85" s="35">
        <f>IF(A85="","",YEAR(A85))</f>
        <v>2026</v>
      </c>
    </row>
    <row r="86">
      <c r="A86" s="38" t="n">
        <v>46122</v>
      </c>
      <c r="B86" s="32" t="inlineStr">
        <is>
          <t>Saída</t>
        </is>
      </c>
      <c r="C86" s="31" t="inlineStr">
        <is>
          <t>Pró-labore dos sócios</t>
        </is>
      </c>
      <c r="D86" s="31" t="inlineStr"/>
      <c r="E86" s="31" t="inlineStr"/>
      <c r="F86" s="31" t="inlineStr">
        <is>
          <t>Distribuição de lucro · 1º trimestre · Rafael Lima</t>
        </is>
      </c>
      <c r="G86" s="36" t="n">
        <v>2656</v>
      </c>
      <c r="H86" s="32" t="inlineStr">
        <is>
          <t>Transferência</t>
        </is>
      </c>
      <c r="I86" s="32" t="inlineStr">
        <is>
          <t>Sim</t>
        </is>
      </c>
      <c r="J86" s="35">
        <f>IF(A86="","",MONTH(A86))</f>
        <v>4</v>
      </c>
      <c r="K86" s="35">
        <f>IF(A86="","",YEAR(A86))</f>
        <v>2026</v>
      </c>
    </row>
    <row r="87">
      <c r="A87" s="38" t="n">
        <v>46124</v>
      </c>
      <c r="B87" s="32" t="inlineStr">
        <is>
          <t>Saída</t>
        </is>
      </c>
      <c r="C87" s="31" t="inlineStr">
        <is>
          <t>Telefone e internet</t>
        </is>
      </c>
      <c r="D87" s="31" t="inlineStr"/>
      <c r="E87" s="31" t="inlineStr"/>
      <c r="F87" s="31" t="inlineStr">
        <is>
          <t>Telefone e internet</t>
        </is>
      </c>
      <c r="G87" s="36" t="n">
        <v>220</v>
      </c>
      <c r="H87" s="32" t="inlineStr">
        <is>
          <t>Boleto</t>
        </is>
      </c>
      <c r="I87" s="32" t="inlineStr">
        <is>
          <t>Sim</t>
        </is>
      </c>
      <c r="J87" s="35">
        <f>IF(A87="","",MONTH(A87))</f>
        <v>4</v>
      </c>
      <c r="K87" s="35">
        <f>IF(A87="","",YEAR(A87))</f>
        <v>2026</v>
      </c>
    </row>
    <row r="88">
      <c r="A88" s="38" t="n">
        <v>46125</v>
      </c>
      <c r="B88" s="32" t="inlineStr">
        <is>
          <t>Entrada</t>
        </is>
      </c>
      <c r="C88" s="31" t="inlineStr">
        <is>
          <t>Consultoria e pareceres</t>
        </is>
      </c>
      <c r="D88" s="31" t="inlineStr">
        <is>
          <t>Agência Prisma</t>
        </is>
      </c>
      <c r="E88" s="31" t="inlineStr">
        <is>
          <t>CONS-2026-07</t>
        </is>
      </c>
      <c r="F88" s="31" t="inlineStr">
        <is>
          <t>Honorários · parcela 1</t>
        </is>
      </c>
      <c r="G88" s="36" t="n">
        <v>3500</v>
      </c>
      <c r="H88" s="32" t="inlineStr">
        <is>
          <t>Pix</t>
        </is>
      </c>
      <c r="I88" s="32" t="inlineStr">
        <is>
          <t>Sim</t>
        </is>
      </c>
      <c r="J88" s="35">
        <f>IF(A88="","",MONTH(A88))</f>
        <v>4</v>
      </c>
      <c r="K88" s="35">
        <f>IF(A88="","",YEAR(A88))</f>
        <v>2026</v>
      </c>
    </row>
    <row r="89">
      <c r="A89" s="38" t="n">
        <v>46125</v>
      </c>
      <c r="B89" s="32" t="inlineStr">
        <is>
          <t>Entrada</t>
        </is>
      </c>
      <c r="C89" s="31" t="inlineStr">
        <is>
          <t>Honorários fixos</t>
        </is>
      </c>
      <c r="D89" s="31" t="inlineStr">
        <is>
          <t>Oficina Mecânica Central</t>
        </is>
      </c>
      <c r="E89" s="31" t="inlineStr">
        <is>
          <t>8663770-96.2025.8.26.0481</t>
        </is>
      </c>
      <c r="F89" s="31" t="inlineStr">
        <is>
          <t>Honorários · parcela 11</t>
        </is>
      </c>
      <c r="G89" s="36" t="n">
        <v>800</v>
      </c>
      <c r="H89" s="32" t="inlineStr">
        <is>
          <t>Pix</t>
        </is>
      </c>
      <c r="I89" s="32" t="inlineStr">
        <is>
          <t>Sim</t>
        </is>
      </c>
      <c r="J89" s="35">
        <f>IF(A89="","",MONTH(A89))</f>
        <v>4</v>
      </c>
      <c r="K89" s="35">
        <f>IF(A89="","",YEAR(A89))</f>
        <v>2026</v>
      </c>
    </row>
    <row r="90">
      <c r="A90" s="38" t="n">
        <v>46126</v>
      </c>
      <c r="B90" s="32" t="inlineStr">
        <is>
          <t>Entrada</t>
        </is>
      </c>
      <c r="C90" s="31" t="inlineStr">
        <is>
          <t>Outras entradas</t>
        </is>
      </c>
      <c r="D90" s="31" t="inlineStr"/>
      <c r="E90" s="31" t="inlineStr"/>
      <c r="F90" s="31" t="inlineStr">
        <is>
          <t>Devolução de despesa pessoal · Marina Ferraz</t>
        </is>
      </c>
      <c r="G90" s="36" t="n">
        <v>480</v>
      </c>
      <c r="H90" s="32" t="inlineStr">
        <is>
          <t>Pix</t>
        </is>
      </c>
      <c r="I90" s="32" t="inlineStr">
        <is>
          <t>Sim</t>
        </is>
      </c>
      <c r="J90" s="35">
        <f>IF(A90="","",MONTH(A90))</f>
        <v>4</v>
      </c>
      <c r="K90" s="35">
        <f>IF(A90="","",YEAR(A90))</f>
        <v>2026</v>
      </c>
    </row>
    <row r="91">
      <c r="A91" s="38" t="n">
        <v>46127</v>
      </c>
      <c r="B91" s="32" t="inlineStr">
        <is>
          <t>Entrada</t>
        </is>
      </c>
      <c r="C91" s="31" t="inlineStr">
        <is>
          <t>Honorários fixos</t>
        </is>
      </c>
      <c r="D91" s="31" t="inlineStr">
        <is>
          <t>Carlos Eduardo Nunes</t>
        </is>
      </c>
      <c r="E91" s="31" t="inlineStr">
        <is>
          <t>8045862-82.2026.8.26.0491</t>
        </is>
      </c>
      <c r="F91" s="31" t="inlineStr">
        <is>
          <t>Honorários · parcela 1</t>
        </is>
      </c>
      <c r="G91" s="36" t="n">
        <v>1800</v>
      </c>
      <c r="H91" s="32" t="inlineStr">
        <is>
          <t>Pix</t>
        </is>
      </c>
      <c r="I91" s="32" t="inlineStr">
        <is>
          <t>Sim</t>
        </is>
      </c>
      <c r="J91" s="35">
        <f>IF(A91="","",MONTH(A91))</f>
        <v>4</v>
      </c>
      <c r="K91" s="35">
        <f>IF(A91="","",YEAR(A91))</f>
        <v>2026</v>
      </c>
    </row>
    <row r="92">
      <c r="A92" s="38" t="n">
        <v>46127</v>
      </c>
      <c r="B92" s="32" t="inlineStr">
        <is>
          <t>Saída</t>
        </is>
      </c>
      <c r="C92" s="31" t="inlineStr">
        <is>
          <t>Anuidades OAB e cursos</t>
        </is>
      </c>
      <c r="D92" s="31" t="inlineStr"/>
      <c r="E92" s="31" t="inlineStr"/>
      <c r="F92" s="31" t="inlineStr">
        <is>
          <t>Anuidades OAB e cursos</t>
        </is>
      </c>
      <c r="G92" s="36" t="n">
        <v>250</v>
      </c>
      <c r="H92" s="32" t="inlineStr">
        <is>
          <t>Cartão</t>
        </is>
      </c>
      <c r="I92" s="32" t="inlineStr">
        <is>
          <t>Sim</t>
        </is>
      </c>
      <c r="J92" s="35">
        <f>IF(A92="","",MONTH(A92))</f>
        <v>4</v>
      </c>
      <c r="K92" s="35">
        <f>IF(A92="","",YEAR(A92))</f>
        <v>2026</v>
      </c>
    </row>
    <row r="93">
      <c r="A93" s="38" t="n">
        <v>46128</v>
      </c>
      <c r="B93" s="32" t="inlineStr">
        <is>
          <t>Saída</t>
        </is>
      </c>
      <c r="C93" s="31" t="inlineStr">
        <is>
          <t>Custas e despesas de processo</t>
        </is>
      </c>
      <c r="D93" s="31" t="inlineStr">
        <is>
          <t>Agência Prisma</t>
        </is>
      </c>
      <c r="E93" s="31" t="inlineStr">
        <is>
          <t>9362688-24.2025.8.26.0436</t>
        </is>
      </c>
      <c r="F93" s="31" t="inlineStr">
        <is>
          <t>Custas de recurso</t>
        </is>
      </c>
      <c r="G93" s="36" t="n">
        <v>540</v>
      </c>
      <c r="H93" s="32" t="inlineStr">
        <is>
          <t>Boleto</t>
        </is>
      </c>
      <c r="I93" s="32" t="inlineStr">
        <is>
          <t>Sim</t>
        </is>
      </c>
      <c r="J93" s="35">
        <f>IF(A93="","",MONTH(A93))</f>
        <v>4</v>
      </c>
      <c r="K93" s="35">
        <f>IF(A93="","",YEAR(A93))</f>
        <v>2026</v>
      </c>
    </row>
    <row r="94">
      <c r="A94" s="38" t="n">
        <v>46129</v>
      </c>
      <c r="B94" s="32" t="inlineStr">
        <is>
          <t>Entrada</t>
        </is>
      </c>
      <c r="C94" s="31" t="inlineStr">
        <is>
          <t>Honorários fixos</t>
        </is>
      </c>
      <c r="D94" s="31" t="inlineStr">
        <is>
          <t>Bistrô 42</t>
        </is>
      </c>
      <c r="E94" s="31" t="inlineStr">
        <is>
          <t>8056747-83.2026.8.26.0561</t>
        </is>
      </c>
      <c r="F94" s="31" t="inlineStr">
        <is>
          <t>Honorários · parcela 3 (vencida)</t>
        </is>
      </c>
      <c r="G94" s="36" t="n">
        <v>2100</v>
      </c>
      <c r="H94" s="32" t="inlineStr">
        <is>
          <t>Boleto</t>
        </is>
      </c>
      <c r="I94" s="32" t="inlineStr">
        <is>
          <t>Não</t>
        </is>
      </c>
      <c r="J94" s="35">
        <f>IF(A94="","",MONTH(A94))</f>
        <v>4</v>
      </c>
      <c r="K94" s="35">
        <f>IF(A94="","",YEAR(A94))</f>
        <v>2026</v>
      </c>
    </row>
    <row r="95">
      <c r="A95" s="38" t="n">
        <v>46130</v>
      </c>
      <c r="B95" s="32" t="inlineStr">
        <is>
          <t>Saída</t>
        </is>
      </c>
      <c r="C95" s="31" t="inlineStr">
        <is>
          <t>Material, correio e outros</t>
        </is>
      </c>
      <c r="D95" s="31" t="inlineStr"/>
      <c r="E95" s="31" t="inlineStr"/>
      <c r="F95" s="31" t="inlineStr">
        <is>
          <t>Material, correio e outros</t>
        </is>
      </c>
      <c r="G95" s="36" t="n">
        <v>380</v>
      </c>
      <c r="H95" s="32" t="inlineStr">
        <is>
          <t>Cartão</t>
        </is>
      </c>
      <c r="I95" s="32" t="inlineStr">
        <is>
          <t>Sim</t>
        </is>
      </c>
      <c r="J95" s="35">
        <f>IF(A95="","",MONTH(A95))</f>
        <v>4</v>
      </c>
      <c r="K95" s="35">
        <f>IF(A95="","",YEAR(A95))</f>
        <v>2026</v>
      </c>
    </row>
    <row r="96">
      <c r="A96" s="38" t="n">
        <v>46132</v>
      </c>
      <c r="B96" s="32" t="inlineStr">
        <is>
          <t>Entrada</t>
        </is>
      </c>
      <c r="C96" s="31" t="inlineStr">
        <is>
          <t>Honorários fixos</t>
        </is>
      </c>
      <c r="D96" s="31" t="inlineStr">
        <is>
          <t>Oficina Mecânica Central</t>
        </is>
      </c>
      <c r="E96" s="31" t="inlineStr">
        <is>
          <t>6184138-13.2026.8.26.0378</t>
        </is>
      </c>
      <c r="F96" s="31" t="inlineStr">
        <is>
          <t>Honorários · entrada</t>
        </is>
      </c>
      <c r="G96" s="36" t="n">
        <v>3000</v>
      </c>
      <c r="H96" s="32" t="inlineStr">
        <is>
          <t>Pix</t>
        </is>
      </c>
      <c r="I96" s="32" t="inlineStr">
        <is>
          <t>Sim</t>
        </is>
      </c>
      <c r="J96" s="35">
        <f>IF(A96="","",MONTH(A96))</f>
        <v>4</v>
      </c>
      <c r="K96" s="35">
        <f>IF(A96="","",YEAR(A96))</f>
        <v>2026</v>
      </c>
    </row>
    <row r="97">
      <c r="A97" s="38" t="n">
        <v>46132</v>
      </c>
      <c r="B97" s="32" t="inlineStr">
        <is>
          <t>Saída</t>
        </is>
      </c>
      <c r="C97" s="31" t="inlineStr">
        <is>
          <t>Impostos e taxas</t>
        </is>
      </c>
      <c r="D97" s="31" t="inlineStr"/>
      <c r="E97" s="31" t="inlineStr"/>
      <c r="F97" s="31" t="inlineStr">
        <is>
          <t>Guia de impostos do mês anterior (alíquota efetiva combinada com o contador)</t>
        </is>
      </c>
      <c r="G97" s="36" t="n">
        <v>2287</v>
      </c>
      <c r="H97" s="32" t="inlineStr">
        <is>
          <t>Boleto</t>
        </is>
      </c>
      <c r="I97" s="32" t="inlineStr">
        <is>
          <t>Sim</t>
        </is>
      </c>
      <c r="J97" s="35">
        <f>IF(A97="","",MONTH(A97))</f>
        <v>4</v>
      </c>
      <c r="K97" s="35">
        <f>IF(A97="","",YEAR(A97))</f>
        <v>2026</v>
      </c>
    </row>
    <row r="98">
      <c r="A98" s="38" t="n">
        <v>46132</v>
      </c>
      <c r="B98" s="32" t="inlineStr">
        <is>
          <t>Saída</t>
        </is>
      </c>
      <c r="C98" s="31" t="inlineStr">
        <is>
          <t>Marketing e site</t>
        </is>
      </c>
      <c r="D98" s="31" t="inlineStr"/>
      <c r="E98" s="31" t="inlineStr"/>
      <c r="F98" s="31" t="inlineStr">
        <is>
          <t>Marketing e site</t>
        </is>
      </c>
      <c r="G98" s="36" t="n">
        <v>400</v>
      </c>
      <c r="H98" s="32" t="inlineStr">
        <is>
          <t>Cartão</t>
        </is>
      </c>
      <c r="I98" s="32" t="inlineStr">
        <is>
          <t>Sim</t>
        </is>
      </c>
      <c r="J98" s="35">
        <f>IF(A98="","",MONTH(A98))</f>
        <v>4</v>
      </c>
      <c r="K98" s="35">
        <f>IF(A98="","",YEAR(A98))</f>
        <v>2026</v>
      </c>
    </row>
    <row r="99">
      <c r="A99" s="38" t="n">
        <v>46134</v>
      </c>
      <c r="B99" s="32" t="inlineStr">
        <is>
          <t>Entrada</t>
        </is>
      </c>
      <c r="C99" s="31" t="inlineStr">
        <is>
          <t>Honorários fixos</t>
        </is>
      </c>
      <c r="D99" s="31" t="inlineStr">
        <is>
          <t>Patrícia Gomes</t>
        </is>
      </c>
      <c r="E99" s="31" t="inlineStr">
        <is>
          <t>6832730-55.2026.8.26.0386</t>
        </is>
      </c>
      <c r="F99" s="31" t="inlineStr">
        <is>
          <t>Honorários · parcela 1</t>
        </is>
      </c>
      <c r="G99" s="36" t="n">
        <v>1800</v>
      </c>
      <c r="H99" s="32" t="inlineStr">
        <is>
          <t>Pix</t>
        </is>
      </c>
      <c r="I99" s="32" t="inlineStr">
        <is>
          <t>Sim</t>
        </is>
      </c>
      <c r="J99" s="35">
        <f>IF(A99="","",MONTH(A99))</f>
        <v>4</v>
      </c>
      <c r="K99" s="35">
        <f>IF(A99="","",YEAR(A99))</f>
        <v>2026</v>
      </c>
    </row>
    <row r="100">
      <c r="A100" s="38" t="n">
        <v>46135</v>
      </c>
      <c r="B100" s="32" t="inlineStr">
        <is>
          <t>Entrada</t>
        </is>
      </c>
      <c r="C100" s="31" t="inlineStr">
        <is>
          <t>Honorários fixos</t>
        </is>
      </c>
      <c r="D100" s="31" t="inlineStr">
        <is>
          <t>Oficina Mecânica Central</t>
        </is>
      </c>
      <c r="E100" s="31" t="inlineStr">
        <is>
          <t>3363714-92.2025.8.26.0592</t>
        </is>
      </c>
      <c r="F100" s="31" t="inlineStr">
        <is>
          <t>Honorários · parcela 5</t>
        </is>
      </c>
      <c r="G100" s="36" t="n">
        <v>2000</v>
      </c>
      <c r="H100" s="32" t="inlineStr">
        <is>
          <t>Pix</t>
        </is>
      </c>
      <c r="I100" s="32" t="inlineStr">
        <is>
          <t>Sim</t>
        </is>
      </c>
      <c r="J100" s="35">
        <f>IF(A100="","",MONTH(A100))</f>
        <v>4</v>
      </c>
      <c r="K100" s="35">
        <f>IF(A100="","",YEAR(A100))</f>
        <v>2026</v>
      </c>
    </row>
    <row r="101">
      <c r="A101" s="38" t="n">
        <v>46140</v>
      </c>
      <c r="B101" s="32" t="inlineStr">
        <is>
          <t>Saída</t>
        </is>
      </c>
      <c r="C101" s="31" t="inlineStr">
        <is>
          <t>Pró-labore dos sócios</t>
        </is>
      </c>
      <c r="D101" s="31" t="inlineStr"/>
      <c r="E101" s="31" t="inlineStr"/>
      <c r="F101" s="31" t="inlineStr">
        <is>
          <t>Pró-labore · Marina Ferraz</t>
        </is>
      </c>
      <c r="G101" s="36" t="n">
        <v>6000</v>
      </c>
      <c r="H101" s="32" t="inlineStr">
        <is>
          <t>Transferência</t>
        </is>
      </c>
      <c r="I101" s="32" t="inlineStr">
        <is>
          <t>Sim</t>
        </is>
      </c>
      <c r="J101" s="35">
        <f>IF(A101="","",MONTH(A101))</f>
        <v>4</v>
      </c>
      <c r="K101" s="35">
        <f>IF(A101="","",YEAR(A101))</f>
        <v>2026</v>
      </c>
    </row>
    <row r="102">
      <c r="A102" s="38" t="n">
        <v>46140</v>
      </c>
      <c r="B102" s="32" t="inlineStr">
        <is>
          <t>Saída</t>
        </is>
      </c>
      <c r="C102" s="31" t="inlineStr">
        <is>
          <t>Pró-labore dos sócios</t>
        </is>
      </c>
      <c r="D102" s="31" t="inlineStr"/>
      <c r="E102" s="31" t="inlineStr"/>
      <c r="F102" s="31" t="inlineStr">
        <is>
          <t>Pró-labore · Rafael Lima</t>
        </is>
      </c>
      <c r="G102" s="36" t="n">
        <v>6000</v>
      </c>
      <c r="H102" s="32" t="inlineStr">
        <is>
          <t>Transferência</t>
        </is>
      </c>
      <c r="I102" s="32" t="inlineStr">
        <is>
          <t>Sim</t>
        </is>
      </c>
      <c r="J102" s="35">
        <f>IF(A102="","",MONTH(A102))</f>
        <v>4</v>
      </c>
      <c r="K102" s="35">
        <f>IF(A102="","",YEAR(A102))</f>
        <v>2026</v>
      </c>
    </row>
    <row r="103">
      <c r="A103" s="38" t="n">
        <v>46147</v>
      </c>
      <c r="B103" s="32" t="inlineStr">
        <is>
          <t>Saída</t>
        </is>
      </c>
      <c r="C103" s="31" t="inlineStr">
        <is>
          <t>Aluguel e condomínio</t>
        </is>
      </c>
      <c r="D103" s="31" t="inlineStr"/>
      <c r="E103" s="31" t="inlineStr"/>
      <c r="F103" s="31" t="inlineStr">
        <is>
          <t>Aluguel e condomínio da sala</t>
        </is>
      </c>
      <c r="G103" s="36" t="n">
        <v>2800</v>
      </c>
      <c r="H103" s="32" t="inlineStr">
        <is>
          <t>Boleto</t>
        </is>
      </c>
      <c r="I103" s="32" t="inlineStr">
        <is>
          <t>Sim</t>
        </is>
      </c>
      <c r="J103" s="35">
        <f>IF(A103="","",MONTH(A103))</f>
        <v>5</v>
      </c>
      <c r="K103" s="35">
        <f>IF(A103="","",YEAR(A103))</f>
        <v>2026</v>
      </c>
    </row>
    <row r="104">
      <c r="A104" s="38" t="n">
        <v>46147</v>
      </c>
      <c r="B104" s="32" t="inlineStr">
        <is>
          <t>Saída</t>
        </is>
      </c>
      <c r="C104" s="31" t="inlineStr">
        <is>
          <t>Estagiária (bolsa)</t>
        </is>
      </c>
      <c r="D104" s="31" t="inlineStr"/>
      <c r="E104" s="31" t="inlineStr"/>
      <c r="F104" s="31" t="inlineStr">
        <is>
          <t>Bolsa da estagiária · Júlia Prado</t>
        </is>
      </c>
      <c r="G104" s="36" t="n">
        <v>1400</v>
      </c>
      <c r="H104" s="32" t="inlineStr">
        <is>
          <t>Cartão</t>
        </is>
      </c>
      <c r="I104" s="32" t="inlineStr">
        <is>
          <t>Sim</t>
        </is>
      </c>
      <c r="J104" s="35">
        <f>IF(A104="","",MONTH(A104))</f>
        <v>5</v>
      </c>
      <c r="K104" s="35">
        <f>IF(A104="","",YEAR(A104))</f>
        <v>2026</v>
      </c>
    </row>
    <row r="105">
      <c r="A105" s="38" t="n">
        <v>46148</v>
      </c>
      <c r="B105" s="32" t="inlineStr">
        <is>
          <t>Saída</t>
        </is>
      </c>
      <c r="C105" s="31" t="inlineStr">
        <is>
          <t>Custas e despesas de processo</t>
        </is>
      </c>
      <c r="D105" s="31" t="inlineStr">
        <is>
          <t>Oficina Mecânica Central</t>
        </is>
      </c>
      <c r="E105" s="31" t="inlineStr">
        <is>
          <t>6184138-13.2026.8.26.0378</t>
        </is>
      </c>
      <c r="F105" s="31" t="inlineStr">
        <is>
          <t>Custas de distribuição</t>
        </is>
      </c>
      <c r="G105" s="36" t="n">
        <v>310</v>
      </c>
      <c r="H105" s="32" t="inlineStr">
        <is>
          <t>Boleto</t>
        </is>
      </c>
      <c r="I105" s="32" t="inlineStr">
        <is>
          <t>Sim</t>
        </is>
      </c>
      <c r="J105" s="35">
        <f>IF(A105="","",MONTH(A105))</f>
        <v>5</v>
      </c>
      <c r="K105" s="35">
        <f>IF(A105="","",YEAR(A105))</f>
        <v>2026</v>
      </c>
    </row>
    <row r="106">
      <c r="A106" s="38" t="n">
        <v>46148</v>
      </c>
      <c r="B106" s="32" t="inlineStr">
        <is>
          <t>Saída</t>
        </is>
      </c>
      <c r="C106" s="31" t="inlineStr">
        <is>
          <t>Outras saídas</t>
        </is>
      </c>
      <c r="D106" s="31" t="inlineStr"/>
      <c r="E106" s="31" t="inlineStr"/>
      <c r="F106" s="31" t="inlineStr">
        <is>
          <t>Despesa pessoal · Marina Ferraz · plano de saúde particular (a acertar)</t>
        </is>
      </c>
      <c r="G106" s="36" t="n">
        <v>480</v>
      </c>
      <c r="H106" s="32" t="inlineStr">
        <is>
          <t>Boleto</t>
        </is>
      </c>
      <c r="I106" s="32" t="inlineStr">
        <is>
          <t>Sim</t>
        </is>
      </c>
      <c r="J106" s="35">
        <f>IF(A106="","",MONTH(A106))</f>
        <v>5</v>
      </c>
      <c r="K106" s="35">
        <f>IF(A106="","",YEAR(A106))</f>
        <v>2026</v>
      </c>
    </row>
    <row r="107">
      <c r="A107" s="38" t="n">
        <v>46150</v>
      </c>
      <c r="B107" s="32" t="inlineStr">
        <is>
          <t>Entrada</t>
        </is>
      </c>
      <c r="C107" s="31" t="inlineStr">
        <is>
          <t>Honorários de êxito</t>
        </is>
      </c>
      <c r="D107" s="31" t="inlineStr">
        <is>
          <t>Construtora Horizonte</t>
        </is>
      </c>
      <c r="E107" s="31" t="inlineStr">
        <is>
          <t>9778116-95.2025.8.26.0106</t>
        </is>
      </c>
      <c r="F107" s="31" t="inlineStr">
        <is>
          <t>Honorários de êxito (fim do caso)</t>
        </is>
      </c>
      <c r="G107" s="36" t="n">
        <v>9000</v>
      </c>
      <c r="H107" s="32" t="inlineStr">
        <is>
          <t>Pix</t>
        </is>
      </c>
      <c r="I107" s="32" t="inlineStr">
        <is>
          <t>Sim</t>
        </is>
      </c>
      <c r="J107" s="35">
        <f>IF(A107="","",MONTH(A107))</f>
        <v>5</v>
      </c>
      <c r="K107" s="35">
        <f>IF(A107="","",YEAR(A107))</f>
        <v>2026</v>
      </c>
    </row>
    <row r="108">
      <c r="A108" s="38" t="n">
        <v>46150</v>
      </c>
      <c r="B108" s="32" t="inlineStr">
        <is>
          <t>Saída</t>
        </is>
      </c>
      <c r="C108" s="31" t="inlineStr">
        <is>
          <t>Sistemas e assinaturas</t>
        </is>
      </c>
      <c r="D108" s="31" t="inlineStr"/>
      <c r="E108" s="31" t="inlineStr"/>
      <c r="F108" s="31" t="inlineStr">
        <is>
          <t>Sistemas e assinaturas</t>
        </is>
      </c>
      <c r="G108" s="36" t="n">
        <v>450</v>
      </c>
      <c r="H108" s="32" t="inlineStr">
        <is>
          <t>Cartão</t>
        </is>
      </c>
      <c r="I108" s="32" t="inlineStr">
        <is>
          <t>Sim</t>
        </is>
      </c>
      <c r="J108" s="35">
        <f>IF(A108="","",MONTH(A108))</f>
        <v>5</v>
      </c>
      <c r="K108" s="35">
        <f>IF(A108="","",YEAR(A108))</f>
        <v>2026</v>
      </c>
    </row>
    <row r="109">
      <c r="A109" s="38" t="n">
        <v>46152</v>
      </c>
      <c r="B109" s="32" t="inlineStr">
        <is>
          <t>Saída</t>
        </is>
      </c>
      <c r="C109" s="31" t="inlineStr">
        <is>
          <t>Contador</t>
        </is>
      </c>
      <c r="D109" s="31" t="inlineStr"/>
      <c r="E109" s="31" t="inlineStr"/>
      <c r="F109" s="31" t="inlineStr">
        <is>
          <t>Honorários do contador</t>
        </is>
      </c>
      <c r="G109" s="36" t="n">
        <v>600</v>
      </c>
      <c r="H109" s="32" t="inlineStr">
        <is>
          <t>Boleto</t>
        </is>
      </c>
      <c r="I109" s="32" t="inlineStr">
        <is>
          <t>Sim</t>
        </is>
      </c>
      <c r="J109" s="35">
        <f>IF(A109="","",MONTH(A109))</f>
        <v>5</v>
      </c>
      <c r="K109" s="35">
        <f>IF(A109="","",YEAR(A109))</f>
        <v>2026</v>
      </c>
    </row>
    <row r="110">
      <c r="A110" s="38" t="n">
        <v>46153</v>
      </c>
      <c r="B110" s="32" t="inlineStr">
        <is>
          <t>Entrada</t>
        </is>
      </c>
      <c r="C110" s="31" t="inlineStr">
        <is>
          <t>Consultoria e pareceres</t>
        </is>
      </c>
      <c r="D110" s="31" t="inlineStr">
        <is>
          <t>Clínica Bem-Estar</t>
        </is>
      </c>
      <c r="E110" s="31" t="inlineStr">
        <is>
          <t>CONS-2025-05</t>
        </is>
      </c>
      <c r="F110" s="31" t="inlineStr">
        <is>
          <t>Fatura de horas · 6</t>
        </is>
      </c>
      <c r="G110" s="36" t="n">
        <v>2160</v>
      </c>
      <c r="H110" s="32" t="inlineStr">
        <is>
          <t>Boleto</t>
        </is>
      </c>
      <c r="I110" s="32" t="inlineStr">
        <is>
          <t>Sim</t>
        </is>
      </c>
      <c r="J110" s="35">
        <f>IF(A110="","",MONTH(A110))</f>
        <v>5</v>
      </c>
      <c r="K110" s="35">
        <f>IF(A110="","",YEAR(A110))</f>
        <v>2026</v>
      </c>
    </row>
    <row r="111">
      <c r="A111" s="38" t="n">
        <v>46153</v>
      </c>
      <c r="B111" s="32" t="inlineStr">
        <is>
          <t>Entrada</t>
        </is>
      </c>
      <c r="C111" s="31" t="inlineStr">
        <is>
          <t>Honorários fixos</t>
        </is>
      </c>
      <c r="D111" s="31" t="inlineStr">
        <is>
          <t>Roberto Almeida</t>
        </is>
      </c>
      <c r="E111" s="31" t="inlineStr">
        <is>
          <t>2354318-24.2026.8.26.0295</t>
        </is>
      </c>
      <c r="F111" s="31" t="inlineStr">
        <is>
          <t>Honorários · entrada</t>
        </is>
      </c>
      <c r="G111" s="36" t="n">
        <v>3000</v>
      </c>
      <c r="H111" s="32" t="inlineStr">
        <is>
          <t>Pix</t>
        </is>
      </c>
      <c r="I111" s="32" t="inlineStr">
        <is>
          <t>Sim</t>
        </is>
      </c>
      <c r="J111" s="35">
        <f>IF(A111="","",MONTH(A111))</f>
        <v>5</v>
      </c>
      <c r="K111" s="35">
        <f>IF(A111="","",YEAR(A111))</f>
        <v>2026</v>
      </c>
    </row>
    <row r="112">
      <c r="A112" s="38" t="n">
        <v>46153</v>
      </c>
      <c r="B112" s="32" t="inlineStr">
        <is>
          <t>Entrada</t>
        </is>
      </c>
      <c r="C112" s="31" t="inlineStr">
        <is>
          <t>Honorários por hora</t>
        </is>
      </c>
      <c r="D112" s="31" t="inlineStr">
        <is>
          <t>Agência Prisma</t>
        </is>
      </c>
      <c r="E112" s="31" t="inlineStr">
        <is>
          <t>9362688-24.2025.8.26.0436</t>
        </is>
      </c>
      <c r="F112" s="31" t="inlineStr">
        <is>
          <t>Fatura de horas · 5</t>
        </is>
      </c>
      <c r="G112" s="36" t="n">
        <v>2160</v>
      </c>
      <c r="H112" s="32" t="inlineStr">
        <is>
          <t>Boleto</t>
        </is>
      </c>
      <c r="I112" s="32" t="inlineStr">
        <is>
          <t>Sim</t>
        </is>
      </c>
      <c r="J112" s="35">
        <f>IF(A112="","",MONTH(A112))</f>
        <v>5</v>
      </c>
      <c r="K112" s="35">
        <f>IF(A112="","",YEAR(A112))</f>
        <v>2026</v>
      </c>
    </row>
    <row r="113">
      <c r="A113" s="38" t="n">
        <v>46154</v>
      </c>
      <c r="B113" s="32" t="inlineStr">
        <is>
          <t>Entrada</t>
        </is>
      </c>
      <c r="C113" s="31" t="inlineStr">
        <is>
          <t>Honorários fixos</t>
        </is>
      </c>
      <c r="D113" s="31" t="inlineStr">
        <is>
          <t>Oficina Mecânica Central</t>
        </is>
      </c>
      <c r="E113" s="31" t="inlineStr">
        <is>
          <t>8663770-96.2025.8.26.0481</t>
        </is>
      </c>
      <c r="F113" s="31" t="inlineStr">
        <is>
          <t>Honorários · parcela 12</t>
        </is>
      </c>
      <c r="G113" s="36" t="n">
        <v>800</v>
      </c>
      <c r="H113" s="32" t="inlineStr">
        <is>
          <t>Pix</t>
        </is>
      </c>
      <c r="I113" s="32" t="inlineStr">
        <is>
          <t>Sim</t>
        </is>
      </c>
      <c r="J113" s="35">
        <f>IF(A113="","",MONTH(A113))</f>
        <v>5</v>
      </c>
      <c r="K113" s="35">
        <f>IF(A113="","",YEAR(A113))</f>
        <v>2026</v>
      </c>
    </row>
    <row r="114">
      <c r="A114" s="38" t="n">
        <v>46154</v>
      </c>
      <c r="B114" s="32" t="inlineStr">
        <is>
          <t>Saída</t>
        </is>
      </c>
      <c r="C114" s="31" t="inlineStr">
        <is>
          <t>Deslocamento e viagens</t>
        </is>
      </c>
      <c r="D114" s="31" t="inlineStr"/>
      <c r="E114" s="31" t="inlineStr"/>
      <c r="F114" s="31" t="inlineStr">
        <is>
          <t>Combustível e estacionamento (audiências)</t>
        </is>
      </c>
      <c r="G114" s="36" t="n">
        <v>310</v>
      </c>
      <c r="H114" s="32" t="inlineStr">
        <is>
          <t>Cartão</t>
        </is>
      </c>
      <c r="I114" s="32" t="inlineStr">
        <is>
          <t>Sim</t>
        </is>
      </c>
      <c r="J114" s="35">
        <f>IF(A114="","",MONTH(A114))</f>
        <v>5</v>
      </c>
      <c r="K114" s="35">
        <f>IF(A114="","",YEAR(A114))</f>
        <v>2026</v>
      </c>
    </row>
    <row r="115">
      <c r="A115" s="38" t="n">
        <v>46154</v>
      </c>
      <c r="B115" s="32" t="inlineStr">
        <is>
          <t>Saída</t>
        </is>
      </c>
      <c r="C115" s="31" t="inlineStr">
        <is>
          <t>Telefone e internet</t>
        </is>
      </c>
      <c r="D115" s="31" t="inlineStr"/>
      <c r="E115" s="31" t="inlineStr"/>
      <c r="F115" s="31" t="inlineStr">
        <is>
          <t>Telefone e internet</t>
        </is>
      </c>
      <c r="G115" s="36" t="n">
        <v>220</v>
      </c>
      <c r="H115" s="32" t="inlineStr">
        <is>
          <t>Boleto</t>
        </is>
      </c>
      <c r="I115" s="32" t="inlineStr">
        <is>
          <t>Sim</t>
        </is>
      </c>
      <c r="J115" s="35">
        <f>IF(A115="","",MONTH(A115))</f>
        <v>5</v>
      </c>
      <c r="K115" s="35">
        <f>IF(A115="","",YEAR(A115))</f>
        <v>2026</v>
      </c>
    </row>
    <row r="116">
      <c r="A116" s="38" t="n">
        <v>46157</v>
      </c>
      <c r="B116" s="32" t="inlineStr">
        <is>
          <t>Saída</t>
        </is>
      </c>
      <c r="C116" s="31" t="inlineStr">
        <is>
          <t>Anuidades OAB e cursos</t>
        </is>
      </c>
      <c r="D116" s="31" t="inlineStr"/>
      <c r="E116" s="31" t="inlineStr"/>
      <c r="F116" s="31" t="inlineStr">
        <is>
          <t>Anuidades OAB e cursos</t>
        </is>
      </c>
      <c r="G116" s="36" t="n">
        <v>250</v>
      </c>
      <c r="H116" s="32" t="inlineStr">
        <is>
          <t>Cartão</t>
        </is>
      </c>
      <c r="I116" s="32" t="inlineStr">
        <is>
          <t>Sim</t>
        </is>
      </c>
      <c r="J116" s="35">
        <f>IF(A116="","",MONTH(A116))</f>
        <v>5</v>
      </c>
      <c r="K116" s="35">
        <f>IF(A116="","",YEAR(A116))</f>
        <v>2026</v>
      </c>
    </row>
    <row r="117">
      <c r="A117" s="38" t="n">
        <v>46160</v>
      </c>
      <c r="B117" s="32" t="inlineStr">
        <is>
          <t>Saída</t>
        </is>
      </c>
      <c r="C117" s="31" t="inlineStr">
        <is>
          <t>Material, correio e outros</t>
        </is>
      </c>
      <c r="D117" s="31" t="inlineStr"/>
      <c r="E117" s="31" t="inlineStr"/>
      <c r="F117" s="31" t="inlineStr">
        <is>
          <t>Material, correio e outros</t>
        </is>
      </c>
      <c r="G117" s="36" t="n">
        <v>380</v>
      </c>
      <c r="H117" s="32" t="inlineStr">
        <is>
          <t>Cartão</t>
        </is>
      </c>
      <c r="I117" s="32" t="inlineStr">
        <is>
          <t>Sim</t>
        </is>
      </c>
      <c r="J117" s="35">
        <f>IF(A117="","",MONTH(A117))</f>
        <v>5</v>
      </c>
      <c r="K117" s="35">
        <f>IF(A117="","",YEAR(A117))</f>
        <v>2026</v>
      </c>
    </row>
    <row r="118">
      <c r="A118" s="38" t="n">
        <v>46162</v>
      </c>
      <c r="B118" s="32" t="inlineStr">
        <is>
          <t>Entrada</t>
        </is>
      </c>
      <c r="C118" s="31" t="inlineStr">
        <is>
          <t>Consultoria e pareceres</t>
        </is>
      </c>
      <c r="D118" s="31" t="inlineStr">
        <is>
          <t>Agência Prisma</t>
        </is>
      </c>
      <c r="E118" s="31" t="inlineStr">
        <is>
          <t>CONS-2026-07</t>
        </is>
      </c>
      <c r="F118" s="31" t="inlineStr">
        <is>
          <t>Honorários · parcela 2</t>
        </is>
      </c>
      <c r="G118" s="36" t="n">
        <v>3500</v>
      </c>
      <c r="H118" s="32" t="inlineStr">
        <is>
          <t>Pix</t>
        </is>
      </c>
      <c r="I118" s="32" t="inlineStr">
        <is>
          <t>Sim</t>
        </is>
      </c>
      <c r="J118" s="35">
        <f>IF(A118="","",MONTH(A118))</f>
        <v>5</v>
      </c>
      <c r="K118" s="35">
        <f>IF(A118="","",YEAR(A118))</f>
        <v>2026</v>
      </c>
    </row>
    <row r="119">
      <c r="A119" s="38" t="n">
        <v>46162</v>
      </c>
      <c r="B119" s="32" t="inlineStr">
        <is>
          <t>Saída</t>
        </is>
      </c>
      <c r="C119" s="31" t="inlineStr">
        <is>
          <t>Impostos e taxas</t>
        </is>
      </c>
      <c r="D119" s="31" t="inlineStr"/>
      <c r="E119" s="31" t="inlineStr"/>
      <c r="F119" s="31" t="inlineStr">
        <is>
          <t>Guia de impostos do mês anterior (alíquota efetiva combinada com o contador)</t>
        </is>
      </c>
      <c r="G119" s="36" t="n">
        <v>1581</v>
      </c>
      <c r="H119" s="32" t="inlineStr">
        <is>
          <t>Boleto</t>
        </is>
      </c>
      <c r="I119" s="32" t="inlineStr">
        <is>
          <t>Sim</t>
        </is>
      </c>
      <c r="J119" s="35">
        <f>IF(A119="","",MONTH(A119))</f>
        <v>5</v>
      </c>
      <c r="K119" s="35">
        <f>IF(A119="","",YEAR(A119))</f>
        <v>2026</v>
      </c>
    </row>
    <row r="120">
      <c r="A120" s="38" t="n">
        <v>46162</v>
      </c>
      <c r="B120" s="32" t="inlineStr">
        <is>
          <t>Saída</t>
        </is>
      </c>
      <c r="C120" s="31" t="inlineStr">
        <is>
          <t>Marketing e site</t>
        </is>
      </c>
      <c r="D120" s="31" t="inlineStr"/>
      <c r="E120" s="31" t="inlineStr"/>
      <c r="F120" s="31" t="inlineStr">
        <is>
          <t>Marketing e site</t>
        </is>
      </c>
      <c r="G120" s="36" t="n">
        <v>400</v>
      </c>
      <c r="H120" s="32" t="inlineStr">
        <is>
          <t>Cartão</t>
        </is>
      </c>
      <c r="I120" s="32" t="inlineStr">
        <is>
          <t>Sim</t>
        </is>
      </c>
      <c r="J120" s="35">
        <f>IF(A120="","",MONTH(A120))</f>
        <v>5</v>
      </c>
      <c r="K120" s="35">
        <f>IF(A120="","",YEAR(A120))</f>
        <v>2026</v>
      </c>
    </row>
    <row r="121">
      <c r="A121" s="38" t="n">
        <v>46164</v>
      </c>
      <c r="B121" s="32" t="inlineStr">
        <is>
          <t>Entrada</t>
        </is>
      </c>
      <c r="C121" s="31" t="inlineStr">
        <is>
          <t>Honorários fixos</t>
        </is>
      </c>
      <c r="D121" s="31" t="inlineStr">
        <is>
          <t>Patrícia Gomes</t>
        </is>
      </c>
      <c r="E121" s="31" t="inlineStr">
        <is>
          <t>6832730-55.2026.8.26.0386</t>
        </is>
      </c>
      <c r="F121" s="31" t="inlineStr">
        <is>
          <t>Honorários · parcela 2</t>
        </is>
      </c>
      <c r="G121" s="36" t="n">
        <v>1800</v>
      </c>
      <c r="H121" s="32" t="inlineStr">
        <is>
          <t>Pix</t>
        </is>
      </c>
      <c r="I121" s="32" t="inlineStr">
        <is>
          <t>Sim</t>
        </is>
      </c>
      <c r="J121" s="35">
        <f>IF(A121="","",MONTH(A121))</f>
        <v>5</v>
      </c>
      <c r="K121" s="35">
        <f>IF(A121="","",YEAR(A121))</f>
        <v>2026</v>
      </c>
    </row>
    <row r="122">
      <c r="A122" s="38" t="n">
        <v>46167</v>
      </c>
      <c r="B122" s="32" t="inlineStr">
        <is>
          <t>Entrada</t>
        </is>
      </c>
      <c r="C122" s="31" t="inlineStr">
        <is>
          <t>Honorários fixos</t>
        </is>
      </c>
      <c r="D122" s="31" t="inlineStr">
        <is>
          <t>Clínica Bem-Estar</t>
        </is>
      </c>
      <c r="E122" s="31" t="inlineStr">
        <is>
          <t>2645033-67.2026.8.26.0012</t>
        </is>
      </c>
      <c r="F122" s="31" t="inlineStr">
        <is>
          <t>Honorários · entrada</t>
        </is>
      </c>
      <c r="G122" s="36" t="n">
        <v>7200</v>
      </c>
      <c r="H122" s="32" t="inlineStr">
        <is>
          <t>Pix</t>
        </is>
      </c>
      <c r="I122" s="32" t="inlineStr">
        <is>
          <t>Sim</t>
        </is>
      </c>
      <c r="J122" s="35">
        <f>IF(A122="","",MONTH(A122))</f>
        <v>5</v>
      </c>
      <c r="K122" s="35">
        <f>IF(A122="","",YEAR(A122))</f>
        <v>2026</v>
      </c>
    </row>
    <row r="123">
      <c r="A123" s="38" t="n">
        <v>46169</v>
      </c>
      <c r="B123" s="32" t="inlineStr">
        <is>
          <t>Entrada</t>
        </is>
      </c>
      <c r="C123" s="31" t="inlineStr">
        <is>
          <t>Honorários fixos</t>
        </is>
      </c>
      <c r="D123" s="31" t="inlineStr">
        <is>
          <t>Oficina Mecânica Central</t>
        </is>
      </c>
      <c r="E123" s="31" t="inlineStr">
        <is>
          <t>6184138-13.2026.8.26.0378</t>
        </is>
      </c>
      <c r="F123" s="31" t="inlineStr">
        <is>
          <t>Honorários · parcela 1</t>
        </is>
      </c>
      <c r="G123" s="36" t="n">
        <v>1500</v>
      </c>
      <c r="H123" s="32" t="inlineStr">
        <is>
          <t>Pix</t>
        </is>
      </c>
      <c r="I123" s="32" t="inlineStr">
        <is>
          <t>Sim</t>
        </is>
      </c>
      <c r="J123" s="35">
        <f>IF(A123="","",MONTH(A123))</f>
        <v>5</v>
      </c>
      <c r="K123" s="35">
        <f>IF(A123="","",YEAR(A123))</f>
        <v>2026</v>
      </c>
    </row>
    <row r="124">
      <c r="A124" s="38" t="n">
        <v>46170</v>
      </c>
      <c r="B124" s="32" t="inlineStr">
        <is>
          <t>Saída</t>
        </is>
      </c>
      <c r="C124" s="31" t="inlineStr">
        <is>
          <t>Pró-labore dos sócios</t>
        </is>
      </c>
      <c r="D124" s="31" t="inlineStr"/>
      <c r="E124" s="31" t="inlineStr"/>
      <c r="F124" s="31" t="inlineStr">
        <is>
          <t>Pró-labore · Marina Ferraz</t>
        </is>
      </c>
      <c r="G124" s="36" t="n">
        <v>6000</v>
      </c>
      <c r="H124" s="32" t="inlineStr">
        <is>
          <t>Transferência</t>
        </is>
      </c>
      <c r="I124" s="32" t="inlineStr">
        <is>
          <t>Sim</t>
        </is>
      </c>
      <c r="J124" s="35">
        <f>IF(A124="","",MONTH(A124))</f>
        <v>5</v>
      </c>
      <c r="K124" s="35">
        <f>IF(A124="","",YEAR(A124))</f>
        <v>2026</v>
      </c>
    </row>
    <row r="125">
      <c r="A125" s="38" t="n">
        <v>46170</v>
      </c>
      <c r="B125" s="32" t="inlineStr">
        <is>
          <t>Saída</t>
        </is>
      </c>
      <c r="C125" s="31" t="inlineStr">
        <is>
          <t>Pró-labore dos sócios</t>
        </is>
      </c>
      <c r="D125" s="31" t="inlineStr"/>
      <c r="E125" s="31" t="inlineStr"/>
      <c r="F125" s="31" t="inlineStr">
        <is>
          <t>Pró-labore · Rafael Lima</t>
        </is>
      </c>
      <c r="G125" s="36" t="n">
        <v>6000</v>
      </c>
      <c r="H125" s="32" t="inlineStr">
        <is>
          <t>Transferência</t>
        </is>
      </c>
      <c r="I125" s="32" t="inlineStr">
        <is>
          <t>Sim</t>
        </is>
      </c>
      <c r="J125" s="35">
        <f>IF(A125="","",MONTH(A125))</f>
        <v>5</v>
      </c>
      <c r="K125" s="35">
        <f>IF(A125="","",YEAR(A125))</f>
        <v>2026</v>
      </c>
    </row>
    <row r="126">
      <c r="A126" s="38" t="n">
        <v>46174</v>
      </c>
      <c r="B126" s="32" t="inlineStr">
        <is>
          <t>Entrada</t>
        </is>
      </c>
      <c r="C126" s="31" t="inlineStr">
        <is>
          <t>Honorários fixos</t>
        </is>
      </c>
      <c r="D126" s="31" t="inlineStr">
        <is>
          <t>Luciana Farias</t>
        </is>
      </c>
      <c r="E126" s="31" t="inlineStr">
        <is>
          <t>7099226-69.2026.8.26.0433</t>
        </is>
      </c>
      <c r="F126" s="31" t="inlineStr">
        <is>
          <t>Honorários · entrada</t>
        </is>
      </c>
      <c r="G126" s="36" t="n">
        <v>4500</v>
      </c>
      <c r="H126" s="32" t="inlineStr">
        <is>
          <t>Pix</t>
        </is>
      </c>
      <c r="I126" s="32" t="inlineStr">
        <is>
          <t>Sim</t>
        </is>
      </c>
      <c r="J126" s="35">
        <f>IF(A126="","",MONTH(A126))</f>
        <v>6</v>
      </c>
      <c r="K126" s="35">
        <f>IF(A126="","",YEAR(A126))</f>
        <v>2026</v>
      </c>
    </row>
    <row r="127">
      <c r="A127" s="38" t="n">
        <v>46178</v>
      </c>
      <c r="B127" s="32" t="inlineStr">
        <is>
          <t>Saída</t>
        </is>
      </c>
      <c r="C127" s="31" t="inlineStr">
        <is>
          <t>Aluguel e condomínio</t>
        </is>
      </c>
      <c r="D127" s="31" t="inlineStr"/>
      <c r="E127" s="31" t="inlineStr"/>
      <c r="F127" s="31" t="inlineStr">
        <is>
          <t>Aluguel e condomínio da sala</t>
        </is>
      </c>
      <c r="G127" s="36" t="n">
        <v>2800</v>
      </c>
      <c r="H127" s="32" t="inlineStr">
        <is>
          <t>Boleto</t>
        </is>
      </c>
      <c r="I127" s="32" t="inlineStr">
        <is>
          <t>Sim</t>
        </is>
      </c>
      <c r="J127" s="35">
        <f>IF(A127="","",MONTH(A127))</f>
        <v>6</v>
      </c>
      <c r="K127" s="35">
        <f>IF(A127="","",YEAR(A127))</f>
        <v>2026</v>
      </c>
    </row>
    <row r="128">
      <c r="A128" s="38" t="n">
        <v>46178</v>
      </c>
      <c r="B128" s="32" t="inlineStr">
        <is>
          <t>Saída</t>
        </is>
      </c>
      <c r="C128" s="31" t="inlineStr">
        <is>
          <t>Estagiária (bolsa)</t>
        </is>
      </c>
      <c r="D128" s="31" t="inlineStr"/>
      <c r="E128" s="31" t="inlineStr"/>
      <c r="F128" s="31" t="inlineStr">
        <is>
          <t>Bolsa da estagiária · Júlia Prado</t>
        </is>
      </c>
      <c r="G128" s="36" t="n">
        <v>1400</v>
      </c>
      <c r="H128" s="32" t="inlineStr">
        <is>
          <t>Cartão</t>
        </is>
      </c>
      <c r="I128" s="32" t="inlineStr">
        <is>
          <t>Sim</t>
        </is>
      </c>
      <c r="J128" s="35">
        <f>IF(A128="","",MONTH(A128))</f>
        <v>6</v>
      </c>
      <c r="K128" s="35">
        <f>IF(A128="","",YEAR(A128))</f>
        <v>2026</v>
      </c>
    </row>
    <row r="129">
      <c r="A129" s="38" t="n">
        <v>46181</v>
      </c>
      <c r="B129" s="32" t="inlineStr">
        <is>
          <t>Entrada</t>
        </is>
      </c>
      <c r="C129" s="31" t="inlineStr">
        <is>
          <t>Honorários fixos</t>
        </is>
      </c>
      <c r="D129" s="31" t="inlineStr">
        <is>
          <t>Marcos Vinícius Teles</t>
        </is>
      </c>
      <c r="E129" s="31" t="inlineStr">
        <is>
          <t>9605863-76.2026.8.26.0026</t>
        </is>
      </c>
      <c r="F129" s="31" t="inlineStr">
        <is>
          <t>Honorários · entrada</t>
        </is>
      </c>
      <c r="G129" s="36" t="n">
        <v>2400</v>
      </c>
      <c r="H129" s="32" t="inlineStr">
        <is>
          <t>Pix</t>
        </is>
      </c>
      <c r="I129" s="32" t="inlineStr">
        <is>
          <t>Sim</t>
        </is>
      </c>
      <c r="J129" s="35">
        <f>IF(A129="","",MONTH(A129))</f>
        <v>6</v>
      </c>
      <c r="K129" s="35">
        <f>IF(A129="","",YEAR(A129))</f>
        <v>2026</v>
      </c>
    </row>
    <row r="130">
      <c r="A130" s="38" t="n">
        <v>46181</v>
      </c>
      <c r="B130" s="32" t="inlineStr">
        <is>
          <t>Saída</t>
        </is>
      </c>
      <c r="C130" s="31" t="inlineStr">
        <is>
          <t>Custas e despesas de processo</t>
        </is>
      </c>
      <c r="D130" s="31" t="inlineStr">
        <is>
          <t>Bistrô 42</t>
        </is>
      </c>
      <c r="E130" s="31" t="inlineStr">
        <is>
          <t>8056747-83.2026.8.26.0561</t>
        </is>
      </c>
      <c r="F130" s="31" t="inlineStr">
        <is>
          <t>Certidões e cópias</t>
        </is>
      </c>
      <c r="G130" s="36" t="n">
        <v>95</v>
      </c>
      <c r="H130" s="32" t="inlineStr">
        <is>
          <t>Boleto</t>
        </is>
      </c>
      <c r="I130" s="32" t="inlineStr">
        <is>
          <t>Sim</t>
        </is>
      </c>
      <c r="J130" s="35">
        <f>IF(A130="","",MONTH(A130))</f>
        <v>6</v>
      </c>
      <c r="K130" s="35">
        <f>IF(A130="","",YEAR(A130))</f>
        <v>2026</v>
      </c>
    </row>
    <row r="131">
      <c r="A131" s="38" t="n">
        <v>46181</v>
      </c>
      <c r="B131" s="32" t="inlineStr">
        <is>
          <t>Saída</t>
        </is>
      </c>
      <c r="C131" s="31" t="inlineStr">
        <is>
          <t>Sistemas e assinaturas</t>
        </is>
      </c>
      <c r="D131" s="31" t="inlineStr"/>
      <c r="E131" s="31" t="inlineStr"/>
      <c r="F131" s="31" t="inlineStr">
        <is>
          <t>Sistemas e assinaturas</t>
        </is>
      </c>
      <c r="G131" s="36" t="n">
        <v>450</v>
      </c>
      <c r="H131" s="32" t="inlineStr">
        <is>
          <t>Cartão</t>
        </is>
      </c>
      <c r="I131" s="32" t="inlineStr">
        <is>
          <t>Sim</t>
        </is>
      </c>
      <c r="J131" s="35">
        <f>IF(A131="","",MONTH(A131))</f>
        <v>6</v>
      </c>
      <c r="K131" s="35">
        <f>IF(A131="","",YEAR(A131))</f>
        <v>2026</v>
      </c>
    </row>
    <row r="132">
      <c r="A132" s="38" t="n">
        <v>46183</v>
      </c>
      <c r="B132" s="32" t="inlineStr">
        <is>
          <t>Entrada</t>
        </is>
      </c>
      <c r="C132" s="31" t="inlineStr">
        <is>
          <t>Consultoria e pareceres</t>
        </is>
      </c>
      <c r="D132" s="31" t="inlineStr">
        <is>
          <t>Clínica Bem-Estar</t>
        </is>
      </c>
      <c r="E132" s="31" t="inlineStr">
        <is>
          <t>CONS-2025-05</t>
        </is>
      </c>
      <c r="F132" s="31" t="inlineStr">
        <is>
          <t>Fatura de horas · 7</t>
        </is>
      </c>
      <c r="G132" s="36" t="n">
        <v>1620</v>
      </c>
      <c r="H132" s="32" t="inlineStr">
        <is>
          <t>Boleto</t>
        </is>
      </c>
      <c r="I132" s="32" t="inlineStr">
        <is>
          <t>Sim</t>
        </is>
      </c>
      <c r="J132" s="35">
        <f>IF(A132="","",MONTH(A132))</f>
        <v>6</v>
      </c>
      <c r="K132" s="35">
        <f>IF(A132="","",YEAR(A132))</f>
        <v>2026</v>
      </c>
    </row>
    <row r="133">
      <c r="A133" s="38" t="n">
        <v>46183</v>
      </c>
      <c r="B133" s="32" t="inlineStr">
        <is>
          <t>Entrada</t>
        </is>
      </c>
      <c r="C133" s="31" t="inlineStr">
        <is>
          <t>Honorários fixos</t>
        </is>
      </c>
      <c r="D133" s="31" t="inlineStr">
        <is>
          <t>Roberto Almeida</t>
        </is>
      </c>
      <c r="E133" s="31" t="inlineStr">
        <is>
          <t>2354318-24.2026.8.26.0295</t>
        </is>
      </c>
      <c r="F133" s="31" t="inlineStr">
        <is>
          <t>Honorários · parcela 1</t>
        </is>
      </c>
      <c r="G133" s="36" t="n">
        <v>2100</v>
      </c>
      <c r="H133" s="32" t="inlineStr">
        <is>
          <t>Pix</t>
        </is>
      </c>
      <c r="I133" s="32" t="inlineStr">
        <is>
          <t>Sim</t>
        </is>
      </c>
      <c r="J133" s="35">
        <f>IF(A133="","",MONTH(A133))</f>
        <v>6</v>
      </c>
      <c r="K133" s="35">
        <f>IF(A133="","",YEAR(A133))</f>
        <v>2026</v>
      </c>
    </row>
    <row r="134">
      <c r="A134" s="38" t="n">
        <v>46183</v>
      </c>
      <c r="B134" s="32" t="inlineStr">
        <is>
          <t>Entrada</t>
        </is>
      </c>
      <c r="C134" s="31" t="inlineStr">
        <is>
          <t>Honorários por hora</t>
        </is>
      </c>
      <c r="D134" s="31" t="inlineStr">
        <is>
          <t>Agência Prisma</t>
        </is>
      </c>
      <c r="E134" s="31" t="inlineStr">
        <is>
          <t>9362688-24.2025.8.26.0436</t>
        </is>
      </c>
      <c r="F134" s="31" t="inlineStr">
        <is>
          <t>Fatura de horas · 6</t>
        </is>
      </c>
      <c r="G134" s="36" t="n">
        <v>2700</v>
      </c>
      <c r="H134" s="32" t="inlineStr">
        <is>
          <t>Boleto</t>
        </is>
      </c>
      <c r="I134" s="32" t="inlineStr">
        <is>
          <t>Sim</t>
        </is>
      </c>
      <c r="J134" s="35">
        <f>IF(A134="","",MONTH(A134))</f>
        <v>6</v>
      </c>
      <c r="K134" s="35">
        <f>IF(A134="","",YEAR(A134))</f>
        <v>2026</v>
      </c>
    </row>
    <row r="135">
      <c r="A135" s="38" t="n">
        <v>46183</v>
      </c>
      <c r="B135" s="32" t="inlineStr">
        <is>
          <t>Saída</t>
        </is>
      </c>
      <c r="C135" s="31" t="inlineStr">
        <is>
          <t>Contador</t>
        </is>
      </c>
      <c r="D135" s="31" t="inlineStr"/>
      <c r="E135" s="31" t="inlineStr"/>
      <c r="F135" s="31" t="inlineStr">
        <is>
          <t>Honorários do contador</t>
        </is>
      </c>
      <c r="G135" s="36" t="n">
        <v>600</v>
      </c>
      <c r="H135" s="32" t="inlineStr">
        <is>
          <t>Boleto</t>
        </is>
      </c>
      <c r="I135" s="32" t="inlineStr">
        <is>
          <t>Sim</t>
        </is>
      </c>
      <c r="J135" s="35">
        <f>IF(A135="","",MONTH(A135))</f>
        <v>6</v>
      </c>
      <c r="K135" s="35">
        <f>IF(A135="","",YEAR(A135))</f>
        <v>2026</v>
      </c>
    </row>
    <row r="136">
      <c r="A136" s="38" t="n">
        <v>46185</v>
      </c>
      <c r="B136" s="32" t="inlineStr">
        <is>
          <t>Saída</t>
        </is>
      </c>
      <c r="C136" s="31" t="inlineStr">
        <is>
          <t>Telefone e internet</t>
        </is>
      </c>
      <c r="D136" s="31" t="inlineStr"/>
      <c r="E136" s="31" t="inlineStr"/>
      <c r="F136" s="31" t="inlineStr">
        <is>
          <t>Telefone e internet</t>
        </is>
      </c>
      <c r="G136" s="36" t="n">
        <v>220</v>
      </c>
      <c r="H136" s="32" t="inlineStr">
        <is>
          <t>Boleto</t>
        </is>
      </c>
      <c r="I136" s="32" t="inlineStr">
        <is>
          <t>Sim</t>
        </is>
      </c>
      <c r="J136" s="35">
        <f>IF(A136="","",MONTH(A136))</f>
        <v>6</v>
      </c>
      <c r="K136" s="35">
        <f>IF(A136="","",YEAR(A136))</f>
        <v>2026</v>
      </c>
    </row>
    <row r="137">
      <c r="A137" s="38" t="n">
        <v>46188</v>
      </c>
      <c r="B137" s="32" t="inlineStr">
        <is>
          <t>Entrada</t>
        </is>
      </c>
      <c r="C137" s="31" t="inlineStr">
        <is>
          <t>Honorários fixos</t>
        </is>
      </c>
      <c r="D137" s="31" t="inlineStr">
        <is>
          <t>Patrícia Gomes</t>
        </is>
      </c>
      <c r="E137" s="31" t="inlineStr">
        <is>
          <t>9616569-91.2026.8.26.0079</t>
        </is>
      </c>
      <c r="F137" s="31" t="inlineStr">
        <is>
          <t>Honorários · entrada</t>
        </is>
      </c>
      <c r="G137" s="36" t="n">
        <v>2400</v>
      </c>
      <c r="H137" s="32" t="inlineStr">
        <is>
          <t>Pix</t>
        </is>
      </c>
      <c r="I137" s="32" t="inlineStr">
        <is>
          <t>Sim</t>
        </is>
      </c>
      <c r="J137" s="35">
        <f>IF(A137="","",MONTH(A137))</f>
        <v>6</v>
      </c>
      <c r="K137" s="35">
        <f>IF(A137="","",YEAR(A137))</f>
        <v>2026</v>
      </c>
    </row>
    <row r="138">
      <c r="A138" s="38" t="n">
        <v>46188</v>
      </c>
      <c r="B138" s="32" t="inlineStr">
        <is>
          <t>Saída</t>
        </is>
      </c>
      <c r="C138" s="31" t="inlineStr">
        <is>
          <t>Anuidades OAB e cursos</t>
        </is>
      </c>
      <c r="D138" s="31" t="inlineStr"/>
      <c r="E138" s="31" t="inlineStr"/>
      <c r="F138" s="31" t="inlineStr">
        <is>
          <t>Anuidades OAB e cursos</t>
        </is>
      </c>
      <c r="G138" s="36" t="n">
        <v>250</v>
      </c>
      <c r="H138" s="32" t="inlineStr">
        <is>
          <t>Cartão</t>
        </is>
      </c>
      <c r="I138" s="32" t="inlineStr">
        <is>
          <t>Sim</t>
        </is>
      </c>
      <c r="J138" s="35">
        <f>IF(A138="","",MONTH(A138))</f>
        <v>6</v>
      </c>
      <c r="K138" s="35">
        <f>IF(A138="","",YEAR(A138))</f>
        <v>2026</v>
      </c>
    </row>
    <row r="139">
      <c r="A139" s="38" t="n">
        <v>46191</v>
      </c>
      <c r="B139" s="32" t="inlineStr">
        <is>
          <t>Saída</t>
        </is>
      </c>
      <c r="C139" s="31" t="inlineStr">
        <is>
          <t>Material, correio e outros</t>
        </is>
      </c>
      <c r="D139" s="31" t="inlineStr"/>
      <c r="E139" s="31" t="inlineStr"/>
      <c r="F139" s="31" t="inlineStr">
        <is>
          <t>Material, correio e outros</t>
        </is>
      </c>
      <c r="G139" s="36" t="n">
        <v>380</v>
      </c>
      <c r="H139" s="32" t="inlineStr">
        <is>
          <t>Cartão</t>
        </is>
      </c>
      <c r="I139" s="32" t="inlineStr">
        <is>
          <t>Sim</t>
        </is>
      </c>
      <c r="J139" s="35">
        <f>IF(A139="","",MONTH(A139))</f>
        <v>6</v>
      </c>
      <c r="K139" s="35">
        <f>IF(A139="","",YEAR(A139))</f>
        <v>2026</v>
      </c>
    </row>
    <row r="140">
      <c r="A140" s="38" t="n">
        <v>46192</v>
      </c>
      <c r="B140" s="32" t="inlineStr">
        <is>
          <t>Entrada</t>
        </is>
      </c>
      <c r="C140" s="31" t="inlineStr">
        <is>
          <t>Honorários fixos</t>
        </is>
      </c>
      <c r="D140" s="31" t="inlineStr">
        <is>
          <t>Oficina Mecânica Central</t>
        </is>
      </c>
      <c r="E140" s="31" t="inlineStr">
        <is>
          <t>6184138-13.2026.8.26.0378</t>
        </is>
      </c>
      <c r="F140" s="31" t="inlineStr">
        <is>
          <t>Honorários · parcela 2 (vencida)</t>
        </is>
      </c>
      <c r="G140" s="36" t="n">
        <v>1500</v>
      </c>
      <c r="H140" s="32" t="inlineStr">
        <is>
          <t>Boleto</t>
        </is>
      </c>
      <c r="I140" s="32" t="inlineStr">
        <is>
          <t>Não</t>
        </is>
      </c>
      <c r="J140" s="35">
        <f>IF(A140="","",MONTH(A140))</f>
        <v>6</v>
      </c>
      <c r="K140" s="35">
        <f>IF(A140="","",YEAR(A140))</f>
        <v>2026</v>
      </c>
    </row>
    <row r="141">
      <c r="A141" s="38" t="n">
        <v>46192</v>
      </c>
      <c r="B141" s="32" t="inlineStr">
        <is>
          <t>Saída</t>
        </is>
      </c>
      <c r="C141" s="31" t="inlineStr">
        <is>
          <t>Pró-labore dos sócios</t>
        </is>
      </c>
      <c r="D141" s="31" t="inlineStr"/>
      <c r="E141" s="31" t="inlineStr"/>
      <c r="F141" s="31" t="inlineStr">
        <is>
          <t>Retirada extra · Marina Ferraz · reforma em casa</t>
        </is>
      </c>
      <c r="G141" s="36" t="n">
        <v>2000</v>
      </c>
      <c r="H141" s="32" t="inlineStr">
        <is>
          <t>Transferência</t>
        </is>
      </c>
      <c r="I141" s="32" t="inlineStr">
        <is>
          <t>Sim</t>
        </is>
      </c>
      <c r="J141" s="35">
        <f>IF(A141="","",MONTH(A141))</f>
        <v>6</v>
      </c>
      <c r="K141" s="35">
        <f>IF(A141="","",YEAR(A141))</f>
        <v>2026</v>
      </c>
    </row>
    <row r="142">
      <c r="A142" s="38" t="n">
        <v>46193</v>
      </c>
      <c r="B142" s="32" t="inlineStr">
        <is>
          <t>Saída</t>
        </is>
      </c>
      <c r="C142" s="31" t="inlineStr">
        <is>
          <t>Impostos e taxas</t>
        </is>
      </c>
      <c r="D142" s="31" t="inlineStr"/>
      <c r="E142" s="31" t="inlineStr"/>
      <c r="F142" s="31" t="inlineStr">
        <is>
          <t>Guia de impostos do mês anterior (alíquota efetiva combinada com o contador)</t>
        </is>
      </c>
      <c r="G142" s="36" t="n">
        <v>2490</v>
      </c>
      <c r="H142" s="32" t="inlineStr">
        <is>
          <t>Boleto</t>
        </is>
      </c>
      <c r="I142" s="32" t="inlineStr">
        <is>
          <t>Sim</t>
        </is>
      </c>
      <c r="J142" s="35">
        <f>IF(A142="","",MONTH(A142))</f>
        <v>6</v>
      </c>
      <c r="K142" s="35">
        <f>IF(A142="","",YEAR(A142))</f>
        <v>2026</v>
      </c>
    </row>
    <row r="143">
      <c r="A143" s="38" t="n">
        <v>46193</v>
      </c>
      <c r="B143" s="32" t="inlineStr">
        <is>
          <t>Saída</t>
        </is>
      </c>
      <c r="C143" s="31" t="inlineStr">
        <is>
          <t>Marketing e site</t>
        </is>
      </c>
      <c r="D143" s="31" t="inlineStr"/>
      <c r="E143" s="31" t="inlineStr"/>
      <c r="F143" s="31" t="inlineStr">
        <is>
          <t>Marketing e site</t>
        </is>
      </c>
      <c r="G143" s="36" t="n">
        <v>400</v>
      </c>
      <c r="H143" s="32" t="inlineStr">
        <is>
          <t>Cartão</t>
        </is>
      </c>
      <c r="I143" s="32" t="inlineStr">
        <is>
          <t>Sim</t>
        </is>
      </c>
      <c r="J143" s="35">
        <f>IF(A143="","",MONTH(A143))</f>
        <v>6</v>
      </c>
      <c r="K143" s="35">
        <f>IF(A143="","",YEAR(A143))</f>
        <v>2026</v>
      </c>
    </row>
    <row r="144">
      <c r="A144" s="38" t="n">
        <v>46197</v>
      </c>
      <c r="B144" s="32" t="inlineStr">
        <is>
          <t>Entrada</t>
        </is>
      </c>
      <c r="C144" s="31" t="inlineStr">
        <is>
          <t>Honorários fixos</t>
        </is>
      </c>
      <c r="D144" s="31" t="inlineStr">
        <is>
          <t>Clínica Bem-Estar</t>
        </is>
      </c>
      <c r="E144" s="31" t="inlineStr">
        <is>
          <t>2645033-67.2026.8.26.0012</t>
        </is>
      </c>
      <c r="F144" s="31" t="inlineStr">
        <is>
          <t>Honorários · parcela 1</t>
        </is>
      </c>
      <c r="G144" s="36" t="n">
        <v>2700</v>
      </c>
      <c r="H144" s="32" t="inlineStr">
        <is>
          <t>Pix</t>
        </is>
      </c>
      <c r="I144" s="32" t="inlineStr">
        <is>
          <t>Sim</t>
        </is>
      </c>
      <c r="J144" s="35">
        <f>IF(A144="","",MONTH(A144))</f>
        <v>6</v>
      </c>
      <c r="K144" s="35">
        <f>IF(A144="","",YEAR(A144))</f>
        <v>2026</v>
      </c>
    </row>
    <row r="145">
      <c r="A145" s="38" t="n">
        <v>46201</v>
      </c>
      <c r="B145" s="32" t="inlineStr">
        <is>
          <t>Saída</t>
        </is>
      </c>
      <c r="C145" s="31" t="inlineStr">
        <is>
          <t>Pró-labore dos sócios</t>
        </is>
      </c>
      <c r="D145" s="31" t="inlineStr"/>
      <c r="E145" s="31" t="inlineStr"/>
      <c r="F145" s="31" t="inlineStr">
        <is>
          <t>Pró-labore · Marina Ferraz</t>
        </is>
      </c>
      <c r="G145" s="36" t="n">
        <v>6000</v>
      </c>
      <c r="H145" s="32" t="inlineStr">
        <is>
          <t>Transferência</t>
        </is>
      </c>
      <c r="I145" s="32" t="inlineStr">
        <is>
          <t>Sim</t>
        </is>
      </c>
      <c r="J145" s="35">
        <f>IF(A145="","",MONTH(A145))</f>
        <v>6</v>
      </c>
      <c r="K145" s="35">
        <f>IF(A145="","",YEAR(A145))</f>
        <v>2026</v>
      </c>
    </row>
    <row r="146">
      <c r="A146" s="38" t="n">
        <v>46201</v>
      </c>
      <c r="B146" s="32" t="inlineStr">
        <is>
          <t>Saída</t>
        </is>
      </c>
      <c r="C146" s="31" t="inlineStr">
        <is>
          <t>Pró-labore dos sócios</t>
        </is>
      </c>
      <c r="D146" s="31" t="inlineStr"/>
      <c r="E146" s="31" t="inlineStr"/>
      <c r="F146" s="31" t="inlineStr">
        <is>
          <t>Pró-labore · Rafael Lima</t>
        </is>
      </c>
      <c r="G146" s="36" t="n">
        <v>6000</v>
      </c>
      <c r="H146" s="32" t="inlineStr">
        <is>
          <t>Transferência</t>
        </is>
      </c>
      <c r="I146" s="32" t="inlineStr">
        <is>
          <t>Sim</t>
        </is>
      </c>
      <c r="J146" s="35">
        <f>IF(A146="","",MONTH(A146))</f>
        <v>6</v>
      </c>
      <c r="K146" s="35">
        <f>IF(A146="","",YEAR(A146))</f>
        <v>2026</v>
      </c>
    </row>
    <row r="147">
      <c r="A147" s="38" t="n">
        <v>46202</v>
      </c>
      <c r="B147" s="32" t="inlineStr">
        <is>
          <t>Entrada</t>
        </is>
      </c>
      <c r="C147" s="31" t="inlineStr">
        <is>
          <t>Honorários fixos</t>
        </is>
      </c>
      <c r="D147" s="31" t="inlineStr">
        <is>
          <t>Helena Duarte</t>
        </is>
      </c>
      <c r="E147" s="31" t="inlineStr">
        <is>
          <t>7679821-77.2026.8.26.0265</t>
        </is>
      </c>
      <c r="F147" s="31" t="inlineStr">
        <is>
          <t>Honorários · entrada</t>
        </is>
      </c>
      <c r="G147" s="36" t="n">
        <v>3000</v>
      </c>
      <c r="H147" s="32" t="inlineStr">
        <is>
          <t>Pix</t>
        </is>
      </c>
      <c r="I147" s="32" t="inlineStr">
        <is>
          <t>Sim</t>
        </is>
      </c>
      <c r="J147" s="35">
        <f>IF(A147="","",MONTH(A147))</f>
        <v>6</v>
      </c>
      <c r="K147" s="35">
        <f>IF(A147="","",YEAR(A147))</f>
        <v>2026</v>
      </c>
    </row>
    <row r="148">
      <c r="A148" s="38" t="n">
        <v>46203</v>
      </c>
      <c r="B148" s="32" t="inlineStr">
        <is>
          <t>Entrada</t>
        </is>
      </c>
      <c r="C148" s="31" t="inlineStr">
        <is>
          <t>Honorários de êxito</t>
        </is>
      </c>
      <c r="D148" s="31" t="inlineStr">
        <is>
          <t>José Antônio Ribeiro</t>
        </is>
      </c>
      <c r="E148" s="31" t="inlineStr">
        <is>
          <t>6161129-80.2025.8.26.0663</t>
        </is>
      </c>
      <c r="F148" s="31" t="inlineStr">
        <is>
          <t>Honorários de êxito (fim do caso)</t>
        </is>
      </c>
      <c r="G148" s="36" t="n">
        <v>6000</v>
      </c>
      <c r="H148" s="32" t="inlineStr">
        <is>
          <t>Pix</t>
        </is>
      </c>
      <c r="I148" s="32" t="inlineStr">
        <is>
          <t>Sim</t>
        </is>
      </c>
      <c r="J148" s="35">
        <f>IF(A148="","",MONTH(A148))</f>
        <v>6</v>
      </c>
      <c r="K148" s="35">
        <f>IF(A148="","",YEAR(A148))</f>
        <v>2026</v>
      </c>
    </row>
    <row r="149">
      <c r="A149" s="38" t="n">
        <v>46204</v>
      </c>
      <c r="B149" s="32" t="inlineStr">
        <is>
          <t>Entrada</t>
        </is>
      </c>
      <c r="C149" s="31" t="inlineStr">
        <is>
          <t>Honorários fixos</t>
        </is>
      </c>
      <c r="D149" s="31" t="inlineStr">
        <is>
          <t>Luciana Farias</t>
        </is>
      </c>
      <c r="E149" s="31" t="inlineStr">
        <is>
          <t>7099226-69.2026.8.26.0433</t>
        </is>
      </c>
      <c r="F149" s="31" t="inlineStr">
        <is>
          <t>Honorários · parcela 1</t>
        </is>
      </c>
      <c r="G149" s="36" t="n">
        <v>2500</v>
      </c>
      <c r="H149" s="32" t="inlineStr">
        <is>
          <t>Pix</t>
        </is>
      </c>
      <c r="I149" s="32" t="inlineStr">
        <is>
          <t>Sim</t>
        </is>
      </c>
      <c r="J149" s="35">
        <f>IF(A149="","",MONTH(A149))</f>
        <v>7</v>
      </c>
      <c r="K149" s="35">
        <f>IF(A149="","",YEAR(A149))</f>
        <v>2026</v>
      </c>
    </row>
    <row r="150">
      <c r="A150" s="38" t="n">
        <v>46208</v>
      </c>
      <c r="B150" s="32" t="inlineStr">
        <is>
          <t>Saída</t>
        </is>
      </c>
      <c r="C150" s="31" t="inlineStr">
        <is>
          <t>Aluguel e condomínio</t>
        </is>
      </c>
      <c r="D150" s="31" t="inlineStr"/>
      <c r="E150" s="31" t="inlineStr"/>
      <c r="F150" s="31" t="inlineStr">
        <is>
          <t>Aluguel e condomínio da sala</t>
        </is>
      </c>
      <c r="G150" s="36" t="n">
        <v>2800</v>
      </c>
      <c r="H150" s="32" t="inlineStr">
        <is>
          <t>Boleto</t>
        </is>
      </c>
      <c r="I150" s="32" t="inlineStr">
        <is>
          <t>Sim</t>
        </is>
      </c>
      <c r="J150" s="35">
        <f>IF(A150="","",MONTH(A150))</f>
        <v>7</v>
      </c>
      <c r="K150" s="35">
        <f>IF(A150="","",YEAR(A150))</f>
        <v>2026</v>
      </c>
    </row>
    <row r="151">
      <c r="A151" s="38" t="n">
        <v>46208</v>
      </c>
      <c r="B151" s="32" t="inlineStr">
        <is>
          <t>Saída</t>
        </is>
      </c>
      <c r="C151" s="31" t="inlineStr">
        <is>
          <t>Estagiária (bolsa)</t>
        </is>
      </c>
      <c r="D151" s="31" t="inlineStr"/>
      <c r="E151" s="31" t="inlineStr"/>
      <c r="F151" s="31" t="inlineStr">
        <is>
          <t>Bolsa da estagiária · Júlia Prado</t>
        </is>
      </c>
      <c r="G151" s="36" t="n">
        <v>1400</v>
      </c>
      <c r="H151" s="32" t="inlineStr">
        <is>
          <t>Cartão</t>
        </is>
      </c>
      <c r="I151" s="32" t="inlineStr">
        <is>
          <t>Sim</t>
        </is>
      </c>
      <c r="J151" s="35">
        <f>IF(A151="","",MONTH(A151))</f>
        <v>7</v>
      </c>
      <c r="K151" s="35">
        <f>IF(A151="","",YEAR(A151))</f>
        <v>2026</v>
      </c>
    </row>
    <row r="152">
      <c r="A152" s="38" t="n">
        <v>46209</v>
      </c>
      <c r="B152" s="32" t="inlineStr">
        <is>
          <t>Entrada</t>
        </is>
      </c>
      <c r="C152" s="31" t="inlineStr">
        <is>
          <t>Consultoria e pareceres</t>
        </is>
      </c>
      <c r="D152" s="31" t="inlineStr">
        <is>
          <t>Padaria do Sol Ltda</t>
        </is>
      </c>
      <c r="E152" s="31" t="inlineStr">
        <is>
          <t>CONS-2026-01</t>
        </is>
      </c>
      <c r="F152" s="31" t="inlineStr">
        <is>
          <t>Honorários · parcela 1</t>
        </is>
      </c>
      <c r="G152" s="36" t="n">
        <v>1500</v>
      </c>
      <c r="H152" s="32" t="inlineStr">
        <is>
          <t>Pix</t>
        </is>
      </c>
      <c r="I152" s="32" t="inlineStr">
        <is>
          <t>Sim</t>
        </is>
      </c>
      <c r="J152" s="35">
        <f>IF(A152="","",MONTH(A152))</f>
        <v>7</v>
      </c>
      <c r="K152" s="35">
        <f>IF(A152="","",YEAR(A152))</f>
        <v>2026</v>
      </c>
    </row>
    <row r="153">
      <c r="A153" s="38" t="n">
        <v>46209</v>
      </c>
      <c r="B153" s="32" t="inlineStr">
        <is>
          <t>Entrada</t>
        </is>
      </c>
      <c r="C153" s="31" t="inlineStr">
        <is>
          <t>Honorários fixos</t>
        </is>
      </c>
      <c r="D153" s="31" t="inlineStr">
        <is>
          <t>Luciana Farias</t>
        </is>
      </c>
      <c r="E153" s="31" t="inlineStr">
        <is>
          <t>2521428-61.2026.8.26.0600</t>
        </is>
      </c>
      <c r="F153" s="31" t="inlineStr">
        <is>
          <t>Honorários · entrada</t>
        </is>
      </c>
      <c r="G153" s="36" t="n">
        <v>2400</v>
      </c>
      <c r="H153" s="32" t="inlineStr">
        <is>
          <t>Pix</t>
        </is>
      </c>
      <c r="I153" s="32" t="inlineStr">
        <is>
          <t>Sim</t>
        </is>
      </c>
      <c r="J153" s="35">
        <f>IF(A153="","",MONTH(A153))</f>
        <v>7</v>
      </c>
      <c r="K153" s="35">
        <f>IF(A153="","",YEAR(A153))</f>
        <v>2026</v>
      </c>
    </row>
    <row r="154">
      <c r="A154" s="38" t="n">
        <v>46211</v>
      </c>
      <c r="B154" s="32" t="inlineStr">
        <is>
          <t>Entrada</t>
        </is>
      </c>
      <c r="C154" s="31" t="inlineStr">
        <is>
          <t>Honorários fixos</t>
        </is>
      </c>
      <c r="D154" s="31" t="inlineStr">
        <is>
          <t>Marcos Vinícius Teles</t>
        </is>
      </c>
      <c r="E154" s="31" t="inlineStr">
        <is>
          <t>9605863-76.2026.8.26.0026</t>
        </is>
      </c>
      <c r="F154" s="31" t="inlineStr">
        <is>
          <t>Honorários · parcela 1</t>
        </is>
      </c>
      <c r="G154" s="36" t="n">
        <v>1000</v>
      </c>
      <c r="H154" s="32" t="inlineStr">
        <is>
          <t>Pix</t>
        </is>
      </c>
      <c r="I154" s="32" t="inlineStr">
        <is>
          <t>Sim</t>
        </is>
      </c>
      <c r="J154" s="35">
        <f>IF(A154="","",MONTH(A154))</f>
        <v>7</v>
      </c>
      <c r="K154" s="35">
        <f>IF(A154="","",YEAR(A154))</f>
        <v>2026</v>
      </c>
    </row>
    <row r="155">
      <c r="A155" s="38" t="n">
        <v>46211</v>
      </c>
      <c r="B155" s="32" t="inlineStr">
        <is>
          <t>Saída</t>
        </is>
      </c>
      <c r="C155" s="31" t="inlineStr">
        <is>
          <t>Sistemas e assinaturas</t>
        </is>
      </c>
      <c r="D155" s="31" t="inlineStr"/>
      <c r="E155" s="31" t="inlineStr"/>
      <c r="F155" s="31" t="inlineStr">
        <is>
          <t>Sistemas e assinaturas</t>
        </is>
      </c>
      <c r="G155" s="36" t="n">
        <v>450</v>
      </c>
      <c r="H155" s="32" t="inlineStr">
        <is>
          <t>Cartão</t>
        </is>
      </c>
      <c r="I155" s="32" t="inlineStr">
        <is>
          <t>Sim</t>
        </is>
      </c>
      <c r="J155" s="35">
        <f>IF(A155="","",MONTH(A155))</f>
        <v>7</v>
      </c>
      <c r="K155" s="35">
        <f>IF(A155="","",YEAR(A155))</f>
        <v>2026</v>
      </c>
    </row>
    <row r="156">
      <c r="A156" s="38" t="n">
        <v>46213</v>
      </c>
      <c r="B156" s="32" t="inlineStr">
        <is>
          <t>Saída</t>
        </is>
      </c>
      <c r="C156" s="31" t="inlineStr">
        <is>
          <t>Contador</t>
        </is>
      </c>
      <c r="D156" s="31" t="inlineStr"/>
      <c r="E156" s="31" t="inlineStr"/>
      <c r="F156" s="31" t="inlineStr">
        <is>
          <t>Honorários do contador</t>
        </is>
      </c>
      <c r="G156" s="36" t="n">
        <v>600</v>
      </c>
      <c r="H156" s="32" t="inlineStr">
        <is>
          <t>Boleto</t>
        </is>
      </c>
      <c r="I156" s="32" t="inlineStr">
        <is>
          <t>Sim</t>
        </is>
      </c>
      <c r="J156" s="35">
        <f>IF(A156="","",MONTH(A156))</f>
        <v>7</v>
      </c>
      <c r="K156" s="35">
        <f>IF(A156="","",YEAR(A156))</f>
        <v>2026</v>
      </c>
    </row>
    <row r="157">
      <c r="A157" s="38" t="n">
        <v>46213</v>
      </c>
      <c r="B157" s="32" t="inlineStr">
        <is>
          <t>Saída</t>
        </is>
      </c>
      <c r="C157" s="31" t="inlineStr">
        <is>
          <t>Pró-labore dos sócios</t>
        </is>
      </c>
      <c r="D157" s="31" t="inlineStr"/>
      <c r="E157" s="31" t="inlineStr"/>
      <c r="F157" s="31" t="inlineStr">
        <is>
          <t>Distribuição de lucro · 2º trimestre · Marina Ferraz</t>
        </is>
      </c>
      <c r="G157" s="36" t="n">
        <v>3797</v>
      </c>
      <c r="H157" s="32" t="inlineStr">
        <is>
          <t>Transferência</t>
        </is>
      </c>
      <c r="I157" s="32" t="inlineStr">
        <is>
          <t>Sim</t>
        </is>
      </c>
      <c r="J157" s="35">
        <f>IF(A157="","",MONTH(A157))</f>
        <v>7</v>
      </c>
      <c r="K157" s="35">
        <f>IF(A157="","",YEAR(A157))</f>
        <v>2026</v>
      </c>
    </row>
    <row r="158">
      <c r="A158" s="38" t="n">
        <v>46213</v>
      </c>
      <c r="B158" s="32" t="inlineStr">
        <is>
          <t>Saída</t>
        </is>
      </c>
      <c r="C158" s="31" t="inlineStr">
        <is>
          <t>Pró-labore dos sócios</t>
        </is>
      </c>
      <c r="D158" s="31" t="inlineStr"/>
      <c r="E158" s="31" t="inlineStr"/>
      <c r="F158" s="31" t="inlineStr">
        <is>
          <t>Distribuição de lucro · 2º trimestre · Rafael Lima</t>
        </is>
      </c>
      <c r="G158" s="36" t="n">
        <v>3797</v>
      </c>
      <c r="H158" s="32" t="inlineStr">
        <is>
          <t>Transferência</t>
        </is>
      </c>
      <c r="I158" s="32" t="inlineStr">
        <is>
          <t>Sim</t>
        </is>
      </c>
      <c r="J158" s="35">
        <f>IF(A158="","",MONTH(A158))</f>
        <v>7</v>
      </c>
      <c r="K158" s="35">
        <f>IF(A158="","",YEAR(A158))</f>
        <v>2026</v>
      </c>
    </row>
    <row r="159">
      <c r="A159" s="38" t="n">
        <v>46214</v>
      </c>
      <c r="B159" s="32" t="inlineStr">
        <is>
          <t>Saída</t>
        </is>
      </c>
      <c r="C159" s="31" t="inlineStr">
        <is>
          <t>Outras saídas</t>
        </is>
      </c>
      <c r="D159" s="31" t="inlineStr"/>
      <c r="E159" s="31" t="inlineStr"/>
      <c r="F159" s="31" t="inlineStr">
        <is>
          <t>Despesa pessoal · Rafael Lima · combustível particular (a acertar)</t>
        </is>
      </c>
      <c r="G159" s="36" t="n">
        <v>300</v>
      </c>
      <c r="H159" s="32" t="inlineStr">
        <is>
          <t>Cartão</t>
        </is>
      </c>
      <c r="I159" s="32" t="inlineStr">
        <is>
          <t>Sim</t>
        </is>
      </c>
      <c r="J159" s="35">
        <f>IF(A159="","",MONTH(A159))</f>
        <v>7</v>
      </c>
      <c r="K159" s="35">
        <f>IF(A159="","",YEAR(A159))</f>
        <v>2026</v>
      </c>
    </row>
    <row r="160">
      <c r="A160" s="38" t="n">
        <v>46215</v>
      </c>
      <c r="B160" s="32" t="inlineStr">
        <is>
          <t>Saída</t>
        </is>
      </c>
      <c r="C160" s="31" t="inlineStr">
        <is>
          <t>Telefone e internet</t>
        </is>
      </c>
      <c r="D160" s="31" t="inlineStr"/>
      <c r="E160" s="31" t="inlineStr"/>
      <c r="F160" s="31" t="inlineStr">
        <is>
          <t>Telefone e internet</t>
        </is>
      </c>
      <c r="G160" s="36" t="n">
        <v>220</v>
      </c>
      <c r="H160" s="32" t="inlineStr">
        <is>
          <t>Boleto</t>
        </is>
      </c>
      <c r="I160" s="32" t="inlineStr">
        <is>
          <t>Sim</t>
        </is>
      </c>
      <c r="J160" s="35">
        <f>IF(A160="","",MONTH(A160))</f>
        <v>7</v>
      </c>
      <c r="K160" s="35">
        <f>IF(A160="","",YEAR(A160))</f>
        <v>2026</v>
      </c>
    </row>
    <row r="161">
      <c r="A161" s="38" t="n">
        <v>46216</v>
      </c>
      <c r="B161" s="32" t="inlineStr">
        <is>
          <t>Saída</t>
        </is>
      </c>
      <c r="C161" s="31" t="inlineStr">
        <is>
          <t>Custas e despesas de processo</t>
        </is>
      </c>
      <c r="D161" s="31" t="inlineStr">
        <is>
          <t>Roberto Almeida</t>
        </is>
      </c>
      <c r="E161" s="31" t="inlineStr">
        <is>
          <t>2354318-24.2026.8.26.0295</t>
        </is>
      </c>
      <c r="F161" s="31" t="inlineStr">
        <is>
          <t>Custas de recurso</t>
        </is>
      </c>
      <c r="G161" s="36" t="n">
        <v>310</v>
      </c>
      <c r="H161" s="32" t="inlineStr">
        <is>
          <t>Boleto</t>
        </is>
      </c>
      <c r="I161" s="32" t="inlineStr">
        <is>
          <t>Sim</t>
        </is>
      </c>
      <c r="J161" s="35">
        <f>IF(A161="","",MONTH(A161))</f>
        <v>7</v>
      </c>
      <c r="K161" s="35">
        <f>IF(A161="","",YEAR(A161))</f>
        <v>2026</v>
      </c>
    </row>
    <row r="162">
      <c r="A162" s="38" t="n">
        <v>46217</v>
      </c>
      <c r="B162" s="32" t="inlineStr">
        <is>
          <t>Entrada</t>
        </is>
      </c>
      <c r="C162" s="31" t="inlineStr">
        <is>
          <t>Consultoria e pareceres</t>
        </is>
      </c>
      <c r="D162" s="31" t="inlineStr">
        <is>
          <t>Clínica Bem-Estar</t>
        </is>
      </c>
      <c r="E162" s="31" t="inlineStr">
        <is>
          <t>CONS-2025-05</t>
        </is>
      </c>
      <c r="F162" s="31" t="inlineStr">
        <is>
          <t>Fatura de horas · 8</t>
        </is>
      </c>
      <c r="G162" s="36" t="n">
        <v>1980</v>
      </c>
      <c r="H162" s="32" t="inlineStr">
        <is>
          <t>Boleto</t>
        </is>
      </c>
      <c r="I162" s="32" t="inlineStr">
        <is>
          <t>Sim</t>
        </is>
      </c>
      <c r="J162" s="35">
        <f>IF(A162="","",MONTH(A162))</f>
        <v>7</v>
      </c>
      <c r="K162" s="35">
        <f>IF(A162="","",YEAR(A162))</f>
        <v>2026</v>
      </c>
    </row>
    <row r="163">
      <c r="A163" s="38" t="n">
        <v>46218</v>
      </c>
      <c r="B163" s="32" t="inlineStr">
        <is>
          <t>Entrada</t>
        </is>
      </c>
      <c r="C163" s="31" t="inlineStr">
        <is>
          <t>Honorários por hora</t>
        </is>
      </c>
      <c r="D163" s="31" t="inlineStr">
        <is>
          <t>Agência Prisma</t>
        </is>
      </c>
      <c r="E163" s="31" t="inlineStr">
        <is>
          <t>9362688-24.2025.8.26.0436</t>
        </is>
      </c>
      <c r="F163" s="31" t="inlineStr">
        <is>
          <t>Fatura de horas · 7</t>
        </is>
      </c>
      <c r="G163" s="36" t="n">
        <v>2340</v>
      </c>
      <c r="H163" s="32" t="inlineStr">
        <is>
          <t>Boleto</t>
        </is>
      </c>
      <c r="I163" s="32" t="inlineStr">
        <is>
          <t>Sim</t>
        </is>
      </c>
      <c r="J163" s="35">
        <f>IF(A163="","",MONTH(A163))</f>
        <v>7</v>
      </c>
      <c r="K163" s="35">
        <f>IF(A163="","",YEAR(A163))</f>
        <v>2026</v>
      </c>
    </row>
    <row r="164">
      <c r="A164" s="38" t="n">
        <v>46218</v>
      </c>
      <c r="B164" s="32" t="inlineStr">
        <is>
          <t>Entrada</t>
        </is>
      </c>
      <c r="C164" s="31" t="inlineStr">
        <is>
          <t>Reembolso de custas</t>
        </is>
      </c>
      <c r="D164" s="31" t="inlineStr">
        <is>
          <t>Agência Prisma</t>
        </is>
      </c>
      <c r="E164" s="31" t="inlineStr">
        <is>
          <t>9362688-24.2025.8.26.0436</t>
        </is>
      </c>
      <c r="F164" s="31" t="inlineStr">
        <is>
          <t>Reembolso das custas de recurso</t>
        </is>
      </c>
      <c r="G164" s="36" t="n">
        <v>540</v>
      </c>
      <c r="H164" s="32" t="inlineStr">
        <is>
          <t>Transferência</t>
        </is>
      </c>
      <c r="I164" s="32" t="inlineStr">
        <is>
          <t>Sim</t>
        </is>
      </c>
      <c r="J164" s="35">
        <f>IF(A164="","",MONTH(A164))</f>
        <v>7</v>
      </c>
      <c r="K164" s="35">
        <f>IF(A164="","",YEAR(A164))</f>
        <v>2026</v>
      </c>
    </row>
    <row r="165">
      <c r="A165" s="38" t="n">
        <v>46218</v>
      </c>
      <c r="B165" s="32" t="inlineStr">
        <is>
          <t>Saída</t>
        </is>
      </c>
      <c r="C165" s="31" t="inlineStr">
        <is>
          <t>Anuidades OAB e cursos</t>
        </is>
      </c>
      <c r="D165" s="31" t="inlineStr"/>
      <c r="E165" s="31" t="inlineStr"/>
      <c r="F165" s="31" t="inlineStr">
        <is>
          <t>Anuidades OAB e cursos</t>
        </is>
      </c>
      <c r="G165" s="36" t="n">
        <v>250</v>
      </c>
      <c r="H165" s="32" t="inlineStr">
        <is>
          <t>Cartão</t>
        </is>
      </c>
      <c r="I165" s="32" t="inlineStr">
        <is>
          <t>Sim</t>
        </is>
      </c>
      <c r="J165" s="35">
        <f>IF(A165="","",MONTH(A165))</f>
        <v>7</v>
      </c>
      <c r="K165" s="35">
        <f>IF(A165="","",YEAR(A165))</f>
        <v>2026</v>
      </c>
    </row>
    <row r="166">
      <c r="A166" s="38" t="n">
        <v>46220</v>
      </c>
      <c r="B166" s="32" t="inlineStr">
        <is>
          <t>Entrada</t>
        </is>
      </c>
      <c r="C166" s="31" t="inlineStr">
        <is>
          <t>Honorários fixos</t>
        </is>
      </c>
      <c r="D166" s="31" t="inlineStr">
        <is>
          <t>Roberto Almeida</t>
        </is>
      </c>
      <c r="E166" s="31" t="inlineStr">
        <is>
          <t>2354318-24.2026.8.26.0295</t>
        </is>
      </c>
      <c r="F166" s="31" t="inlineStr">
        <is>
          <t>Honorários · parcela 2</t>
        </is>
      </c>
      <c r="G166" s="36" t="n">
        <v>2100</v>
      </c>
      <c r="H166" s="32" t="inlineStr">
        <is>
          <t>Pix</t>
        </is>
      </c>
      <c r="I166" s="32" t="inlineStr">
        <is>
          <t>Sim</t>
        </is>
      </c>
      <c r="J166" s="35">
        <f>IF(A166="","",MONTH(A166))</f>
        <v>7</v>
      </c>
      <c r="K166" s="35">
        <f>IF(A166="","",YEAR(A166))</f>
        <v>2026</v>
      </c>
    </row>
    <row r="167">
      <c r="A167" s="38" t="n">
        <v>46221</v>
      </c>
      <c r="B167" s="32" t="inlineStr">
        <is>
          <t>Saída</t>
        </is>
      </c>
      <c r="C167" s="31" t="inlineStr">
        <is>
          <t>Material, correio e outros</t>
        </is>
      </c>
      <c r="D167" s="31" t="inlineStr"/>
      <c r="E167" s="31" t="inlineStr"/>
      <c r="F167" s="31" t="inlineStr">
        <is>
          <t>Material, correio e outros</t>
        </is>
      </c>
      <c r="G167" s="36" t="n">
        <v>380</v>
      </c>
      <c r="H167" s="32" t="inlineStr">
        <is>
          <t>Cartão</t>
        </is>
      </c>
      <c r="I167" s="32" t="inlineStr">
        <is>
          <t>Sim</t>
        </is>
      </c>
      <c r="J167" s="35">
        <f>IF(A167="","",MONTH(A167))</f>
        <v>7</v>
      </c>
      <c r="K167" s="35">
        <f>IF(A167="","",YEAR(A167))</f>
        <v>2026</v>
      </c>
    </row>
    <row r="168">
      <c r="A168" s="38" t="n">
        <v>46223</v>
      </c>
      <c r="B168" s="32" t="inlineStr">
        <is>
          <t>Entrada</t>
        </is>
      </c>
      <c r="C168" s="31" t="inlineStr">
        <is>
          <t>Consultoria e pareceres</t>
        </is>
      </c>
      <c r="D168" s="31" t="inlineStr">
        <is>
          <t>Transportadora Rota Sul</t>
        </is>
      </c>
      <c r="E168" s="31" t="inlineStr">
        <is>
          <t>CONS-2026-06</t>
        </is>
      </c>
      <c r="F168" s="31" t="inlineStr">
        <is>
          <t>Honorários · parcela 1</t>
        </is>
      </c>
      <c r="G168" s="36" t="n">
        <v>2200</v>
      </c>
      <c r="H168" s="32" t="inlineStr">
        <is>
          <t>Pix</t>
        </is>
      </c>
      <c r="I168" s="32" t="inlineStr">
        <is>
          <t>Sim</t>
        </is>
      </c>
      <c r="J168" s="35">
        <f>IF(A168="","",MONTH(A168))</f>
        <v>7</v>
      </c>
      <c r="K168" s="35">
        <f>IF(A168="","",YEAR(A168))</f>
        <v>2026</v>
      </c>
    </row>
    <row r="169">
      <c r="A169" s="38" t="n">
        <v>46223</v>
      </c>
      <c r="B169" s="32" t="inlineStr">
        <is>
          <t>Entrada</t>
        </is>
      </c>
      <c r="C169" s="31" t="inlineStr">
        <is>
          <t>Honorários fixos</t>
        </is>
      </c>
      <c r="D169" s="31" t="inlineStr">
        <is>
          <t>Patrícia Gomes</t>
        </is>
      </c>
      <c r="E169" s="31" t="inlineStr">
        <is>
          <t>9616569-91.2026.8.26.0079</t>
        </is>
      </c>
      <c r="F169" s="31" t="inlineStr">
        <is>
          <t>Honorários · parcela 1</t>
        </is>
      </c>
      <c r="G169" s="36" t="n">
        <v>2100</v>
      </c>
      <c r="H169" s="32" t="inlineStr">
        <is>
          <t>Pix</t>
        </is>
      </c>
      <c r="I169" s="32" t="inlineStr">
        <is>
          <t>Sim</t>
        </is>
      </c>
      <c r="J169" s="35">
        <f>IF(A169="","",MONTH(A169))</f>
        <v>7</v>
      </c>
      <c r="K169" s="35">
        <f>IF(A169="","",YEAR(A169))</f>
        <v>2026</v>
      </c>
    </row>
    <row r="170">
      <c r="A170" s="38" t="n">
        <v>46223</v>
      </c>
      <c r="B170" s="32" t="inlineStr">
        <is>
          <t>Saída</t>
        </is>
      </c>
      <c r="C170" s="31" t="inlineStr">
        <is>
          <t>Impostos e taxas</t>
        </is>
      </c>
      <c r="D170" s="31" t="inlineStr"/>
      <c r="E170" s="31" t="inlineStr"/>
      <c r="F170" s="31" t="inlineStr">
        <is>
          <t>Guia de impostos do mês anterior (alíquota efetiva combinada com o contador)</t>
        </is>
      </c>
      <c r="G170" s="36" t="n">
        <v>2194</v>
      </c>
      <c r="H170" s="32" t="inlineStr">
        <is>
          <t>Boleto</t>
        </is>
      </c>
      <c r="I170" s="32" t="inlineStr">
        <is>
          <t>Sim</t>
        </is>
      </c>
      <c r="J170" s="35">
        <f>IF(A170="","",MONTH(A170))</f>
        <v>7</v>
      </c>
      <c r="K170" s="35">
        <f>IF(A170="","",YEAR(A170))</f>
        <v>2026</v>
      </c>
    </row>
    <row r="171">
      <c r="A171" s="38" t="n">
        <v>46223</v>
      </c>
      <c r="B171" s="32" t="inlineStr">
        <is>
          <t>Saída</t>
        </is>
      </c>
      <c r="C171" s="31" t="inlineStr">
        <is>
          <t>Marketing e site</t>
        </is>
      </c>
      <c r="D171" s="31" t="inlineStr"/>
      <c r="E171" s="31" t="inlineStr"/>
      <c r="F171" s="31" t="inlineStr">
        <is>
          <t>Marketing e site</t>
        </is>
      </c>
      <c r="G171" s="36" t="n">
        <v>400</v>
      </c>
      <c r="H171" s="32" t="inlineStr">
        <is>
          <t>Cartão</t>
        </is>
      </c>
      <c r="I171" s="32" t="inlineStr">
        <is>
          <t>Sim</t>
        </is>
      </c>
      <c r="J171" s="35">
        <f>IF(A171="","",MONTH(A171))</f>
        <v>7</v>
      </c>
      <c r="K171" s="35">
        <f>IF(A171="","",YEAR(A171))</f>
        <v>2026</v>
      </c>
    </row>
    <row r="172">
      <c r="A172" s="38" t="n">
        <v>46231</v>
      </c>
      <c r="B172" s="32" t="inlineStr">
        <is>
          <t>Saída</t>
        </is>
      </c>
      <c r="C172" s="31" t="inlineStr">
        <is>
          <t>Pró-labore dos sócios</t>
        </is>
      </c>
      <c r="D172" s="31" t="inlineStr"/>
      <c r="E172" s="31" t="inlineStr"/>
      <c r="F172" s="31" t="inlineStr">
        <is>
          <t>Pró-labore · Marina Ferraz</t>
        </is>
      </c>
      <c r="G172" s="36" t="n">
        <v>6000</v>
      </c>
      <c r="H172" s="32" t="inlineStr">
        <is>
          <t>Transferência</t>
        </is>
      </c>
      <c r="I172" s="32" t="inlineStr">
        <is>
          <t>Sim</t>
        </is>
      </c>
      <c r="J172" s="35">
        <f>IF(A172="","",MONTH(A172))</f>
        <v>7</v>
      </c>
      <c r="K172" s="35">
        <f>IF(A172="","",YEAR(A172))</f>
        <v>2026</v>
      </c>
    </row>
    <row r="173">
      <c r="A173" s="38" t="n">
        <v>46231</v>
      </c>
      <c r="B173" s="32" t="inlineStr">
        <is>
          <t>Saída</t>
        </is>
      </c>
      <c r="C173" s="31" t="inlineStr">
        <is>
          <t>Pró-labore dos sócios</t>
        </is>
      </c>
      <c r="D173" s="31" t="inlineStr"/>
      <c r="E173" s="31" t="inlineStr"/>
      <c r="F173" s="31" t="inlineStr">
        <is>
          <t>Pró-labore · Rafael Lima</t>
        </is>
      </c>
      <c r="G173" s="36" t="n">
        <v>6000</v>
      </c>
      <c r="H173" s="32" t="inlineStr">
        <is>
          <t>Transferência</t>
        </is>
      </c>
      <c r="I173" s="32" t="inlineStr">
        <is>
          <t>Sim</t>
        </is>
      </c>
      <c r="J173" s="35">
        <f>IF(A173="","",MONTH(A173))</f>
        <v>7</v>
      </c>
      <c r="K173" s="35">
        <f>IF(A173="","",YEAR(A173))</f>
        <v>2026</v>
      </c>
    </row>
    <row r="174">
      <c r="A174" s="38" t="n">
        <v>46232</v>
      </c>
      <c r="B174" s="32" t="inlineStr">
        <is>
          <t>Entrada</t>
        </is>
      </c>
      <c r="C174" s="31" t="inlineStr">
        <is>
          <t>Honorários fixos</t>
        </is>
      </c>
      <c r="D174" s="31" t="inlineStr">
        <is>
          <t>Construtora Horizonte</t>
        </is>
      </c>
      <c r="E174" s="31" t="inlineStr">
        <is>
          <t>9586960-92.2026.8.26.0106</t>
        </is>
      </c>
      <c r="F174" s="31" t="inlineStr">
        <is>
          <t>Honorários · entrada</t>
        </is>
      </c>
      <c r="G174" s="36" t="n">
        <v>4200</v>
      </c>
      <c r="H174" s="32" t="inlineStr">
        <is>
          <t>Pix</t>
        </is>
      </c>
      <c r="I174" s="32" t="inlineStr">
        <is>
          <t>Sim</t>
        </is>
      </c>
      <c r="J174" s="35">
        <f>IF(A174="","",MONTH(A174))</f>
        <v>7</v>
      </c>
      <c r="K174" s="35">
        <f>IF(A174="","",YEAR(A174))</f>
        <v>2026</v>
      </c>
    </row>
    <row r="175">
      <c r="A175" s="38" t="n">
        <v>46232</v>
      </c>
      <c r="B175" s="32" t="inlineStr">
        <is>
          <t>Entrada</t>
        </is>
      </c>
      <c r="C175" s="31" t="inlineStr">
        <is>
          <t>Honorários fixos</t>
        </is>
      </c>
      <c r="D175" s="31" t="inlineStr">
        <is>
          <t>Helena Duarte</t>
        </is>
      </c>
      <c r="E175" s="31" t="inlineStr">
        <is>
          <t>7679821-77.2026.8.26.0265</t>
        </is>
      </c>
      <c r="F175" s="31" t="inlineStr">
        <is>
          <t>Honorários · parcela 1</t>
        </is>
      </c>
      <c r="G175" s="36" t="n">
        <v>1500</v>
      </c>
      <c r="H175" s="32" t="inlineStr">
        <is>
          <t>Pix</t>
        </is>
      </c>
      <c r="I175" s="32" t="inlineStr">
        <is>
          <t>Sim</t>
        </is>
      </c>
      <c r="J175" s="35">
        <f>IF(A175="","",MONTH(A175))</f>
        <v>7</v>
      </c>
      <c r="K175" s="35">
        <f>IF(A175="","",YEAR(A175))</f>
        <v>2026</v>
      </c>
    </row>
    <row r="176">
      <c r="A176" s="38" t="n">
        <v>46233</v>
      </c>
      <c r="B176" s="32" t="inlineStr">
        <is>
          <t>Entrada</t>
        </is>
      </c>
      <c r="C176" s="31" t="inlineStr">
        <is>
          <t>Honorários fixos</t>
        </is>
      </c>
      <c r="D176" s="31" t="inlineStr">
        <is>
          <t>Clínica Bem-Estar</t>
        </is>
      </c>
      <c r="E176" s="31" t="inlineStr">
        <is>
          <t>2645033-67.2026.8.26.0012</t>
        </is>
      </c>
      <c r="F176" s="31" t="inlineStr">
        <is>
          <t>Honorários · parcela 2</t>
        </is>
      </c>
      <c r="G176" s="36" t="n">
        <v>2700</v>
      </c>
      <c r="H176" s="32" t="inlineStr">
        <is>
          <t>Pix</t>
        </is>
      </c>
      <c r="I176" s="32" t="inlineStr">
        <is>
          <t>Sim</t>
        </is>
      </c>
      <c r="J176" s="35">
        <f>IF(A176="","",MONTH(A176))</f>
        <v>7</v>
      </c>
      <c r="K176" s="35">
        <f>IF(A176="","",YEAR(A176))</f>
        <v>2026</v>
      </c>
    </row>
    <row r="177">
      <c r="A177" s="38" t="n">
        <v>46234</v>
      </c>
      <c r="B177" s="32" t="inlineStr">
        <is>
          <t>Entrada</t>
        </is>
      </c>
      <c r="C177" s="31" t="inlineStr">
        <is>
          <t>Honorários fixos</t>
        </is>
      </c>
      <c r="D177" s="31" t="inlineStr">
        <is>
          <t>Carlos Eduardo Nunes</t>
        </is>
      </c>
      <c r="E177" s="31" t="inlineStr">
        <is>
          <t>4746093-86.2026.8.26.0637</t>
        </is>
      </c>
      <c r="F177" s="31" t="inlineStr">
        <is>
          <t>Honorários · entrada</t>
        </is>
      </c>
      <c r="G177" s="36" t="n">
        <v>2400</v>
      </c>
      <c r="H177" s="32" t="inlineStr">
        <is>
          <t>Pix</t>
        </is>
      </c>
      <c r="I177" s="32" t="inlineStr">
        <is>
          <t>Sim</t>
        </is>
      </c>
      <c r="J177" s="35">
        <f>IF(A177="","",MONTH(A177))</f>
        <v>7</v>
      </c>
      <c r="K177" s="35">
        <f>IF(A177="","",YEAR(A177))</f>
        <v>2026</v>
      </c>
    </row>
    <row r="178">
      <c r="A178" s="38" t="n">
        <v>46239</v>
      </c>
      <c r="B178" s="32" t="inlineStr">
        <is>
          <t>Entrada</t>
        </is>
      </c>
      <c r="C178" s="31" t="inlineStr">
        <is>
          <t>Consultoria e pareceres</t>
        </is>
      </c>
      <c r="D178" s="31" t="inlineStr">
        <is>
          <t>Padaria do Sol Ltda</t>
        </is>
      </c>
      <c r="E178" s="31" t="inlineStr">
        <is>
          <t>CONS-2026-01</t>
        </is>
      </c>
      <c r="F178" s="31" t="inlineStr">
        <is>
          <t>Honorários · parcela 2</t>
        </is>
      </c>
      <c r="G178" s="36" t="n">
        <v>1500</v>
      </c>
      <c r="H178" s="32" t="inlineStr">
        <is>
          <t>Pix</t>
        </is>
      </c>
      <c r="I178" s="32" t="inlineStr">
        <is>
          <t>Sim</t>
        </is>
      </c>
      <c r="J178" s="35">
        <f>IF(A178="","",MONTH(A178))</f>
        <v>8</v>
      </c>
      <c r="K178" s="35">
        <f>IF(A178="","",YEAR(A178))</f>
        <v>2026</v>
      </c>
    </row>
    <row r="179">
      <c r="A179" s="38" t="n">
        <v>46239</v>
      </c>
      <c r="B179" s="32" t="inlineStr">
        <is>
          <t>Entrada</t>
        </is>
      </c>
      <c r="C179" s="31" t="inlineStr">
        <is>
          <t>Honorários fixos</t>
        </is>
      </c>
      <c r="D179" s="31" t="inlineStr">
        <is>
          <t>Luciana Farias</t>
        </is>
      </c>
      <c r="E179" s="31" t="inlineStr">
        <is>
          <t>2521428-61.2026.8.26.0600</t>
        </is>
      </c>
      <c r="F179" s="31" t="inlineStr">
        <is>
          <t>Honorários · parcela 1</t>
        </is>
      </c>
      <c r="G179" s="36" t="n">
        <v>1200</v>
      </c>
      <c r="H179" s="32" t="inlineStr">
        <is>
          <t>Pix</t>
        </is>
      </c>
      <c r="I179" s="32" t="inlineStr">
        <is>
          <t>Sim</t>
        </is>
      </c>
      <c r="J179" s="35">
        <f>IF(A179="","",MONTH(A179))</f>
        <v>8</v>
      </c>
      <c r="K179" s="35">
        <f>IF(A179="","",YEAR(A179))</f>
        <v>2026</v>
      </c>
    </row>
    <row r="180">
      <c r="A180" s="38" t="n">
        <v>46239</v>
      </c>
      <c r="B180" s="32" t="inlineStr">
        <is>
          <t>Saída</t>
        </is>
      </c>
      <c r="C180" s="31" t="inlineStr">
        <is>
          <t>Aluguel e condomínio</t>
        </is>
      </c>
      <c r="D180" s="31" t="inlineStr"/>
      <c r="E180" s="31" t="inlineStr"/>
      <c r="F180" s="31" t="inlineStr">
        <is>
          <t>Aluguel e condomínio da sala</t>
        </is>
      </c>
      <c r="G180" s="36" t="n">
        <v>2800</v>
      </c>
      <c r="H180" s="32" t="inlineStr">
        <is>
          <t>Boleto</t>
        </is>
      </c>
      <c r="I180" s="32" t="inlineStr">
        <is>
          <t>Sim</t>
        </is>
      </c>
      <c r="J180" s="35">
        <f>IF(A180="","",MONTH(A180))</f>
        <v>8</v>
      </c>
      <c r="K180" s="35">
        <f>IF(A180="","",YEAR(A180))</f>
        <v>2026</v>
      </c>
    </row>
    <row r="181">
      <c r="A181" s="38" t="n">
        <v>46239</v>
      </c>
      <c r="B181" s="32" t="inlineStr">
        <is>
          <t>Saída</t>
        </is>
      </c>
      <c r="C181" s="31" t="inlineStr">
        <is>
          <t>Custas e despesas de processo</t>
        </is>
      </c>
      <c r="D181" s="31" t="inlineStr">
        <is>
          <t>Patrícia Gomes</t>
        </is>
      </c>
      <c r="E181" s="31" t="inlineStr">
        <is>
          <t>9616569-91.2026.8.26.0079</t>
        </is>
      </c>
      <c r="F181" s="31" t="inlineStr">
        <is>
          <t>Custas de execução</t>
        </is>
      </c>
      <c r="G181" s="36" t="n">
        <v>380</v>
      </c>
      <c r="H181" s="32" t="inlineStr">
        <is>
          <t>Boleto</t>
        </is>
      </c>
      <c r="I181" s="32" t="inlineStr">
        <is>
          <t>Sim</t>
        </is>
      </c>
      <c r="J181" s="35">
        <f>IF(A181="","",MONTH(A181))</f>
        <v>8</v>
      </c>
      <c r="K181" s="35">
        <f>IF(A181="","",YEAR(A181))</f>
        <v>2026</v>
      </c>
    </row>
    <row r="182">
      <c r="A182" s="38" t="n">
        <v>46239</v>
      </c>
      <c r="B182" s="32" t="inlineStr">
        <is>
          <t>Saída</t>
        </is>
      </c>
      <c r="C182" s="31" t="inlineStr">
        <is>
          <t>Estagiária (bolsa)</t>
        </is>
      </c>
      <c r="D182" s="31" t="inlineStr"/>
      <c r="E182" s="31" t="inlineStr"/>
      <c r="F182" s="31" t="inlineStr">
        <is>
          <t>Bolsa da estagiária · Júlia Prado</t>
        </is>
      </c>
      <c r="G182" s="36" t="n">
        <v>1400</v>
      </c>
      <c r="H182" s="32" t="inlineStr">
        <is>
          <t>Cartão</t>
        </is>
      </c>
      <c r="I182" s="32" t="inlineStr">
        <is>
          <t>Sim</t>
        </is>
      </c>
      <c r="J182" s="35">
        <f>IF(A182="","",MONTH(A182))</f>
        <v>8</v>
      </c>
      <c r="K182" s="35">
        <f>IF(A182="","",YEAR(A182))</f>
        <v>2026</v>
      </c>
    </row>
    <row r="183">
      <c r="A183" s="38" t="n">
        <v>46240</v>
      </c>
      <c r="B183" s="32" t="inlineStr">
        <is>
          <t>Saída</t>
        </is>
      </c>
      <c r="C183" s="31" t="inlineStr">
        <is>
          <t>Outras saídas</t>
        </is>
      </c>
      <c r="D183" s="31" t="inlineStr"/>
      <c r="E183" s="31" t="inlineStr"/>
      <c r="F183" s="31" t="inlineStr">
        <is>
          <t>Despesa pessoal · Marina Ferraz · plano de saúde particular (a acertar)</t>
        </is>
      </c>
      <c r="G183" s="36" t="n">
        <v>480</v>
      </c>
      <c r="H183" s="32" t="inlineStr">
        <is>
          <t>Boleto</t>
        </is>
      </c>
      <c r="I183" s="32" t="inlineStr">
        <is>
          <t>Sim</t>
        </is>
      </c>
      <c r="J183" s="35">
        <f>IF(A183="","",MONTH(A183))</f>
        <v>8</v>
      </c>
      <c r="K183" s="35">
        <f>IF(A183="","",YEAR(A183))</f>
        <v>2026</v>
      </c>
    </row>
    <row r="184">
      <c r="A184" s="38" t="n">
        <v>46241</v>
      </c>
      <c r="B184" s="32" t="inlineStr">
        <is>
          <t>Entrada</t>
        </is>
      </c>
      <c r="C184" s="31" t="inlineStr">
        <is>
          <t>Honorários fixos</t>
        </is>
      </c>
      <c r="D184" s="31" t="inlineStr">
        <is>
          <t>Luciana Farias</t>
        </is>
      </c>
      <c r="E184" s="31" t="inlineStr">
        <is>
          <t>7099226-69.2026.8.26.0433</t>
        </is>
      </c>
      <c r="F184" s="31" t="inlineStr">
        <is>
          <t>Honorários · parcela 2</t>
        </is>
      </c>
      <c r="G184" s="36" t="n">
        <v>2500</v>
      </c>
      <c r="H184" s="32" t="inlineStr">
        <is>
          <t>Pix</t>
        </is>
      </c>
      <c r="I184" s="32" t="inlineStr">
        <is>
          <t>Sim</t>
        </is>
      </c>
      <c r="J184" s="35">
        <f>IF(A184="","",MONTH(A184))</f>
        <v>8</v>
      </c>
      <c r="K184" s="35">
        <f>IF(A184="","",YEAR(A184))</f>
        <v>2026</v>
      </c>
    </row>
    <row r="185">
      <c r="A185" s="38" t="n">
        <v>46241</v>
      </c>
      <c r="B185" s="32" t="inlineStr">
        <is>
          <t>Entrada</t>
        </is>
      </c>
      <c r="C185" s="31" t="inlineStr">
        <is>
          <t>Honorários fixos</t>
        </is>
      </c>
      <c r="D185" s="31" t="inlineStr">
        <is>
          <t>Marcos Vinícius Teles</t>
        </is>
      </c>
      <c r="E185" s="31" t="inlineStr">
        <is>
          <t>9605863-76.2026.8.26.0026</t>
        </is>
      </c>
      <c r="F185" s="31" t="inlineStr">
        <is>
          <t>Honorários · parcela 2</t>
        </is>
      </c>
      <c r="G185" s="36" t="n">
        <v>1000</v>
      </c>
      <c r="H185" s="32" t="inlineStr">
        <is>
          <t>Pix</t>
        </is>
      </c>
      <c r="I185" s="32" t="inlineStr">
        <is>
          <t>Sim</t>
        </is>
      </c>
      <c r="J185" s="35">
        <f>IF(A185="","",MONTH(A185))</f>
        <v>8</v>
      </c>
      <c r="K185" s="35">
        <f>IF(A185="","",YEAR(A185))</f>
        <v>2026</v>
      </c>
    </row>
    <row r="186">
      <c r="A186" s="38" t="n">
        <v>46242</v>
      </c>
      <c r="B186" s="32" t="inlineStr">
        <is>
          <t>Saída</t>
        </is>
      </c>
      <c r="C186" s="31" t="inlineStr">
        <is>
          <t>Sistemas e assinaturas</t>
        </is>
      </c>
      <c r="D186" s="31" t="inlineStr"/>
      <c r="E186" s="31" t="inlineStr"/>
      <c r="F186" s="31" t="inlineStr">
        <is>
          <t>Sistemas e assinaturas</t>
        </is>
      </c>
      <c r="G186" s="36" t="n">
        <v>450</v>
      </c>
      <c r="H186" s="32" t="inlineStr">
        <is>
          <t>Cartão</t>
        </is>
      </c>
      <c r="I186" s="32" t="inlineStr">
        <is>
          <t>Sim</t>
        </is>
      </c>
      <c r="J186" s="35">
        <f>IF(A186="","",MONTH(A186))</f>
        <v>8</v>
      </c>
      <c r="K186" s="35">
        <f>IF(A186="","",YEAR(A186))</f>
        <v>2026</v>
      </c>
    </row>
    <row r="187">
      <c r="A187" s="38" t="n">
        <v>46244</v>
      </c>
      <c r="B187" s="32" t="inlineStr">
        <is>
          <t>Entrada</t>
        </is>
      </c>
      <c r="C187" s="31" t="inlineStr">
        <is>
          <t>Consultoria e pareceres</t>
        </is>
      </c>
      <c r="D187" s="31" t="inlineStr">
        <is>
          <t>Escola Aurora</t>
        </is>
      </c>
      <c r="E187" s="31" t="inlineStr">
        <is>
          <t>CONS-2026-04</t>
        </is>
      </c>
      <c r="F187" s="31" t="inlineStr">
        <is>
          <t>Honorários · parcela 1</t>
        </is>
      </c>
      <c r="G187" s="36" t="n">
        <v>1100</v>
      </c>
      <c r="H187" s="32" t="inlineStr">
        <is>
          <t>Pix</t>
        </is>
      </c>
      <c r="I187" s="32" t="inlineStr">
        <is>
          <t>Sim</t>
        </is>
      </c>
      <c r="J187" s="35">
        <f>IF(A187="","",MONTH(A187))</f>
        <v>8</v>
      </c>
      <c r="K187" s="35">
        <f>IF(A187="","",YEAR(A187))</f>
        <v>2026</v>
      </c>
    </row>
    <row r="188">
      <c r="A188" s="38" t="n">
        <v>46244</v>
      </c>
      <c r="B188" s="32" t="inlineStr">
        <is>
          <t>Entrada</t>
        </is>
      </c>
      <c r="C188" s="31" t="inlineStr">
        <is>
          <t>Consultoria e pareceres</t>
        </is>
      </c>
      <c r="D188" s="31" t="inlineStr">
        <is>
          <t>Clínica Bem-Estar</t>
        </is>
      </c>
      <c r="E188" s="31" t="inlineStr">
        <is>
          <t>CONS-2025-05</t>
        </is>
      </c>
      <c r="F188" s="31" t="inlineStr">
        <is>
          <t>Fatura de horas · 9</t>
        </is>
      </c>
      <c r="G188" s="36" t="n">
        <v>1440</v>
      </c>
      <c r="H188" s="32" t="inlineStr">
        <is>
          <t>Boleto</t>
        </is>
      </c>
      <c r="I188" s="32" t="inlineStr">
        <is>
          <t>Sim</t>
        </is>
      </c>
      <c r="J188" s="35">
        <f>IF(A188="","",MONTH(A188))</f>
        <v>8</v>
      </c>
      <c r="K188" s="35">
        <f>IF(A188="","",YEAR(A188))</f>
        <v>2026</v>
      </c>
    </row>
    <row r="189">
      <c r="A189" s="38" t="n">
        <v>46244</v>
      </c>
      <c r="B189" s="32" t="inlineStr">
        <is>
          <t>Entrada</t>
        </is>
      </c>
      <c r="C189" s="31" t="inlineStr">
        <is>
          <t>Honorários fixos</t>
        </is>
      </c>
      <c r="D189" s="31" t="inlineStr">
        <is>
          <t>Patrícia Gomes</t>
        </is>
      </c>
      <c r="E189" s="31" t="inlineStr">
        <is>
          <t>6832730-55.2026.8.26.0386</t>
        </is>
      </c>
      <c r="F189" s="31" t="inlineStr">
        <is>
          <t>Honorários · parcela 3</t>
        </is>
      </c>
      <c r="G189" s="36" t="n">
        <v>1800</v>
      </c>
      <c r="H189" s="32" t="inlineStr">
        <is>
          <t>Pix</t>
        </is>
      </c>
      <c r="I189" s="32" t="inlineStr">
        <is>
          <t>Sim</t>
        </is>
      </c>
      <c r="J189" s="35">
        <f>IF(A189="","",MONTH(A189))</f>
        <v>8</v>
      </c>
      <c r="K189" s="35">
        <f>IF(A189="","",YEAR(A189))</f>
        <v>2026</v>
      </c>
    </row>
    <row r="190">
      <c r="A190" s="38" t="n">
        <v>46244</v>
      </c>
      <c r="B190" s="32" t="inlineStr">
        <is>
          <t>Entrada</t>
        </is>
      </c>
      <c r="C190" s="31" t="inlineStr">
        <is>
          <t>Honorários por hora</t>
        </is>
      </c>
      <c r="D190" s="31" t="inlineStr">
        <is>
          <t>Agência Prisma</t>
        </is>
      </c>
      <c r="E190" s="31" t="inlineStr">
        <is>
          <t>9362688-24.2025.8.26.0436</t>
        </is>
      </c>
      <c r="F190" s="31" t="inlineStr">
        <is>
          <t>Fatura de horas · 8 (vencida)</t>
        </is>
      </c>
      <c r="G190" s="36" t="n">
        <v>1800</v>
      </c>
      <c r="H190" s="32" t="inlineStr">
        <is>
          <t>Boleto</t>
        </is>
      </c>
      <c r="I190" s="32" t="inlineStr">
        <is>
          <t>Não</t>
        </is>
      </c>
      <c r="J190" s="35">
        <f>IF(A190="","",MONTH(A190))</f>
        <v>8</v>
      </c>
      <c r="K190" s="35">
        <f>IF(A190="","",YEAR(A190))</f>
        <v>2026</v>
      </c>
    </row>
    <row r="191">
      <c r="A191" s="38" t="n">
        <v>46244</v>
      </c>
      <c r="B191" s="32" t="inlineStr">
        <is>
          <t>Saída</t>
        </is>
      </c>
      <c r="C191" s="31" t="inlineStr">
        <is>
          <t>Contador</t>
        </is>
      </c>
      <c r="D191" s="31" t="inlineStr"/>
      <c r="E191" s="31" t="inlineStr"/>
      <c r="F191" s="31" t="inlineStr">
        <is>
          <t>Honorários do contador</t>
        </is>
      </c>
      <c r="G191" s="36" t="n">
        <v>600</v>
      </c>
      <c r="H191" s="32" t="inlineStr">
        <is>
          <t>Boleto</t>
        </is>
      </c>
      <c r="I191" s="32" t="inlineStr">
        <is>
          <t>Sim</t>
        </is>
      </c>
      <c r="J191" s="35">
        <f>IF(A191="","",MONTH(A191))</f>
        <v>8</v>
      </c>
      <c r="K191" s="35">
        <f>IF(A191="","",YEAR(A191))</f>
        <v>2026</v>
      </c>
    </row>
    <row r="192">
      <c r="A192" s="38" t="n">
        <v>46246</v>
      </c>
      <c r="B192" s="32" t="inlineStr">
        <is>
          <t>Entrada</t>
        </is>
      </c>
      <c r="C192" s="31" t="inlineStr">
        <is>
          <t>Reembolso de custas</t>
        </is>
      </c>
      <c r="D192" s="31" t="inlineStr">
        <is>
          <t>Roberto Almeida</t>
        </is>
      </c>
      <c r="E192" s="31" t="inlineStr">
        <is>
          <t>2354318-24.2026.8.26.0295</t>
        </is>
      </c>
      <c r="F192" s="31" t="inlineStr">
        <is>
          <t>Reembolso das custas de recurso</t>
        </is>
      </c>
      <c r="G192" s="36" t="n">
        <v>310</v>
      </c>
      <c r="H192" s="32" t="inlineStr">
        <is>
          <t>Transferência</t>
        </is>
      </c>
      <c r="I192" s="32" t="inlineStr">
        <is>
          <t>Sim</t>
        </is>
      </c>
      <c r="J192" s="35">
        <f>IF(A192="","",MONTH(A192))</f>
        <v>8</v>
      </c>
      <c r="K192" s="35">
        <f>IF(A192="","",YEAR(A192))</f>
        <v>2026</v>
      </c>
    </row>
    <row r="193">
      <c r="A193" s="38" t="n">
        <v>46246</v>
      </c>
      <c r="B193" s="32" t="inlineStr">
        <is>
          <t>Saída</t>
        </is>
      </c>
      <c r="C193" s="31" t="inlineStr">
        <is>
          <t>Telefone e internet</t>
        </is>
      </c>
      <c r="D193" s="31" t="inlineStr"/>
      <c r="E193" s="31" t="inlineStr"/>
      <c r="F193" s="31" t="inlineStr">
        <is>
          <t>Telefone e internet</t>
        </is>
      </c>
      <c r="G193" s="36" t="n">
        <v>220</v>
      </c>
      <c r="H193" s="32" t="inlineStr">
        <is>
          <t>Boleto</t>
        </is>
      </c>
      <c r="I193" s="32" t="inlineStr">
        <is>
          <t>Sim</t>
        </is>
      </c>
      <c r="J193" s="35">
        <f>IF(A193="","",MONTH(A193))</f>
        <v>8</v>
      </c>
      <c r="K193" s="35">
        <f>IF(A193="","",YEAR(A193))</f>
        <v>2026</v>
      </c>
    </row>
    <row r="194">
      <c r="A194" s="38" t="n">
        <v>46248</v>
      </c>
      <c r="B194" s="32" t="inlineStr">
        <is>
          <t>Entrada</t>
        </is>
      </c>
      <c r="C194" s="31" t="inlineStr">
        <is>
          <t>Honorários fixos</t>
        </is>
      </c>
      <c r="D194" s="31" t="inlineStr">
        <is>
          <t>Patrícia Gomes</t>
        </is>
      </c>
      <c r="E194" s="31" t="inlineStr">
        <is>
          <t>9616569-91.2026.8.26.0079</t>
        </is>
      </c>
      <c r="F194" s="31" t="inlineStr">
        <is>
          <t>Honorários · parcela 2 (vencida)</t>
        </is>
      </c>
      <c r="G194" s="36" t="n">
        <v>2100</v>
      </c>
      <c r="H194" s="32" t="inlineStr">
        <is>
          <t>Boleto</t>
        </is>
      </c>
      <c r="I194" s="32" t="inlineStr">
        <is>
          <t>Não</t>
        </is>
      </c>
      <c r="J194" s="35">
        <f>IF(A194="","",MONTH(A194))</f>
        <v>8</v>
      </c>
      <c r="K194" s="35">
        <f>IF(A194="","",YEAR(A194))</f>
        <v>2026</v>
      </c>
    </row>
    <row r="195">
      <c r="A195" s="38" t="n">
        <v>46249</v>
      </c>
      <c r="B195" s="32" t="inlineStr">
        <is>
          <t>Saída</t>
        </is>
      </c>
      <c r="C195" s="31" t="inlineStr">
        <is>
          <t>Anuidades OAB e cursos</t>
        </is>
      </c>
      <c r="D195" s="31" t="inlineStr"/>
      <c r="E195" s="31" t="inlineStr"/>
      <c r="F195" s="31" t="inlineStr">
        <is>
          <t>Anuidades OAB e cursos</t>
        </is>
      </c>
      <c r="G195" s="36" t="n">
        <v>250</v>
      </c>
      <c r="H195" s="32" t="inlineStr">
        <is>
          <t>Cartão</t>
        </is>
      </c>
      <c r="I195" s="32" t="inlineStr">
        <is>
          <t>Sim</t>
        </is>
      </c>
      <c r="J195" s="35">
        <f>IF(A195="","",MONTH(A195))</f>
        <v>8</v>
      </c>
      <c r="K195" s="35">
        <f>IF(A195="","",YEAR(A195))</f>
        <v>2026</v>
      </c>
    </row>
    <row r="196">
      <c r="A196" s="38" t="n">
        <v>46252</v>
      </c>
      <c r="B196" s="32" t="inlineStr">
        <is>
          <t>Entrada</t>
        </is>
      </c>
      <c r="C196" s="31" t="inlineStr">
        <is>
          <t>Consultoria e pareceres</t>
        </is>
      </c>
      <c r="D196" s="31" t="inlineStr">
        <is>
          <t>Loja Verde Comércio</t>
        </is>
      </c>
      <c r="E196" s="31" t="inlineStr">
        <is>
          <t>CONS-2026-02</t>
        </is>
      </c>
      <c r="F196" s="31" t="inlineStr">
        <is>
          <t>Honorários · parcela 1</t>
        </is>
      </c>
      <c r="G196" s="36" t="n">
        <v>2800</v>
      </c>
      <c r="H196" s="32" t="inlineStr">
        <is>
          <t>Pix</t>
        </is>
      </c>
      <c r="I196" s="32" t="inlineStr">
        <is>
          <t>Sim</t>
        </is>
      </c>
      <c r="J196" s="35">
        <f>IF(A196="","",MONTH(A196))</f>
        <v>8</v>
      </c>
      <c r="K196" s="35">
        <f>IF(A196="","",YEAR(A196))</f>
        <v>2026</v>
      </c>
    </row>
    <row r="197">
      <c r="A197" s="38" t="n">
        <v>46252</v>
      </c>
      <c r="B197" s="32" t="inlineStr">
        <is>
          <t>Saída</t>
        </is>
      </c>
      <c r="C197" s="31" t="inlineStr">
        <is>
          <t>Material, correio e outros</t>
        </is>
      </c>
      <c r="D197" s="31" t="inlineStr"/>
      <c r="E197" s="31" t="inlineStr"/>
      <c r="F197" s="31" t="inlineStr">
        <is>
          <t>Material, correio e outros</t>
        </is>
      </c>
      <c r="G197" s="36" t="n">
        <v>380</v>
      </c>
      <c r="H197" s="32" t="inlineStr">
        <is>
          <t>Cartão</t>
        </is>
      </c>
      <c r="I197" s="32" t="inlineStr">
        <is>
          <t>Sim</t>
        </is>
      </c>
      <c r="J197" s="35">
        <f>IF(A197="","",MONTH(A197))</f>
        <v>8</v>
      </c>
      <c r="K197" s="35">
        <f>IF(A197="","",YEAR(A197))</f>
        <v>2026</v>
      </c>
    </row>
    <row r="198">
      <c r="A198" s="38" t="n">
        <v>46253</v>
      </c>
      <c r="B198" s="32" t="inlineStr">
        <is>
          <t>Entrada</t>
        </is>
      </c>
      <c r="C198" s="31" t="inlineStr">
        <is>
          <t>Consultoria e pareceres</t>
        </is>
      </c>
      <c r="D198" s="31" t="inlineStr">
        <is>
          <t>Transportadora Rota Sul</t>
        </is>
      </c>
      <c r="E198" s="31" t="inlineStr">
        <is>
          <t>CONS-2026-06</t>
        </is>
      </c>
      <c r="F198" s="31" t="inlineStr">
        <is>
          <t>Honorários · parcela 2</t>
        </is>
      </c>
      <c r="G198" s="36" t="n">
        <v>2200</v>
      </c>
      <c r="H198" s="32" t="inlineStr">
        <is>
          <t>Pix</t>
        </is>
      </c>
      <c r="I198" s="32" t="inlineStr">
        <is>
          <t>Sim</t>
        </is>
      </c>
      <c r="J198" s="35">
        <f>IF(A198="","",MONTH(A198))</f>
        <v>8</v>
      </c>
      <c r="K198" s="35">
        <f>IF(A198="","",YEAR(A198))</f>
        <v>2026</v>
      </c>
    </row>
    <row r="199">
      <c r="A199" s="38" t="n">
        <v>46253</v>
      </c>
      <c r="B199" s="32" t="inlineStr">
        <is>
          <t>Saída</t>
        </is>
      </c>
      <c r="C199" s="31" t="inlineStr">
        <is>
          <t>Deslocamento e viagens</t>
        </is>
      </c>
      <c r="D199" s="31" t="inlineStr"/>
      <c r="E199" s="31" t="inlineStr"/>
      <c r="F199" s="31" t="inlineStr">
        <is>
          <t>Combustível e estacionamento (audiências)</t>
        </is>
      </c>
      <c r="G199" s="36" t="n">
        <v>180</v>
      </c>
      <c r="H199" s="32" t="inlineStr">
        <is>
          <t>Cartão</t>
        </is>
      </c>
      <c r="I199" s="32" t="inlineStr">
        <is>
          <t>Sim</t>
        </is>
      </c>
      <c r="J199" s="35">
        <f>IF(A199="","",MONTH(A199))</f>
        <v>8</v>
      </c>
      <c r="K199" s="35">
        <f>IF(A199="","",YEAR(A199))</f>
        <v>2026</v>
      </c>
    </row>
    <row r="200">
      <c r="A200" s="38" t="n">
        <v>46254</v>
      </c>
      <c r="B200" s="32" t="inlineStr">
        <is>
          <t>Saída</t>
        </is>
      </c>
      <c r="C200" s="31" t="inlineStr">
        <is>
          <t>Impostos e taxas</t>
        </is>
      </c>
      <c r="D200" s="31" t="inlineStr"/>
      <c r="E200" s="31" t="inlineStr"/>
      <c r="F200" s="31" t="inlineStr">
        <is>
          <t>Guia de impostos do mês anterior (alíquota efetiva combinada com o contador)</t>
        </is>
      </c>
      <c r="G200" s="36" t="n">
        <v>2357</v>
      </c>
      <c r="H200" s="32" t="inlineStr">
        <is>
          <t>Boleto</t>
        </is>
      </c>
      <c r="I200" s="32" t="inlineStr">
        <is>
          <t>Sim</t>
        </is>
      </c>
      <c r="J200" s="35">
        <f>IF(A200="","",MONTH(A200))</f>
        <v>8</v>
      </c>
      <c r="K200" s="35">
        <f>IF(A200="","",YEAR(A200))</f>
        <v>2026</v>
      </c>
    </row>
    <row r="201">
      <c r="A201" s="38" t="n">
        <v>46254</v>
      </c>
      <c r="B201" s="32" t="inlineStr">
        <is>
          <t>Saída</t>
        </is>
      </c>
      <c r="C201" s="31" t="inlineStr">
        <is>
          <t>Marketing e site</t>
        </is>
      </c>
      <c r="D201" s="31" t="inlineStr"/>
      <c r="E201" s="31" t="inlineStr"/>
      <c r="F201" s="31" t="inlineStr">
        <is>
          <t>Marketing e site</t>
        </is>
      </c>
      <c r="G201" s="36" t="n">
        <v>400</v>
      </c>
      <c r="H201" s="32" t="inlineStr">
        <is>
          <t>Cartão</t>
        </is>
      </c>
      <c r="I201" s="32" t="inlineStr">
        <is>
          <t>Sim</t>
        </is>
      </c>
      <c r="J201" s="35">
        <f>IF(A201="","",MONTH(A201))</f>
        <v>8</v>
      </c>
      <c r="K201" s="35">
        <f>IF(A201="","",YEAR(A201))</f>
        <v>2026</v>
      </c>
    </row>
    <row r="202">
      <c r="A202" s="38" t="n">
        <v>46261</v>
      </c>
      <c r="B202" s="32" t="inlineStr">
        <is>
          <t>Entrada</t>
        </is>
      </c>
      <c r="C202" s="31" t="inlineStr">
        <is>
          <t>Consultoria e pareceres</t>
        </is>
      </c>
      <c r="D202" s="31" t="inlineStr">
        <is>
          <t>Marcos Vinícius Teles</t>
        </is>
      </c>
      <c r="E202" s="31" t="inlineStr">
        <is>
          <t>CONS-2026-03</t>
        </is>
      </c>
      <c r="F202" s="31" t="inlineStr">
        <is>
          <t>Honorários · parcela 1</t>
        </is>
      </c>
      <c r="G202" s="36" t="n">
        <v>2250</v>
      </c>
      <c r="H202" s="32" t="inlineStr">
        <is>
          <t>Pix</t>
        </is>
      </c>
      <c r="I202" s="32" t="inlineStr">
        <is>
          <t>Sim</t>
        </is>
      </c>
      <c r="J202" s="35">
        <f>IF(A202="","",MONTH(A202))</f>
        <v>8</v>
      </c>
      <c r="K202" s="35">
        <f>IF(A202="","",YEAR(A202))</f>
        <v>2026</v>
      </c>
    </row>
    <row r="203">
      <c r="A203" s="38" t="n">
        <v>46262</v>
      </c>
      <c r="B203" s="32" t="inlineStr">
        <is>
          <t>Entrada</t>
        </is>
      </c>
      <c r="C203" s="31" t="inlineStr">
        <is>
          <t>Honorários fixos</t>
        </is>
      </c>
      <c r="D203" s="31" t="inlineStr">
        <is>
          <t>Construtora Horizonte</t>
        </is>
      </c>
      <c r="E203" s="31" t="inlineStr">
        <is>
          <t>9586960-92.2026.8.26.0106</t>
        </is>
      </c>
      <c r="F203" s="31" t="inlineStr">
        <is>
          <t>Honorários · parcela 1</t>
        </is>
      </c>
      <c r="G203" s="36" t="n">
        <v>2100</v>
      </c>
      <c r="H203" s="32" t="inlineStr">
        <is>
          <t>Pix</t>
        </is>
      </c>
      <c r="I203" s="32" t="inlineStr">
        <is>
          <t>Sim</t>
        </is>
      </c>
      <c r="J203" s="35">
        <f>IF(A203="","",MONTH(A203))</f>
        <v>8</v>
      </c>
      <c r="K203" s="35">
        <f>IF(A203="","",YEAR(A203))</f>
        <v>2026</v>
      </c>
    </row>
    <row r="204">
      <c r="A204" s="38" t="n">
        <v>46262</v>
      </c>
      <c r="B204" s="32" t="inlineStr">
        <is>
          <t>Entrada</t>
        </is>
      </c>
      <c r="C204" s="31" t="inlineStr">
        <is>
          <t>Honorários fixos</t>
        </is>
      </c>
      <c r="D204" s="31" t="inlineStr">
        <is>
          <t>Clínica Bem-Estar</t>
        </is>
      </c>
      <c r="E204" s="31" t="inlineStr">
        <is>
          <t>2645033-67.2026.8.26.0012</t>
        </is>
      </c>
      <c r="F204" s="31" t="inlineStr">
        <is>
          <t>Honorários · parcela 3</t>
        </is>
      </c>
      <c r="G204" s="36" t="n">
        <v>2700</v>
      </c>
      <c r="H204" s="32" t="inlineStr">
        <is>
          <t>Pix</t>
        </is>
      </c>
      <c r="I204" s="32" t="inlineStr">
        <is>
          <t>Sim</t>
        </is>
      </c>
      <c r="J204" s="35">
        <f>IF(A204="","",MONTH(A204))</f>
        <v>8</v>
      </c>
      <c r="K204" s="35">
        <f>IF(A204="","",YEAR(A204))</f>
        <v>2026</v>
      </c>
    </row>
    <row r="205">
      <c r="A205" s="38" t="n">
        <v>46262</v>
      </c>
      <c r="B205" s="32" t="inlineStr">
        <is>
          <t>Entrada</t>
        </is>
      </c>
      <c r="C205" s="31" t="inlineStr">
        <is>
          <t>Honorários fixos</t>
        </is>
      </c>
      <c r="D205" s="31" t="inlineStr">
        <is>
          <t>Helena Duarte</t>
        </is>
      </c>
      <c r="E205" s="31" t="inlineStr">
        <is>
          <t>7679821-77.2026.8.26.0265</t>
        </is>
      </c>
      <c r="F205" s="31" t="inlineStr">
        <is>
          <t>Honorários · parcela 2 (vencida)</t>
        </is>
      </c>
      <c r="G205" s="36" t="n">
        <v>1500</v>
      </c>
      <c r="H205" s="32" t="inlineStr">
        <is>
          <t>Boleto</t>
        </is>
      </c>
      <c r="I205" s="32" t="inlineStr">
        <is>
          <t>Não</t>
        </is>
      </c>
      <c r="J205" s="35">
        <f>IF(A205="","",MONTH(A205))</f>
        <v>8</v>
      </c>
      <c r="K205" s="35">
        <f>IF(A205="","",YEAR(A205))</f>
        <v>2026</v>
      </c>
    </row>
    <row r="206">
      <c r="A206" s="38" t="n">
        <v>46262</v>
      </c>
      <c r="B206" s="32" t="inlineStr">
        <is>
          <t>Saída</t>
        </is>
      </c>
      <c r="C206" s="31" t="inlineStr">
        <is>
          <t>Pró-labore dos sócios</t>
        </is>
      </c>
      <c r="D206" s="31" t="inlineStr"/>
      <c r="E206" s="31" t="inlineStr"/>
      <c r="F206" s="31" t="inlineStr">
        <is>
          <t>Pró-labore · Marina Ferraz</t>
        </is>
      </c>
      <c r="G206" s="36" t="n">
        <v>6000</v>
      </c>
      <c r="H206" s="32" t="inlineStr">
        <is>
          <t>Transferência</t>
        </is>
      </c>
      <c r="I206" s="32" t="inlineStr">
        <is>
          <t>Sim</t>
        </is>
      </c>
      <c r="J206" s="35">
        <f>IF(A206="","",MONTH(A206))</f>
        <v>8</v>
      </c>
      <c r="K206" s="35">
        <f>IF(A206="","",YEAR(A206))</f>
        <v>2026</v>
      </c>
    </row>
    <row r="207">
      <c r="A207" s="38" t="n">
        <v>46262</v>
      </c>
      <c r="B207" s="32" t="inlineStr">
        <is>
          <t>Saída</t>
        </is>
      </c>
      <c r="C207" s="31" t="inlineStr">
        <is>
          <t>Pró-labore dos sócios</t>
        </is>
      </c>
      <c r="D207" s="31" t="inlineStr"/>
      <c r="E207" s="31" t="inlineStr"/>
      <c r="F207" s="31" t="inlineStr">
        <is>
          <t>Pró-labore · Rafael Lima</t>
        </is>
      </c>
      <c r="G207" s="36" t="n">
        <v>6000</v>
      </c>
      <c r="H207" s="32" t="inlineStr">
        <is>
          <t>Transferência</t>
        </is>
      </c>
      <c r="I207" s="32" t="inlineStr">
        <is>
          <t>Sim</t>
        </is>
      </c>
      <c r="J207" s="35">
        <f>IF(A207="","",MONTH(A207))</f>
        <v>8</v>
      </c>
      <c r="K207" s="35">
        <f>IF(A207="","",YEAR(A207))</f>
        <v>2026</v>
      </c>
    </row>
    <row r="208">
      <c r="A208" s="38" t="n">
        <v>46265</v>
      </c>
      <c r="B208" s="32" t="inlineStr">
        <is>
          <t>Entrada</t>
        </is>
      </c>
      <c r="C208" s="31" t="inlineStr">
        <is>
          <t>Honorários fixos</t>
        </is>
      </c>
      <c r="D208" s="31" t="inlineStr">
        <is>
          <t>Carlos Eduardo Nunes</t>
        </is>
      </c>
      <c r="E208" s="31" t="inlineStr">
        <is>
          <t>4746093-86.2026.8.26.0637</t>
        </is>
      </c>
      <c r="F208" s="31" t="inlineStr">
        <is>
          <t>Honorários · parcela 1</t>
        </is>
      </c>
      <c r="G208" s="36" t="n">
        <v>1500</v>
      </c>
      <c r="H208" s="32" t="inlineStr">
        <is>
          <t>Pix</t>
        </is>
      </c>
      <c r="I208" s="32" t="inlineStr">
        <is>
          <t>Sim</t>
        </is>
      </c>
      <c r="J208" s="35">
        <f>IF(A208="","",MONTH(A208))</f>
        <v>8</v>
      </c>
      <c r="K208" s="35">
        <f>IF(A208="","",YEAR(A208))</f>
        <v>2026</v>
      </c>
    </row>
    <row r="209">
      <c r="A209" s="38" t="n">
        <v>46265</v>
      </c>
      <c r="B209" s="32" t="inlineStr">
        <is>
          <t>Entrada</t>
        </is>
      </c>
      <c r="C209" s="31" t="inlineStr">
        <is>
          <t>Honorários fixos</t>
        </is>
      </c>
      <c r="D209" s="31" t="inlineStr">
        <is>
          <t>Luciana Farias</t>
        </is>
      </c>
      <c r="E209" s="31" t="inlineStr">
        <is>
          <t>7099226-69.2026.8.26.0433</t>
        </is>
      </c>
      <c r="F209" s="31" t="inlineStr">
        <is>
          <t>Honorários · parcela 3</t>
        </is>
      </c>
      <c r="G209" s="36" t="n">
        <v>2500</v>
      </c>
      <c r="H209" s="32" t="inlineStr">
        <is>
          <t>Pix</t>
        </is>
      </c>
      <c r="I209" s="32" t="inlineStr">
        <is>
          <t>Sim</t>
        </is>
      </c>
      <c r="J209" s="35">
        <f>IF(A209="","",MONTH(A209))</f>
        <v>8</v>
      </c>
      <c r="K209" s="35">
        <f>IF(A209="","",YEAR(A209))</f>
        <v>2026</v>
      </c>
    </row>
    <row r="210">
      <c r="A210" s="38" t="n">
        <v>46269</v>
      </c>
      <c r="B210" s="32" t="inlineStr">
        <is>
          <t>Saída</t>
        </is>
      </c>
      <c r="C210" s="31" t="inlineStr">
        <is>
          <t>Custas e despesas de processo</t>
        </is>
      </c>
      <c r="D210" s="31" t="inlineStr">
        <is>
          <t>Escola Aurora</t>
        </is>
      </c>
      <c r="E210" s="31" t="inlineStr">
        <is>
          <t>6710873-21.2025.8.26.0571</t>
        </is>
      </c>
      <c r="F210" s="31" t="inlineStr">
        <is>
          <t>Certidões</t>
        </is>
      </c>
      <c r="G210" s="36" t="n">
        <v>70</v>
      </c>
      <c r="H210" s="32" t="inlineStr">
        <is>
          <t>Boleto</t>
        </is>
      </c>
      <c r="I210" s="32" t="inlineStr">
        <is>
          <t>Sim</t>
        </is>
      </c>
      <c r="J210" s="35">
        <f>IF(A210="","",MONTH(A210))</f>
        <v>9</v>
      </c>
      <c r="K210" s="35">
        <f>IF(A210="","",YEAR(A210))</f>
        <v>2026</v>
      </c>
    </row>
    <row r="211">
      <c r="A211" s="38" t="n">
        <v>46270</v>
      </c>
      <c r="B211" s="32" t="inlineStr">
        <is>
          <t>Saída</t>
        </is>
      </c>
      <c r="C211" s="31" t="inlineStr">
        <is>
          <t>Aluguel e condomínio</t>
        </is>
      </c>
      <c r="D211" s="31" t="inlineStr"/>
      <c r="E211" s="31" t="inlineStr"/>
      <c r="F211" s="31" t="inlineStr">
        <is>
          <t>Aluguel e condomínio da sala</t>
        </is>
      </c>
      <c r="G211" s="36" t="n">
        <v>2800</v>
      </c>
      <c r="H211" s="32" t="inlineStr">
        <is>
          <t>Boleto</t>
        </is>
      </c>
      <c r="I211" s="32" t="inlineStr">
        <is>
          <t>Sim</t>
        </is>
      </c>
      <c r="J211" s="35">
        <f>IF(A211="","",MONTH(A211))</f>
        <v>9</v>
      </c>
      <c r="K211" s="35">
        <f>IF(A211="","",YEAR(A211))</f>
        <v>2026</v>
      </c>
    </row>
    <row r="212">
      <c r="A212" s="38" t="n">
        <v>46270</v>
      </c>
      <c r="B212" s="32" t="inlineStr">
        <is>
          <t>Saída</t>
        </is>
      </c>
      <c r="C212" s="31" t="inlineStr">
        <is>
          <t>Estagiária (bolsa)</t>
        </is>
      </c>
      <c r="D212" s="31" t="inlineStr"/>
      <c r="E212" s="31" t="inlineStr"/>
      <c r="F212" s="31" t="inlineStr">
        <is>
          <t>Bolsa da estagiária · Júlia Prado</t>
        </is>
      </c>
      <c r="G212" s="36" t="n">
        <v>1400</v>
      </c>
      <c r="H212" s="32" t="inlineStr">
        <is>
          <t>Cartão</t>
        </is>
      </c>
      <c r="I212" s="32" t="inlineStr">
        <is>
          <t>Sim</t>
        </is>
      </c>
      <c r="J212" s="35">
        <f>IF(A212="","",MONTH(A212))</f>
        <v>9</v>
      </c>
      <c r="K212" s="35">
        <f>IF(A212="","",YEAR(A212))</f>
        <v>2026</v>
      </c>
    </row>
    <row r="213">
      <c r="A213" s="38" t="n">
        <v>46273</v>
      </c>
      <c r="B213" s="32" t="inlineStr">
        <is>
          <t>Entrada</t>
        </is>
      </c>
      <c r="C213" s="31" t="inlineStr">
        <is>
          <t>Consultoria e pareceres</t>
        </is>
      </c>
      <c r="D213" s="31" t="inlineStr">
        <is>
          <t>Padaria do Sol Ltda</t>
        </is>
      </c>
      <c r="E213" s="31" t="inlineStr">
        <is>
          <t>CONS-2026-01</t>
        </is>
      </c>
      <c r="F213" s="31" t="inlineStr">
        <is>
          <t>Honorários · parcela 3</t>
        </is>
      </c>
      <c r="G213" s="36" t="n">
        <v>1500</v>
      </c>
      <c r="H213" s="32" t="inlineStr">
        <is>
          <t>Pix</t>
        </is>
      </c>
      <c r="I213" s="32" t="inlineStr">
        <is>
          <t>Sim</t>
        </is>
      </c>
      <c r="J213" s="35">
        <f>IF(A213="","",MONTH(A213))</f>
        <v>9</v>
      </c>
      <c r="K213" s="35">
        <f>IF(A213="","",YEAR(A213))</f>
        <v>2026</v>
      </c>
    </row>
    <row r="214">
      <c r="A214" s="38" t="n">
        <v>46273</v>
      </c>
      <c r="B214" s="32" t="inlineStr">
        <is>
          <t>Entrada</t>
        </is>
      </c>
      <c r="C214" s="31" t="inlineStr">
        <is>
          <t>Honorários fixos</t>
        </is>
      </c>
      <c r="D214" s="31" t="inlineStr">
        <is>
          <t>Marcos Vinícius Teles</t>
        </is>
      </c>
      <c r="E214" s="31" t="inlineStr">
        <is>
          <t>9605863-76.2026.8.26.0026</t>
        </is>
      </c>
      <c r="F214" s="31" t="inlineStr">
        <is>
          <t>Honorários · parcela 3</t>
        </is>
      </c>
      <c r="G214" s="36" t="n">
        <v>1000</v>
      </c>
      <c r="H214" s="32" t="inlineStr">
        <is>
          <t>Pix</t>
        </is>
      </c>
      <c r="I214" s="32" t="inlineStr">
        <is>
          <t>Sim</t>
        </is>
      </c>
      <c r="J214" s="35">
        <f>IF(A214="","",MONTH(A214))</f>
        <v>9</v>
      </c>
      <c r="K214" s="35">
        <f>IF(A214="","",YEAR(A214))</f>
        <v>2026</v>
      </c>
    </row>
    <row r="215">
      <c r="A215" s="38" t="n">
        <v>46273</v>
      </c>
      <c r="B215" s="32" t="inlineStr">
        <is>
          <t>Saída</t>
        </is>
      </c>
      <c r="C215" s="31" t="inlineStr">
        <is>
          <t>Sistemas e assinaturas</t>
        </is>
      </c>
      <c r="D215" s="31" t="inlineStr"/>
      <c r="E215" s="31" t="inlineStr"/>
      <c r="F215" s="31" t="inlineStr">
        <is>
          <t>Sistemas e assinaturas</t>
        </is>
      </c>
      <c r="G215" s="36" t="n">
        <v>450</v>
      </c>
      <c r="H215" s="32" t="inlineStr">
        <is>
          <t>Cartão</t>
        </is>
      </c>
      <c r="I215" s="32" t="inlineStr">
        <is>
          <t>Sim</t>
        </is>
      </c>
      <c r="J215" s="35">
        <f>IF(A215="","",MONTH(A215))</f>
        <v>9</v>
      </c>
      <c r="K215" s="35">
        <f>IF(A215="","",YEAR(A215))</f>
        <v>2026</v>
      </c>
    </row>
    <row r="216">
      <c r="A216" s="38" t="n">
        <v>46275</v>
      </c>
      <c r="B216" s="32" t="inlineStr">
        <is>
          <t>Entrada</t>
        </is>
      </c>
      <c r="C216" s="31" t="inlineStr">
        <is>
          <t>Consultoria e pareceres</t>
        </is>
      </c>
      <c r="D216" s="31" t="inlineStr">
        <is>
          <t>Escola Aurora</t>
        </is>
      </c>
      <c r="E216" s="31" t="inlineStr">
        <is>
          <t>CONS-2026-04</t>
        </is>
      </c>
      <c r="F216" s="31" t="inlineStr">
        <is>
          <t>Honorários · parcela 2</t>
        </is>
      </c>
      <c r="G216" s="36" t="n">
        <v>1100</v>
      </c>
      <c r="H216" s="32" t="inlineStr">
        <is>
          <t>Pix</t>
        </is>
      </c>
      <c r="I216" s="32" t="inlineStr">
        <is>
          <t>Sim</t>
        </is>
      </c>
      <c r="J216" s="35">
        <f>IF(A216="","",MONTH(A216))</f>
        <v>9</v>
      </c>
      <c r="K216" s="35">
        <f>IF(A216="","",YEAR(A216))</f>
        <v>2026</v>
      </c>
    </row>
    <row r="217">
      <c r="A217" s="38" t="n">
        <v>46275</v>
      </c>
      <c r="B217" s="32" t="inlineStr">
        <is>
          <t>Entrada</t>
        </is>
      </c>
      <c r="C217" s="31" t="inlineStr">
        <is>
          <t>Honorários por hora</t>
        </is>
      </c>
      <c r="D217" s="31" t="inlineStr">
        <is>
          <t>Agência Prisma</t>
        </is>
      </c>
      <c r="E217" s="31" t="inlineStr">
        <is>
          <t>9362688-24.2025.8.26.0436</t>
        </is>
      </c>
      <c r="F217" s="31" t="inlineStr">
        <is>
          <t>Fatura de horas · 9 (vencida)</t>
        </is>
      </c>
      <c r="G217" s="36" t="n">
        <v>1980</v>
      </c>
      <c r="H217" s="32" t="inlineStr">
        <is>
          <t>Boleto</t>
        </is>
      </c>
      <c r="I217" s="32" t="inlineStr">
        <is>
          <t>Não</t>
        </is>
      </c>
      <c r="J217" s="35">
        <f>IF(A217="","",MONTH(A217))</f>
        <v>9</v>
      </c>
      <c r="K217" s="35">
        <f>IF(A217="","",YEAR(A217))</f>
        <v>2026</v>
      </c>
    </row>
    <row r="218">
      <c r="A218" s="38" t="n">
        <v>46275</v>
      </c>
      <c r="B218" s="32" t="inlineStr">
        <is>
          <t>Saída</t>
        </is>
      </c>
      <c r="C218" s="31" t="inlineStr">
        <is>
          <t>Contador</t>
        </is>
      </c>
      <c r="D218" s="31" t="inlineStr"/>
      <c r="E218" s="31" t="inlineStr"/>
      <c r="F218" s="31" t="inlineStr">
        <is>
          <t>Honorários do contador</t>
        </is>
      </c>
      <c r="G218" s="36" t="n">
        <v>600</v>
      </c>
      <c r="H218" s="32" t="inlineStr">
        <is>
          <t>Boleto</t>
        </is>
      </c>
      <c r="I218" s="32" t="inlineStr">
        <is>
          <t>Sim</t>
        </is>
      </c>
      <c r="J218" s="35">
        <f>IF(A218="","",MONTH(A218))</f>
        <v>9</v>
      </c>
      <c r="K218" s="35">
        <f>IF(A218="","",YEAR(A218))</f>
        <v>2026</v>
      </c>
    </row>
    <row r="219">
      <c r="A219" s="38" t="n">
        <v>46276</v>
      </c>
      <c r="B219" s="32" t="inlineStr">
        <is>
          <t>Entrada</t>
        </is>
      </c>
      <c r="C219" s="31" t="inlineStr">
        <is>
          <t>Consultoria e pareceres</t>
        </is>
      </c>
      <c r="D219" s="31" t="inlineStr">
        <is>
          <t>Clínica Bem-Estar</t>
        </is>
      </c>
      <c r="E219" s="31" t="inlineStr">
        <is>
          <t>CONS-2025-05</t>
        </is>
      </c>
      <c r="F219" s="31" t="inlineStr">
        <is>
          <t>Fatura de horas · 10</t>
        </is>
      </c>
      <c r="G219" s="36" t="n">
        <v>1620</v>
      </c>
      <c r="H219" s="32" t="inlineStr">
        <is>
          <t>Boleto</t>
        </is>
      </c>
      <c r="I219" s="32" t="inlineStr">
        <is>
          <t>Sim</t>
        </is>
      </c>
      <c r="J219" s="35">
        <f>IF(A219="","",MONTH(A219))</f>
        <v>9</v>
      </c>
      <c r="K219" s="35">
        <f>IF(A219="","",YEAR(A219))</f>
        <v>2026</v>
      </c>
    </row>
    <row r="220">
      <c r="A220" s="38" t="n">
        <v>46277</v>
      </c>
      <c r="B220" s="32" t="inlineStr">
        <is>
          <t>Saída</t>
        </is>
      </c>
      <c r="C220" s="31" t="inlineStr">
        <is>
          <t>Telefone e internet</t>
        </is>
      </c>
      <c r="D220" s="31" t="inlineStr"/>
      <c r="E220" s="31" t="inlineStr"/>
      <c r="F220" s="31" t="inlineStr">
        <is>
          <t>Telefone e internet</t>
        </is>
      </c>
      <c r="G220" s="36" t="n">
        <v>220</v>
      </c>
      <c r="H220" s="32" t="inlineStr">
        <is>
          <t>Boleto</t>
        </is>
      </c>
      <c r="I220" s="32" t="inlineStr">
        <is>
          <t>Não</t>
        </is>
      </c>
      <c r="J220" s="35">
        <f>IF(A220="","",MONTH(A220))</f>
        <v>9</v>
      </c>
      <c r="K220" s="35">
        <f>IF(A220="","",YEAR(A220))</f>
        <v>2026</v>
      </c>
    </row>
    <row r="221">
      <c r="A221" s="38" t="n">
        <v>46280</v>
      </c>
      <c r="B221" s="32" t="inlineStr">
        <is>
          <t>Saída</t>
        </is>
      </c>
      <c r="C221" s="31" t="inlineStr">
        <is>
          <t>Anuidades OAB e cursos</t>
        </is>
      </c>
      <c r="D221" s="31" t="inlineStr"/>
      <c r="E221" s="31" t="inlineStr"/>
      <c r="F221" s="31" t="inlineStr">
        <is>
          <t>Anuidades OAB e cursos</t>
        </is>
      </c>
      <c r="G221" s="36" t="n">
        <v>250</v>
      </c>
      <c r="H221" s="32" t="inlineStr">
        <is>
          <t>Cartão</t>
        </is>
      </c>
      <c r="I221" s="32" t="inlineStr">
        <is>
          <t>Não</t>
        </is>
      </c>
      <c r="J221" s="35">
        <f>IF(A221="","",MONTH(A221))</f>
        <v>9</v>
      </c>
      <c r="K221" s="35">
        <f>IF(A221="","",YEAR(A221))</f>
        <v>2026</v>
      </c>
    </row>
    <row r="222">
      <c r="A222" s="38" t="n">
        <v>46282</v>
      </c>
      <c r="B222" s="32" t="inlineStr">
        <is>
          <t>Entrada</t>
        </is>
      </c>
      <c r="C222" s="31" t="inlineStr">
        <is>
          <t>Consultoria e pareceres</t>
        </is>
      </c>
      <c r="D222" s="31" t="inlineStr">
        <is>
          <t>Loja Verde Comércio</t>
        </is>
      </c>
      <c r="E222" s="31" t="inlineStr">
        <is>
          <t>CONS-2026-02</t>
        </is>
      </c>
      <c r="F222" s="31" t="inlineStr">
        <is>
          <t>Honorários · parcela 2 (a receber)</t>
        </is>
      </c>
      <c r="G222" s="36" t="n">
        <v>2800</v>
      </c>
      <c r="H222" s="32" t="inlineStr">
        <is>
          <t>Boleto</t>
        </is>
      </c>
      <c r="I222" s="32" t="inlineStr">
        <is>
          <t>Não</t>
        </is>
      </c>
      <c r="J222" s="35">
        <f>IF(A222="","",MONTH(A222))</f>
        <v>9</v>
      </c>
      <c r="K222" s="35">
        <f>IF(A222="","",YEAR(A222))</f>
        <v>2026</v>
      </c>
    </row>
    <row r="223">
      <c r="A223" s="38" t="n">
        <v>46283</v>
      </c>
      <c r="B223" s="32" t="inlineStr">
        <is>
          <t>Saída</t>
        </is>
      </c>
      <c r="C223" s="31" t="inlineStr">
        <is>
          <t>Material, correio e outros</t>
        </is>
      </c>
      <c r="D223" s="31" t="inlineStr"/>
      <c r="E223" s="31" t="inlineStr"/>
      <c r="F223" s="31" t="inlineStr">
        <is>
          <t>Material, correio e outros</t>
        </is>
      </c>
      <c r="G223" s="36" t="n">
        <v>380</v>
      </c>
      <c r="H223" s="32" t="inlineStr">
        <is>
          <t>Cartão</t>
        </is>
      </c>
      <c r="I223" s="32" t="inlineStr">
        <is>
          <t>Não</t>
        </is>
      </c>
      <c r="J223" s="35">
        <f>IF(A223="","",MONTH(A223))</f>
        <v>9</v>
      </c>
      <c r="K223" s="35">
        <f>IF(A223="","",YEAR(A223))</f>
        <v>2026</v>
      </c>
    </row>
    <row r="224">
      <c r="A224" s="38" t="n">
        <v>46285</v>
      </c>
      <c r="B224" s="32" t="inlineStr">
        <is>
          <t>Saída</t>
        </is>
      </c>
      <c r="C224" s="31" t="inlineStr">
        <is>
          <t>Impostos e taxas</t>
        </is>
      </c>
      <c r="D224" s="31" t="inlineStr"/>
      <c r="E224" s="31" t="inlineStr"/>
      <c r="F224" s="31" t="inlineStr">
        <is>
          <t>Guia de impostos do mês anterior (alíquota efetiva combinada com o contador)</t>
        </is>
      </c>
      <c r="G224" s="36" t="n">
        <v>2152</v>
      </c>
      <c r="H224" s="32" t="inlineStr">
        <is>
          <t>Boleto</t>
        </is>
      </c>
      <c r="I224" s="32" t="inlineStr">
        <is>
          <t>Não</t>
        </is>
      </c>
      <c r="J224" s="35">
        <f>IF(A224="","",MONTH(A224))</f>
        <v>9</v>
      </c>
      <c r="K224" s="35">
        <f>IF(A224="","",YEAR(A224))</f>
        <v>2026</v>
      </c>
    </row>
    <row r="225">
      <c r="A225" s="38" t="n">
        <v>46285</v>
      </c>
      <c r="B225" s="32" t="inlineStr">
        <is>
          <t>Saída</t>
        </is>
      </c>
      <c r="C225" s="31" t="inlineStr">
        <is>
          <t>Marketing e site</t>
        </is>
      </c>
      <c r="D225" s="31" t="inlineStr"/>
      <c r="E225" s="31" t="inlineStr"/>
      <c r="F225" s="31" t="inlineStr">
        <is>
          <t>Marketing e site</t>
        </is>
      </c>
      <c r="G225" s="36" t="n">
        <v>400</v>
      </c>
      <c r="H225" s="32" t="inlineStr">
        <is>
          <t>Cartão</t>
        </is>
      </c>
      <c r="I225" s="32" t="inlineStr">
        <is>
          <t>Não</t>
        </is>
      </c>
      <c r="J225" s="35">
        <f>IF(A225="","",MONTH(A225))</f>
        <v>9</v>
      </c>
      <c r="K225" s="35">
        <f>IF(A225="","",YEAR(A225))</f>
        <v>2026</v>
      </c>
    </row>
    <row r="226">
      <c r="A226" s="38" t="n">
        <v>46289</v>
      </c>
      <c r="B226" s="32" t="inlineStr">
        <is>
          <t>Entrada</t>
        </is>
      </c>
      <c r="C226" s="31" t="inlineStr">
        <is>
          <t>Honorários fixos</t>
        </is>
      </c>
      <c r="D226" s="31" t="inlineStr">
        <is>
          <t>Clínica Bem-Estar</t>
        </is>
      </c>
      <c r="E226" s="31" t="inlineStr">
        <is>
          <t>2645033-67.2026.8.26.0012</t>
        </is>
      </c>
      <c r="F226" s="31" t="inlineStr">
        <is>
          <t>Honorários · parcela 4 (a receber)</t>
        </is>
      </c>
      <c r="G226" s="36" t="n">
        <v>2700</v>
      </c>
      <c r="H226" s="32" t="inlineStr">
        <is>
          <t>Boleto</t>
        </is>
      </c>
      <c r="I226" s="32" t="inlineStr">
        <is>
          <t>Não</t>
        </is>
      </c>
      <c r="J226" s="35">
        <f>IF(A226="","",MONTH(A226))</f>
        <v>9</v>
      </c>
      <c r="K226" s="35">
        <f>IF(A226="","",YEAR(A226))</f>
        <v>2026</v>
      </c>
    </row>
    <row r="227">
      <c r="A227" s="38" t="n">
        <v>46290</v>
      </c>
      <c r="B227" s="32" t="inlineStr">
        <is>
          <t>Entrada</t>
        </is>
      </c>
      <c r="C227" s="31" t="inlineStr">
        <is>
          <t>Consultoria e pareceres</t>
        </is>
      </c>
      <c r="D227" s="31" t="inlineStr">
        <is>
          <t>Marcos Vinícius Teles</t>
        </is>
      </c>
      <c r="E227" s="31" t="inlineStr">
        <is>
          <t>CONS-2026-03</t>
        </is>
      </c>
      <c r="F227" s="31" t="inlineStr">
        <is>
          <t>Honorários · parcela 2 (a receber)</t>
        </is>
      </c>
      <c r="G227" s="36" t="n">
        <v>2250</v>
      </c>
      <c r="H227" s="32" t="inlineStr">
        <is>
          <t>Boleto</t>
        </is>
      </c>
      <c r="I227" s="32" t="inlineStr">
        <is>
          <t>Não</t>
        </is>
      </c>
      <c r="J227" s="35">
        <f>IF(A227="","",MONTH(A227))</f>
        <v>9</v>
      </c>
      <c r="K227" s="35">
        <f>IF(A227="","",YEAR(A227))</f>
        <v>2026</v>
      </c>
    </row>
    <row r="228">
      <c r="A228" s="38" t="n">
        <v>46293</v>
      </c>
      <c r="B228" s="32" t="inlineStr">
        <is>
          <t>Entrada</t>
        </is>
      </c>
      <c r="C228" s="31" t="inlineStr">
        <is>
          <t>Honorários fixos</t>
        </is>
      </c>
      <c r="D228" s="31" t="inlineStr">
        <is>
          <t>Construtora Horizonte</t>
        </is>
      </c>
      <c r="E228" s="31" t="inlineStr">
        <is>
          <t>9586960-92.2026.8.26.0106</t>
        </is>
      </c>
      <c r="F228" s="31" t="inlineStr">
        <is>
          <t>Honorários · parcela 2 (a receber)</t>
        </is>
      </c>
      <c r="G228" s="36" t="n">
        <v>2100</v>
      </c>
      <c r="H228" s="32" t="inlineStr">
        <is>
          <t>Boleto</t>
        </is>
      </c>
      <c r="I228" s="32" t="inlineStr">
        <is>
          <t>Não</t>
        </is>
      </c>
      <c r="J228" s="35">
        <f>IF(A228="","",MONTH(A228))</f>
        <v>9</v>
      </c>
      <c r="K228" s="35">
        <f>IF(A228="","",YEAR(A228))</f>
        <v>2026</v>
      </c>
    </row>
    <row r="229">
      <c r="A229" s="38" t="n">
        <v>46293</v>
      </c>
      <c r="B229" s="32" t="inlineStr">
        <is>
          <t>Entrada</t>
        </is>
      </c>
      <c r="C229" s="31" t="inlineStr">
        <is>
          <t>Honorários fixos</t>
        </is>
      </c>
      <c r="D229" s="31" t="inlineStr">
        <is>
          <t>Helena Duarte</t>
        </is>
      </c>
      <c r="E229" s="31" t="inlineStr">
        <is>
          <t>7679821-77.2026.8.26.0265</t>
        </is>
      </c>
      <c r="F229" s="31" t="inlineStr">
        <is>
          <t>Honorários · parcela 3 (a receber)</t>
        </is>
      </c>
      <c r="G229" s="36" t="n">
        <v>1500</v>
      </c>
      <c r="H229" s="32" t="inlineStr">
        <is>
          <t>Boleto</t>
        </is>
      </c>
      <c r="I229" s="32" t="inlineStr">
        <is>
          <t>Não</t>
        </is>
      </c>
      <c r="J229" s="35">
        <f>IF(A229="","",MONTH(A229))</f>
        <v>9</v>
      </c>
      <c r="K229" s="35">
        <f>IF(A229="","",YEAR(A229))</f>
        <v>2026</v>
      </c>
    </row>
    <row r="230">
      <c r="A230" s="38" t="n">
        <v>46293</v>
      </c>
      <c r="B230" s="32" t="inlineStr">
        <is>
          <t>Saída</t>
        </is>
      </c>
      <c r="C230" s="31" t="inlineStr">
        <is>
          <t>Pró-labore dos sócios</t>
        </is>
      </c>
      <c r="D230" s="31" t="inlineStr"/>
      <c r="E230" s="31" t="inlineStr"/>
      <c r="F230" s="31" t="inlineStr">
        <is>
          <t>Pró-labore · Marina Ferraz</t>
        </is>
      </c>
      <c r="G230" s="36" t="n">
        <v>6000</v>
      </c>
      <c r="H230" s="32" t="inlineStr">
        <is>
          <t>Transferência</t>
        </is>
      </c>
      <c r="I230" s="32" t="inlineStr">
        <is>
          <t>Não</t>
        </is>
      </c>
      <c r="J230" s="35">
        <f>IF(A230="","",MONTH(A230))</f>
        <v>9</v>
      </c>
      <c r="K230" s="35">
        <f>IF(A230="","",YEAR(A230))</f>
        <v>2026</v>
      </c>
    </row>
    <row r="231">
      <c r="A231" s="38" t="n">
        <v>46293</v>
      </c>
      <c r="B231" s="32" t="inlineStr">
        <is>
          <t>Saída</t>
        </is>
      </c>
      <c r="C231" s="31" t="inlineStr">
        <is>
          <t>Pró-labore dos sócios</t>
        </is>
      </c>
      <c r="D231" s="31" t="inlineStr"/>
      <c r="E231" s="31" t="inlineStr"/>
      <c r="F231" s="31" t="inlineStr">
        <is>
          <t>Pró-labore · Rafael Lima</t>
        </is>
      </c>
      <c r="G231" s="36" t="n">
        <v>6000</v>
      </c>
      <c r="H231" s="32" t="inlineStr">
        <is>
          <t>Transferência</t>
        </is>
      </c>
      <c r="I231" s="32" t="inlineStr">
        <is>
          <t>Não</t>
        </is>
      </c>
      <c r="J231" s="35">
        <f>IF(A231="","",MONTH(A231))</f>
        <v>9</v>
      </c>
      <c r="K231" s="35">
        <f>IF(A231="","",YEAR(A231))</f>
        <v>2026</v>
      </c>
    </row>
    <row r="232">
      <c r="A232" s="38" t="n">
        <v>46295</v>
      </c>
      <c r="B232" s="32" t="inlineStr">
        <is>
          <t>Entrada</t>
        </is>
      </c>
      <c r="C232" s="31" t="inlineStr">
        <is>
          <t>Honorários fixos</t>
        </is>
      </c>
      <c r="D232" s="31" t="inlineStr">
        <is>
          <t>Carlos Eduardo Nunes</t>
        </is>
      </c>
      <c r="E232" s="31" t="inlineStr">
        <is>
          <t>4746093-86.2026.8.26.0637</t>
        </is>
      </c>
      <c r="F232" s="31" t="inlineStr">
        <is>
          <t>Honorários · parcela 2 (a receber)</t>
        </is>
      </c>
      <c r="G232" s="36" t="n">
        <v>1500</v>
      </c>
      <c r="H232" s="32" t="inlineStr">
        <is>
          <t>Boleto</t>
        </is>
      </c>
      <c r="I232" s="32" t="inlineStr">
        <is>
          <t>Não</t>
        </is>
      </c>
      <c r="J232" s="35">
        <f>IF(A232="","",MONTH(A232))</f>
        <v>9</v>
      </c>
      <c r="K232" s="35">
        <f>IF(A232="","",YEAR(A232))</f>
        <v>2026</v>
      </c>
    </row>
    <row r="233">
      <c r="A233" s="38" t="n"/>
      <c r="B233" s="32" t="n"/>
      <c r="C233" s="31" t="n"/>
      <c r="D233" s="31" t="n"/>
      <c r="E233" s="31" t="n"/>
      <c r="F233" s="31" t="n"/>
      <c r="G233" s="36" t="n"/>
      <c r="H233" s="32" t="n"/>
      <c r="I233" s="32" t="n"/>
      <c r="J233" s="35">
        <f>IF(A233="","",MONTH(A233))</f>
        <v/>
      </c>
      <c r="K233" s="35">
        <f>IF(A233="","",YEAR(A233))</f>
        <v/>
      </c>
    </row>
    <row r="234">
      <c r="A234" s="38" t="n"/>
      <c r="B234" s="32" t="n"/>
      <c r="C234" s="31" t="n"/>
      <c r="D234" s="31" t="n"/>
      <c r="E234" s="31" t="n"/>
      <c r="F234" s="31" t="n"/>
      <c r="G234" s="36" t="n"/>
      <c r="H234" s="32" t="n"/>
      <c r="I234" s="32" t="n"/>
      <c r="J234" s="35">
        <f>IF(A234="","",MONTH(A234))</f>
        <v/>
      </c>
      <c r="K234" s="35">
        <f>IF(A234="","",YEAR(A234))</f>
        <v/>
      </c>
    </row>
    <row r="235">
      <c r="A235" s="38" t="n"/>
      <c r="B235" s="32" t="n"/>
      <c r="C235" s="31" t="n"/>
      <c r="D235" s="31" t="n"/>
      <c r="E235" s="31" t="n"/>
      <c r="F235" s="31" t="n"/>
      <c r="G235" s="36" t="n"/>
      <c r="H235" s="32" t="n"/>
      <c r="I235" s="32" t="n"/>
      <c r="J235" s="35">
        <f>IF(A235="","",MONTH(A235))</f>
        <v/>
      </c>
      <c r="K235" s="35">
        <f>IF(A235="","",YEAR(A235))</f>
        <v/>
      </c>
    </row>
    <row r="236">
      <c r="A236" s="38" t="n"/>
      <c r="B236" s="32" t="n"/>
      <c r="C236" s="31" t="n"/>
      <c r="D236" s="31" t="n"/>
      <c r="E236" s="31" t="n"/>
      <c r="F236" s="31" t="n"/>
      <c r="G236" s="36" t="n"/>
      <c r="H236" s="32" t="n"/>
      <c r="I236" s="32" t="n"/>
      <c r="J236" s="35">
        <f>IF(A236="","",MONTH(A236))</f>
        <v/>
      </c>
      <c r="K236" s="35">
        <f>IF(A236="","",YEAR(A236))</f>
        <v/>
      </c>
    </row>
    <row r="237">
      <c r="A237" s="38" t="n"/>
      <c r="B237" s="32" t="n"/>
      <c r="C237" s="31" t="n"/>
      <c r="D237" s="31" t="n"/>
      <c r="E237" s="31" t="n"/>
      <c r="F237" s="31" t="n"/>
      <c r="G237" s="36" t="n"/>
      <c r="H237" s="32" t="n"/>
      <c r="I237" s="32" t="n"/>
      <c r="J237" s="35">
        <f>IF(A237="","",MONTH(A237))</f>
        <v/>
      </c>
      <c r="K237" s="35">
        <f>IF(A237="","",YEAR(A237))</f>
        <v/>
      </c>
    </row>
    <row r="238">
      <c r="A238" s="38" t="n"/>
      <c r="B238" s="32" t="n"/>
      <c r="C238" s="31" t="n"/>
      <c r="D238" s="31" t="n"/>
      <c r="E238" s="31" t="n"/>
      <c r="F238" s="31" t="n"/>
      <c r="G238" s="36" t="n"/>
      <c r="H238" s="32" t="n"/>
      <c r="I238" s="32" t="n"/>
      <c r="J238" s="35">
        <f>IF(A238="","",MONTH(A238))</f>
        <v/>
      </c>
      <c r="K238" s="35">
        <f>IF(A238="","",YEAR(A238))</f>
        <v/>
      </c>
    </row>
    <row r="239">
      <c r="A239" s="38" t="n"/>
      <c r="B239" s="32" t="n"/>
      <c r="C239" s="31" t="n"/>
      <c r="D239" s="31" t="n"/>
      <c r="E239" s="31" t="n"/>
      <c r="F239" s="31" t="n"/>
      <c r="G239" s="36" t="n"/>
      <c r="H239" s="32" t="n"/>
      <c r="I239" s="32" t="n"/>
      <c r="J239" s="35">
        <f>IF(A239="","",MONTH(A239))</f>
        <v/>
      </c>
      <c r="K239" s="35">
        <f>IF(A239="","",YEAR(A239))</f>
        <v/>
      </c>
    </row>
    <row r="240">
      <c r="A240" s="38" t="n"/>
      <c r="B240" s="32" t="n"/>
      <c r="C240" s="31" t="n"/>
      <c r="D240" s="31" t="n"/>
      <c r="E240" s="31" t="n"/>
      <c r="F240" s="31" t="n"/>
      <c r="G240" s="36" t="n"/>
      <c r="H240" s="32" t="n"/>
      <c r="I240" s="32" t="n"/>
      <c r="J240" s="35">
        <f>IF(A240="","",MONTH(A240))</f>
        <v/>
      </c>
      <c r="K240" s="35">
        <f>IF(A240="","",YEAR(A240))</f>
        <v/>
      </c>
    </row>
    <row r="241">
      <c r="A241" s="38" t="n"/>
      <c r="B241" s="32" t="n"/>
      <c r="C241" s="31" t="n"/>
      <c r="D241" s="31" t="n"/>
      <c r="E241" s="31" t="n"/>
      <c r="F241" s="31" t="n"/>
      <c r="G241" s="36" t="n"/>
      <c r="H241" s="32" t="n"/>
      <c r="I241" s="32" t="n"/>
      <c r="J241" s="35">
        <f>IF(A241="","",MONTH(A241))</f>
        <v/>
      </c>
      <c r="K241" s="35">
        <f>IF(A241="","",YEAR(A241))</f>
        <v/>
      </c>
    </row>
    <row r="242">
      <c r="A242" s="38" t="n"/>
      <c r="B242" s="32" t="n"/>
      <c r="C242" s="31" t="n"/>
      <c r="D242" s="31" t="n"/>
      <c r="E242" s="31" t="n"/>
      <c r="F242" s="31" t="n"/>
      <c r="G242" s="36" t="n"/>
      <c r="H242" s="32" t="n"/>
      <c r="I242" s="32" t="n"/>
      <c r="J242" s="35">
        <f>IF(A242="","",MONTH(A242))</f>
        <v/>
      </c>
      <c r="K242" s="35">
        <f>IF(A242="","",YEAR(A242))</f>
        <v/>
      </c>
    </row>
    <row r="243">
      <c r="A243" s="38" t="n"/>
      <c r="B243" s="32" t="n"/>
      <c r="C243" s="31" t="n"/>
      <c r="D243" s="31" t="n"/>
      <c r="E243" s="31" t="n"/>
      <c r="F243" s="31" t="n"/>
      <c r="G243" s="36" t="n"/>
      <c r="H243" s="32" t="n"/>
      <c r="I243" s="32" t="n"/>
      <c r="J243" s="35">
        <f>IF(A243="","",MONTH(A243))</f>
        <v/>
      </c>
      <c r="K243" s="35">
        <f>IF(A243="","",YEAR(A243))</f>
        <v/>
      </c>
    </row>
    <row r="244">
      <c r="A244" s="38" t="n"/>
      <c r="B244" s="32" t="n"/>
      <c r="C244" s="31" t="n"/>
      <c r="D244" s="31" t="n"/>
      <c r="E244" s="31" t="n"/>
      <c r="F244" s="31" t="n"/>
      <c r="G244" s="36" t="n"/>
      <c r="H244" s="32" t="n"/>
      <c r="I244" s="32" t="n"/>
      <c r="J244" s="35">
        <f>IF(A244="","",MONTH(A244))</f>
        <v/>
      </c>
      <c r="K244" s="35">
        <f>IF(A244="","",YEAR(A244))</f>
        <v/>
      </c>
    </row>
    <row r="245">
      <c r="A245" s="38" t="n"/>
      <c r="B245" s="32" t="n"/>
      <c r="C245" s="31" t="n"/>
      <c r="D245" s="31" t="n"/>
      <c r="E245" s="31" t="n"/>
      <c r="F245" s="31" t="n"/>
      <c r="G245" s="36" t="n"/>
      <c r="H245" s="32" t="n"/>
      <c r="I245" s="32" t="n"/>
      <c r="J245" s="35">
        <f>IF(A245="","",MONTH(A245))</f>
        <v/>
      </c>
      <c r="K245" s="35">
        <f>IF(A245="","",YEAR(A245))</f>
        <v/>
      </c>
    </row>
    <row r="246">
      <c r="A246" s="38" t="n"/>
      <c r="B246" s="32" t="n"/>
      <c r="C246" s="31" t="n"/>
      <c r="D246" s="31" t="n"/>
      <c r="E246" s="31" t="n"/>
      <c r="F246" s="31" t="n"/>
      <c r="G246" s="36" t="n"/>
      <c r="H246" s="32" t="n"/>
      <c r="I246" s="32" t="n"/>
      <c r="J246" s="35">
        <f>IF(A246="","",MONTH(A246))</f>
        <v/>
      </c>
      <c r="K246" s="35">
        <f>IF(A246="","",YEAR(A246))</f>
        <v/>
      </c>
    </row>
    <row r="247">
      <c r="A247" s="38" t="n"/>
      <c r="B247" s="32" t="n"/>
      <c r="C247" s="31" t="n"/>
      <c r="D247" s="31" t="n"/>
      <c r="E247" s="31" t="n"/>
      <c r="F247" s="31" t="n"/>
      <c r="G247" s="36" t="n"/>
      <c r="H247" s="32" t="n"/>
      <c r="I247" s="32" t="n"/>
      <c r="J247" s="35">
        <f>IF(A247="","",MONTH(A247))</f>
        <v/>
      </c>
      <c r="K247" s="35">
        <f>IF(A247="","",YEAR(A247))</f>
        <v/>
      </c>
    </row>
    <row r="248">
      <c r="A248" s="38" t="n"/>
      <c r="B248" s="32" t="n"/>
      <c r="C248" s="31" t="n"/>
      <c r="D248" s="31" t="n"/>
      <c r="E248" s="31" t="n"/>
      <c r="F248" s="31" t="n"/>
      <c r="G248" s="36" t="n"/>
      <c r="H248" s="32" t="n"/>
      <c r="I248" s="32" t="n"/>
      <c r="J248" s="35">
        <f>IF(A248="","",MONTH(A248))</f>
        <v/>
      </c>
      <c r="K248" s="35">
        <f>IF(A248="","",YEAR(A248))</f>
        <v/>
      </c>
    </row>
    <row r="249">
      <c r="A249" s="38" t="n"/>
      <c r="B249" s="32" t="n"/>
      <c r="C249" s="31" t="n"/>
      <c r="D249" s="31" t="n"/>
      <c r="E249" s="31" t="n"/>
      <c r="F249" s="31" t="n"/>
      <c r="G249" s="36" t="n"/>
      <c r="H249" s="32" t="n"/>
      <c r="I249" s="32" t="n"/>
      <c r="J249" s="35">
        <f>IF(A249="","",MONTH(A249))</f>
        <v/>
      </c>
      <c r="K249" s="35">
        <f>IF(A249="","",YEAR(A249))</f>
        <v/>
      </c>
    </row>
    <row r="250">
      <c r="A250" s="38" t="n"/>
      <c r="B250" s="32" t="n"/>
      <c r="C250" s="31" t="n"/>
      <c r="D250" s="31" t="n"/>
      <c r="E250" s="31" t="n"/>
      <c r="F250" s="31" t="n"/>
      <c r="G250" s="36" t="n"/>
      <c r="H250" s="32" t="n"/>
      <c r="I250" s="32" t="n"/>
      <c r="J250" s="35">
        <f>IF(A250="","",MONTH(A250))</f>
        <v/>
      </c>
      <c r="K250" s="35">
        <f>IF(A250="","",YEAR(A250))</f>
        <v/>
      </c>
    </row>
    <row r="251">
      <c r="A251" s="38" t="n"/>
      <c r="B251" s="32" t="n"/>
      <c r="C251" s="31" t="n"/>
      <c r="D251" s="31" t="n"/>
      <c r="E251" s="31" t="n"/>
      <c r="F251" s="31" t="n"/>
      <c r="G251" s="36" t="n"/>
      <c r="H251" s="32" t="n"/>
      <c r="I251" s="32" t="n"/>
      <c r="J251" s="35">
        <f>IF(A251="","",MONTH(A251))</f>
        <v/>
      </c>
      <c r="K251" s="35">
        <f>IF(A251="","",YEAR(A251))</f>
        <v/>
      </c>
    </row>
    <row r="252">
      <c r="A252" s="38" t="n"/>
      <c r="B252" s="32" t="n"/>
      <c r="C252" s="31" t="n"/>
      <c r="D252" s="31" t="n"/>
      <c r="E252" s="31" t="n"/>
      <c r="F252" s="31" t="n"/>
      <c r="G252" s="36" t="n"/>
      <c r="H252" s="32" t="n"/>
      <c r="I252" s="32" t="n"/>
      <c r="J252" s="35">
        <f>IF(A252="","",MONTH(A252))</f>
        <v/>
      </c>
      <c r="K252" s="35">
        <f>IF(A252="","",YEAR(A252))</f>
        <v/>
      </c>
    </row>
    <row r="253">
      <c r="A253" s="38" t="n"/>
      <c r="B253" s="32" t="n"/>
      <c r="C253" s="31" t="n"/>
      <c r="D253" s="31" t="n"/>
      <c r="E253" s="31" t="n"/>
      <c r="F253" s="31" t="n"/>
      <c r="G253" s="36" t="n"/>
      <c r="H253" s="32" t="n"/>
      <c r="I253" s="32" t="n"/>
      <c r="J253" s="35">
        <f>IF(A253="","",MONTH(A253))</f>
        <v/>
      </c>
      <c r="K253" s="35">
        <f>IF(A253="","",YEAR(A253))</f>
        <v/>
      </c>
    </row>
    <row r="254">
      <c r="A254" s="38" t="n"/>
      <c r="B254" s="32" t="n"/>
      <c r="C254" s="31" t="n"/>
      <c r="D254" s="31" t="n"/>
      <c r="E254" s="31" t="n"/>
      <c r="F254" s="31" t="n"/>
      <c r="G254" s="36" t="n"/>
      <c r="H254" s="32" t="n"/>
      <c r="I254" s="32" t="n"/>
      <c r="J254" s="35">
        <f>IF(A254="","",MONTH(A254))</f>
        <v/>
      </c>
      <c r="K254" s="35">
        <f>IF(A254="","",YEAR(A254))</f>
        <v/>
      </c>
    </row>
    <row r="255">
      <c r="A255" s="38" t="n"/>
      <c r="B255" s="32" t="n"/>
      <c r="C255" s="31" t="n"/>
      <c r="D255" s="31" t="n"/>
      <c r="E255" s="31" t="n"/>
      <c r="F255" s="31" t="n"/>
      <c r="G255" s="36" t="n"/>
      <c r="H255" s="32" t="n"/>
      <c r="I255" s="32" t="n"/>
      <c r="J255" s="35">
        <f>IF(A255="","",MONTH(A255))</f>
        <v/>
      </c>
      <c r="K255" s="35">
        <f>IF(A255="","",YEAR(A255))</f>
        <v/>
      </c>
    </row>
    <row r="256">
      <c r="A256" s="38" t="n"/>
      <c r="B256" s="32" t="n"/>
      <c r="C256" s="31" t="n"/>
      <c r="D256" s="31" t="n"/>
      <c r="E256" s="31" t="n"/>
      <c r="F256" s="31" t="n"/>
      <c r="G256" s="36" t="n"/>
      <c r="H256" s="32" t="n"/>
      <c r="I256" s="32" t="n"/>
      <c r="J256" s="35">
        <f>IF(A256="","",MONTH(A256))</f>
        <v/>
      </c>
      <c r="K256" s="35">
        <f>IF(A256="","",YEAR(A256))</f>
        <v/>
      </c>
    </row>
    <row r="257">
      <c r="A257" s="38" t="n"/>
      <c r="B257" s="32" t="n"/>
      <c r="C257" s="31" t="n"/>
      <c r="D257" s="31" t="n"/>
      <c r="E257" s="31" t="n"/>
      <c r="F257" s="31" t="n"/>
      <c r="G257" s="36" t="n"/>
      <c r="H257" s="32" t="n"/>
      <c r="I257" s="32" t="n"/>
      <c r="J257" s="35">
        <f>IF(A257="","",MONTH(A257))</f>
        <v/>
      </c>
      <c r="K257" s="35">
        <f>IF(A257="","",YEAR(A257))</f>
        <v/>
      </c>
    </row>
    <row r="258">
      <c r="A258" s="38" t="n"/>
      <c r="B258" s="32" t="n"/>
      <c r="C258" s="31" t="n"/>
      <c r="D258" s="31" t="n"/>
      <c r="E258" s="31" t="n"/>
      <c r="F258" s="31" t="n"/>
      <c r="G258" s="36" t="n"/>
      <c r="H258" s="32" t="n"/>
      <c r="I258" s="32" t="n"/>
      <c r="J258" s="35">
        <f>IF(A258="","",MONTH(A258))</f>
        <v/>
      </c>
      <c r="K258" s="35">
        <f>IF(A258="","",YEAR(A258))</f>
        <v/>
      </c>
    </row>
    <row r="259">
      <c r="A259" s="38" t="n"/>
      <c r="B259" s="32" t="n"/>
      <c r="C259" s="31" t="n"/>
      <c r="D259" s="31" t="n"/>
      <c r="E259" s="31" t="n"/>
      <c r="F259" s="31" t="n"/>
      <c r="G259" s="36" t="n"/>
      <c r="H259" s="32" t="n"/>
      <c r="I259" s="32" t="n"/>
      <c r="J259" s="35">
        <f>IF(A259="","",MONTH(A259))</f>
        <v/>
      </c>
      <c r="K259" s="35">
        <f>IF(A259="","",YEAR(A259))</f>
        <v/>
      </c>
    </row>
    <row r="260">
      <c r="A260" s="38" t="n"/>
      <c r="B260" s="32" t="n"/>
      <c r="C260" s="31" t="n"/>
      <c r="D260" s="31" t="n"/>
      <c r="E260" s="31" t="n"/>
      <c r="F260" s="31" t="n"/>
      <c r="G260" s="36" t="n"/>
      <c r="H260" s="32" t="n"/>
      <c r="I260" s="32" t="n"/>
      <c r="J260" s="35">
        <f>IF(A260="","",MONTH(A260))</f>
        <v/>
      </c>
      <c r="K260" s="35">
        <f>IF(A260="","",YEAR(A260))</f>
        <v/>
      </c>
    </row>
    <row r="261">
      <c r="A261" s="38" t="n"/>
      <c r="B261" s="32" t="n"/>
      <c r="C261" s="31" t="n"/>
      <c r="D261" s="31" t="n"/>
      <c r="E261" s="31" t="n"/>
      <c r="F261" s="31" t="n"/>
      <c r="G261" s="36" t="n"/>
      <c r="H261" s="32" t="n"/>
      <c r="I261" s="32" t="n"/>
      <c r="J261" s="35">
        <f>IF(A261="","",MONTH(A261))</f>
        <v/>
      </c>
      <c r="K261" s="35">
        <f>IF(A261="","",YEAR(A261))</f>
        <v/>
      </c>
    </row>
    <row r="262">
      <c r="A262" s="38" t="n"/>
      <c r="B262" s="32" t="n"/>
      <c r="C262" s="31" t="n"/>
      <c r="D262" s="31" t="n"/>
      <c r="E262" s="31" t="n"/>
      <c r="F262" s="31" t="n"/>
      <c r="G262" s="36" t="n"/>
      <c r="H262" s="32" t="n"/>
      <c r="I262" s="32" t="n"/>
      <c r="J262" s="35">
        <f>IF(A262="","",MONTH(A262))</f>
        <v/>
      </c>
      <c r="K262" s="35">
        <f>IF(A262="","",YEAR(A262))</f>
        <v/>
      </c>
    </row>
    <row r="263">
      <c r="A263" s="38" t="n"/>
      <c r="B263" s="32" t="n"/>
      <c r="C263" s="31" t="n"/>
      <c r="D263" s="31" t="n"/>
      <c r="E263" s="31" t="n"/>
      <c r="F263" s="31" t="n"/>
      <c r="G263" s="36" t="n"/>
      <c r="H263" s="32" t="n"/>
      <c r="I263" s="32" t="n"/>
      <c r="J263" s="35">
        <f>IF(A263="","",MONTH(A263))</f>
        <v/>
      </c>
      <c r="K263" s="35">
        <f>IF(A263="","",YEAR(A263))</f>
        <v/>
      </c>
    </row>
    <row r="264">
      <c r="A264" s="38" t="n"/>
      <c r="B264" s="32" t="n"/>
      <c r="C264" s="31" t="n"/>
      <c r="D264" s="31" t="n"/>
      <c r="E264" s="31" t="n"/>
      <c r="F264" s="31" t="n"/>
      <c r="G264" s="36" t="n"/>
      <c r="H264" s="32" t="n"/>
      <c r="I264" s="32" t="n"/>
      <c r="J264" s="35">
        <f>IF(A264="","",MONTH(A264))</f>
        <v/>
      </c>
      <c r="K264" s="35">
        <f>IF(A264="","",YEAR(A264))</f>
        <v/>
      </c>
    </row>
    <row r="265">
      <c r="A265" s="38" t="n"/>
      <c r="B265" s="32" t="n"/>
      <c r="C265" s="31" t="n"/>
      <c r="D265" s="31" t="n"/>
      <c r="E265" s="31" t="n"/>
      <c r="F265" s="31" t="n"/>
      <c r="G265" s="36" t="n"/>
      <c r="H265" s="32" t="n"/>
      <c r="I265" s="32" t="n"/>
      <c r="J265" s="35">
        <f>IF(A265="","",MONTH(A265))</f>
        <v/>
      </c>
      <c r="K265" s="35">
        <f>IF(A265="","",YEAR(A265))</f>
        <v/>
      </c>
    </row>
    <row r="266">
      <c r="A266" s="38" t="n"/>
      <c r="B266" s="32" t="n"/>
      <c r="C266" s="31" t="n"/>
      <c r="D266" s="31" t="n"/>
      <c r="E266" s="31" t="n"/>
      <c r="F266" s="31" t="n"/>
      <c r="G266" s="36" t="n"/>
      <c r="H266" s="32" t="n"/>
      <c r="I266" s="32" t="n"/>
      <c r="J266" s="35">
        <f>IF(A266="","",MONTH(A266))</f>
        <v/>
      </c>
      <c r="K266" s="35">
        <f>IF(A266="","",YEAR(A266))</f>
        <v/>
      </c>
    </row>
    <row r="267">
      <c r="A267" s="38" t="n"/>
      <c r="B267" s="32" t="n"/>
      <c r="C267" s="31" t="n"/>
      <c r="D267" s="31" t="n"/>
      <c r="E267" s="31" t="n"/>
      <c r="F267" s="31" t="n"/>
      <c r="G267" s="36" t="n"/>
      <c r="H267" s="32" t="n"/>
      <c r="I267" s="32" t="n"/>
      <c r="J267" s="35">
        <f>IF(A267="","",MONTH(A267))</f>
        <v/>
      </c>
      <c r="K267" s="35">
        <f>IF(A267="","",YEAR(A267))</f>
        <v/>
      </c>
    </row>
    <row r="268">
      <c r="A268" s="38" t="n"/>
      <c r="B268" s="32" t="n"/>
      <c r="C268" s="31" t="n"/>
      <c r="D268" s="31" t="n"/>
      <c r="E268" s="31" t="n"/>
      <c r="F268" s="31" t="n"/>
      <c r="G268" s="36" t="n"/>
      <c r="H268" s="32" t="n"/>
      <c r="I268" s="32" t="n"/>
      <c r="J268" s="35">
        <f>IF(A268="","",MONTH(A268))</f>
        <v/>
      </c>
      <c r="K268" s="35">
        <f>IF(A268="","",YEAR(A268))</f>
        <v/>
      </c>
    </row>
    <row r="269">
      <c r="A269" s="38" t="n"/>
      <c r="B269" s="32" t="n"/>
      <c r="C269" s="31" t="n"/>
      <c r="D269" s="31" t="n"/>
      <c r="E269" s="31" t="n"/>
      <c r="F269" s="31" t="n"/>
      <c r="G269" s="36" t="n"/>
      <c r="H269" s="32" t="n"/>
      <c r="I269" s="32" t="n"/>
      <c r="J269" s="35">
        <f>IF(A269="","",MONTH(A269))</f>
        <v/>
      </c>
      <c r="K269" s="35">
        <f>IF(A269="","",YEAR(A269))</f>
        <v/>
      </c>
    </row>
    <row r="270">
      <c r="A270" s="38" t="n"/>
      <c r="B270" s="32" t="n"/>
      <c r="C270" s="31" t="n"/>
      <c r="D270" s="31" t="n"/>
      <c r="E270" s="31" t="n"/>
      <c r="F270" s="31" t="n"/>
      <c r="G270" s="36" t="n"/>
      <c r="H270" s="32" t="n"/>
      <c r="I270" s="32" t="n"/>
      <c r="J270" s="35">
        <f>IF(A270="","",MONTH(A270))</f>
        <v/>
      </c>
      <c r="K270" s="35">
        <f>IF(A270="","",YEAR(A270))</f>
        <v/>
      </c>
    </row>
    <row r="271">
      <c r="A271" s="38" t="n"/>
      <c r="B271" s="32" t="n"/>
      <c r="C271" s="31" t="n"/>
      <c r="D271" s="31" t="n"/>
      <c r="E271" s="31" t="n"/>
      <c r="F271" s="31" t="n"/>
      <c r="G271" s="36" t="n"/>
      <c r="H271" s="32" t="n"/>
      <c r="I271" s="32" t="n"/>
      <c r="J271" s="35">
        <f>IF(A271="","",MONTH(A271))</f>
        <v/>
      </c>
      <c r="K271" s="35">
        <f>IF(A271="","",YEAR(A271))</f>
        <v/>
      </c>
    </row>
    <row r="272">
      <c r="A272" s="38" t="n"/>
      <c r="B272" s="32" t="n"/>
      <c r="C272" s="31" t="n"/>
      <c r="D272" s="31" t="n"/>
      <c r="E272" s="31" t="n"/>
      <c r="F272" s="31" t="n"/>
      <c r="G272" s="36" t="n"/>
      <c r="H272" s="32" t="n"/>
      <c r="I272" s="32" t="n"/>
      <c r="J272" s="35">
        <f>IF(A272="","",MONTH(A272))</f>
        <v/>
      </c>
      <c r="K272" s="35">
        <f>IF(A272="","",YEAR(A272))</f>
        <v/>
      </c>
    </row>
    <row r="273">
      <c r="A273" s="38" t="n"/>
      <c r="B273" s="32" t="n"/>
      <c r="C273" s="31" t="n"/>
      <c r="D273" s="31" t="n"/>
      <c r="E273" s="31" t="n"/>
      <c r="F273" s="31" t="n"/>
      <c r="G273" s="36" t="n"/>
      <c r="H273" s="32" t="n"/>
      <c r="I273" s="32" t="n"/>
      <c r="J273" s="35">
        <f>IF(A273="","",MONTH(A273))</f>
        <v/>
      </c>
      <c r="K273" s="35">
        <f>IF(A273="","",YEAR(A273))</f>
        <v/>
      </c>
    </row>
    <row r="274">
      <c r="A274" s="38" t="n"/>
      <c r="B274" s="32" t="n"/>
      <c r="C274" s="31" t="n"/>
      <c r="D274" s="31" t="n"/>
      <c r="E274" s="31" t="n"/>
      <c r="F274" s="31" t="n"/>
      <c r="G274" s="36" t="n"/>
      <c r="H274" s="32" t="n"/>
      <c r="I274" s="32" t="n"/>
      <c r="J274" s="35">
        <f>IF(A274="","",MONTH(A274))</f>
        <v/>
      </c>
      <c r="K274" s="35">
        <f>IF(A274="","",YEAR(A274))</f>
        <v/>
      </c>
    </row>
    <row r="275">
      <c r="A275" s="38" t="n"/>
      <c r="B275" s="32" t="n"/>
      <c r="C275" s="31" t="n"/>
      <c r="D275" s="31" t="n"/>
      <c r="E275" s="31" t="n"/>
      <c r="F275" s="31" t="n"/>
      <c r="G275" s="36" t="n"/>
      <c r="H275" s="32" t="n"/>
      <c r="I275" s="32" t="n"/>
      <c r="J275" s="35">
        <f>IF(A275="","",MONTH(A275))</f>
        <v/>
      </c>
      <c r="K275" s="35">
        <f>IF(A275="","",YEAR(A275))</f>
        <v/>
      </c>
    </row>
    <row r="276">
      <c r="A276" s="38" t="n"/>
      <c r="B276" s="32" t="n"/>
      <c r="C276" s="31" t="n"/>
      <c r="D276" s="31" t="n"/>
      <c r="E276" s="31" t="n"/>
      <c r="F276" s="31" t="n"/>
      <c r="G276" s="36" t="n"/>
      <c r="H276" s="32" t="n"/>
      <c r="I276" s="32" t="n"/>
      <c r="J276" s="35">
        <f>IF(A276="","",MONTH(A276))</f>
        <v/>
      </c>
      <c r="K276" s="35">
        <f>IF(A276="","",YEAR(A276))</f>
        <v/>
      </c>
    </row>
    <row r="277">
      <c r="A277" s="38" t="n"/>
      <c r="B277" s="32" t="n"/>
      <c r="C277" s="31" t="n"/>
      <c r="D277" s="31" t="n"/>
      <c r="E277" s="31" t="n"/>
      <c r="F277" s="31" t="n"/>
      <c r="G277" s="36" t="n"/>
      <c r="H277" s="32" t="n"/>
      <c r="I277" s="32" t="n"/>
      <c r="J277" s="35">
        <f>IF(A277="","",MONTH(A277))</f>
        <v/>
      </c>
      <c r="K277" s="35">
        <f>IF(A277="","",YEAR(A277))</f>
        <v/>
      </c>
    </row>
    <row r="278">
      <c r="A278" s="38" t="n"/>
      <c r="B278" s="32" t="n"/>
      <c r="C278" s="31" t="n"/>
      <c r="D278" s="31" t="n"/>
      <c r="E278" s="31" t="n"/>
      <c r="F278" s="31" t="n"/>
      <c r="G278" s="36" t="n"/>
      <c r="H278" s="32" t="n"/>
      <c r="I278" s="32" t="n"/>
      <c r="J278" s="35">
        <f>IF(A278="","",MONTH(A278))</f>
        <v/>
      </c>
      <c r="K278" s="35">
        <f>IF(A278="","",YEAR(A278))</f>
        <v/>
      </c>
    </row>
    <row r="279">
      <c r="A279" s="38" t="n"/>
      <c r="B279" s="32" t="n"/>
      <c r="C279" s="31" t="n"/>
      <c r="D279" s="31" t="n"/>
      <c r="E279" s="31" t="n"/>
      <c r="F279" s="31" t="n"/>
      <c r="G279" s="36" t="n"/>
      <c r="H279" s="32" t="n"/>
      <c r="I279" s="32" t="n"/>
      <c r="J279" s="35">
        <f>IF(A279="","",MONTH(A279))</f>
        <v/>
      </c>
      <c r="K279" s="35">
        <f>IF(A279="","",YEAR(A279))</f>
        <v/>
      </c>
    </row>
    <row r="280">
      <c r="A280" s="38" t="n"/>
      <c r="B280" s="32" t="n"/>
      <c r="C280" s="31" t="n"/>
      <c r="D280" s="31" t="n"/>
      <c r="E280" s="31" t="n"/>
      <c r="F280" s="31" t="n"/>
      <c r="G280" s="36" t="n"/>
      <c r="H280" s="32" t="n"/>
      <c r="I280" s="32" t="n"/>
      <c r="J280" s="35">
        <f>IF(A280="","",MONTH(A280))</f>
        <v/>
      </c>
      <c r="K280" s="35">
        <f>IF(A280="","",YEAR(A280))</f>
        <v/>
      </c>
    </row>
    <row r="281">
      <c r="A281" s="38" t="n"/>
      <c r="B281" s="32" t="n"/>
      <c r="C281" s="31" t="n"/>
      <c r="D281" s="31" t="n"/>
      <c r="E281" s="31" t="n"/>
      <c r="F281" s="31" t="n"/>
      <c r="G281" s="36" t="n"/>
      <c r="H281" s="32" t="n"/>
      <c r="I281" s="32" t="n"/>
      <c r="J281" s="35">
        <f>IF(A281="","",MONTH(A281))</f>
        <v/>
      </c>
      <c r="K281" s="35">
        <f>IF(A281="","",YEAR(A281))</f>
        <v/>
      </c>
    </row>
    <row r="282">
      <c r="A282" s="38" t="n"/>
      <c r="B282" s="32" t="n"/>
      <c r="C282" s="31" t="n"/>
      <c r="D282" s="31" t="n"/>
      <c r="E282" s="31" t="n"/>
      <c r="F282" s="31" t="n"/>
      <c r="G282" s="36" t="n"/>
      <c r="H282" s="32" t="n"/>
      <c r="I282" s="32" t="n"/>
      <c r="J282" s="35">
        <f>IF(A282="","",MONTH(A282))</f>
        <v/>
      </c>
      <c r="K282" s="35">
        <f>IF(A282="","",YEAR(A282))</f>
        <v/>
      </c>
    </row>
    <row r="283">
      <c r="A283" s="38" t="n"/>
      <c r="B283" s="32" t="n"/>
      <c r="C283" s="31" t="n"/>
      <c r="D283" s="31" t="n"/>
      <c r="E283" s="31" t="n"/>
      <c r="F283" s="31" t="n"/>
      <c r="G283" s="36" t="n"/>
      <c r="H283" s="32" t="n"/>
      <c r="I283" s="32" t="n"/>
      <c r="J283" s="35">
        <f>IF(A283="","",MONTH(A283))</f>
        <v/>
      </c>
      <c r="K283" s="35">
        <f>IF(A283="","",YEAR(A283))</f>
        <v/>
      </c>
    </row>
    <row r="284">
      <c r="A284" s="38" t="n"/>
      <c r="B284" s="32" t="n"/>
      <c r="C284" s="31" t="n"/>
      <c r="D284" s="31" t="n"/>
      <c r="E284" s="31" t="n"/>
      <c r="F284" s="31" t="n"/>
      <c r="G284" s="36" t="n"/>
      <c r="H284" s="32" t="n"/>
      <c r="I284" s="32" t="n"/>
      <c r="J284" s="35">
        <f>IF(A284="","",MONTH(A284))</f>
        <v/>
      </c>
      <c r="K284" s="35">
        <f>IF(A284="","",YEAR(A284))</f>
        <v/>
      </c>
    </row>
    <row r="285">
      <c r="A285" s="38" t="n"/>
      <c r="B285" s="32" t="n"/>
      <c r="C285" s="31" t="n"/>
      <c r="D285" s="31" t="n"/>
      <c r="E285" s="31" t="n"/>
      <c r="F285" s="31" t="n"/>
      <c r="G285" s="36" t="n"/>
      <c r="H285" s="32" t="n"/>
      <c r="I285" s="32" t="n"/>
      <c r="J285" s="35">
        <f>IF(A285="","",MONTH(A285))</f>
        <v/>
      </c>
      <c r="K285" s="35">
        <f>IF(A285="","",YEAR(A285))</f>
        <v/>
      </c>
    </row>
    <row r="286">
      <c r="A286" s="38" t="n"/>
      <c r="B286" s="32" t="n"/>
      <c r="C286" s="31" t="n"/>
      <c r="D286" s="31" t="n"/>
      <c r="E286" s="31" t="n"/>
      <c r="F286" s="31" t="n"/>
      <c r="G286" s="36" t="n"/>
      <c r="H286" s="32" t="n"/>
      <c r="I286" s="32" t="n"/>
      <c r="J286" s="35">
        <f>IF(A286="","",MONTH(A286))</f>
        <v/>
      </c>
      <c r="K286" s="35">
        <f>IF(A286="","",YEAR(A286))</f>
        <v/>
      </c>
    </row>
    <row r="287">
      <c r="A287" s="38" t="n"/>
      <c r="B287" s="32" t="n"/>
      <c r="C287" s="31" t="n"/>
      <c r="D287" s="31" t="n"/>
      <c r="E287" s="31" t="n"/>
      <c r="F287" s="31" t="n"/>
      <c r="G287" s="36" t="n"/>
      <c r="H287" s="32" t="n"/>
      <c r="I287" s="32" t="n"/>
      <c r="J287" s="35">
        <f>IF(A287="","",MONTH(A287))</f>
        <v/>
      </c>
      <c r="K287" s="35">
        <f>IF(A287="","",YEAR(A287))</f>
        <v/>
      </c>
    </row>
    <row r="288">
      <c r="A288" s="38" t="n"/>
      <c r="B288" s="32" t="n"/>
      <c r="C288" s="31" t="n"/>
      <c r="D288" s="31" t="n"/>
      <c r="E288" s="31" t="n"/>
      <c r="F288" s="31" t="n"/>
      <c r="G288" s="36" t="n"/>
      <c r="H288" s="32" t="n"/>
      <c r="I288" s="32" t="n"/>
      <c r="J288" s="35">
        <f>IF(A288="","",MONTH(A288))</f>
        <v/>
      </c>
      <c r="K288" s="35">
        <f>IF(A288="","",YEAR(A288))</f>
        <v/>
      </c>
    </row>
    <row r="289">
      <c r="A289" s="38" t="n"/>
      <c r="B289" s="32" t="n"/>
      <c r="C289" s="31" t="n"/>
      <c r="D289" s="31" t="n"/>
      <c r="E289" s="31" t="n"/>
      <c r="F289" s="31" t="n"/>
      <c r="G289" s="36" t="n"/>
      <c r="H289" s="32" t="n"/>
      <c r="I289" s="32" t="n"/>
      <c r="J289" s="35">
        <f>IF(A289="","",MONTH(A289))</f>
        <v/>
      </c>
      <c r="K289" s="35">
        <f>IF(A289="","",YEAR(A289))</f>
        <v/>
      </c>
    </row>
    <row r="290">
      <c r="A290" s="38" t="n"/>
      <c r="B290" s="32" t="n"/>
      <c r="C290" s="31" t="n"/>
      <c r="D290" s="31" t="n"/>
      <c r="E290" s="31" t="n"/>
      <c r="F290" s="31" t="n"/>
      <c r="G290" s="36" t="n"/>
      <c r="H290" s="32" t="n"/>
      <c r="I290" s="32" t="n"/>
      <c r="J290" s="35">
        <f>IF(A290="","",MONTH(A290))</f>
        <v/>
      </c>
      <c r="K290" s="35">
        <f>IF(A290="","",YEAR(A290))</f>
        <v/>
      </c>
    </row>
    <row r="291">
      <c r="A291" s="38" t="n"/>
      <c r="B291" s="32" t="n"/>
      <c r="C291" s="31" t="n"/>
      <c r="D291" s="31" t="n"/>
      <c r="E291" s="31" t="n"/>
      <c r="F291" s="31" t="n"/>
      <c r="G291" s="36" t="n"/>
      <c r="H291" s="32" t="n"/>
      <c r="I291" s="32" t="n"/>
      <c r="J291" s="35">
        <f>IF(A291="","",MONTH(A291))</f>
        <v/>
      </c>
      <c r="K291" s="35">
        <f>IF(A291="","",YEAR(A291))</f>
        <v/>
      </c>
    </row>
    <row r="292">
      <c r="A292" s="38" t="n"/>
      <c r="B292" s="32" t="n"/>
      <c r="C292" s="31" t="n"/>
      <c r="D292" s="31" t="n"/>
      <c r="E292" s="31" t="n"/>
      <c r="F292" s="31" t="n"/>
      <c r="G292" s="36" t="n"/>
      <c r="H292" s="32" t="n"/>
      <c r="I292" s="32" t="n"/>
      <c r="J292" s="35">
        <f>IF(A292="","",MONTH(A292))</f>
        <v/>
      </c>
      <c r="K292" s="35">
        <f>IF(A292="","",YEAR(A292))</f>
        <v/>
      </c>
    </row>
    <row r="293">
      <c r="A293" s="38" t="n"/>
      <c r="B293" s="32" t="n"/>
      <c r="C293" s="31" t="n"/>
      <c r="D293" s="31" t="n"/>
      <c r="E293" s="31" t="n"/>
      <c r="F293" s="31" t="n"/>
      <c r="G293" s="36" t="n"/>
      <c r="H293" s="32" t="n"/>
      <c r="I293" s="32" t="n"/>
      <c r="J293" s="35">
        <f>IF(A293="","",MONTH(A293))</f>
        <v/>
      </c>
      <c r="K293" s="35">
        <f>IF(A293="","",YEAR(A293))</f>
        <v/>
      </c>
    </row>
    <row r="294">
      <c r="A294" s="38" t="n"/>
      <c r="B294" s="32" t="n"/>
      <c r="C294" s="31" t="n"/>
      <c r="D294" s="31" t="n"/>
      <c r="E294" s="31" t="n"/>
      <c r="F294" s="31" t="n"/>
      <c r="G294" s="36" t="n"/>
      <c r="H294" s="32" t="n"/>
      <c r="I294" s="32" t="n"/>
      <c r="J294" s="35">
        <f>IF(A294="","",MONTH(A294))</f>
        <v/>
      </c>
      <c r="K294" s="35">
        <f>IF(A294="","",YEAR(A294))</f>
        <v/>
      </c>
    </row>
    <row r="295">
      <c r="A295" s="38" t="n"/>
      <c r="B295" s="32" t="n"/>
      <c r="C295" s="31" t="n"/>
      <c r="D295" s="31" t="n"/>
      <c r="E295" s="31" t="n"/>
      <c r="F295" s="31" t="n"/>
      <c r="G295" s="36" t="n"/>
      <c r="H295" s="32" t="n"/>
      <c r="I295" s="32" t="n"/>
      <c r="J295" s="35">
        <f>IF(A295="","",MONTH(A295))</f>
        <v/>
      </c>
      <c r="K295" s="35">
        <f>IF(A295="","",YEAR(A295))</f>
        <v/>
      </c>
    </row>
    <row r="296">
      <c r="A296" s="38" t="n"/>
      <c r="B296" s="32" t="n"/>
      <c r="C296" s="31" t="n"/>
      <c r="D296" s="31" t="n"/>
      <c r="E296" s="31" t="n"/>
      <c r="F296" s="31" t="n"/>
      <c r="G296" s="36" t="n"/>
      <c r="H296" s="32" t="n"/>
      <c r="I296" s="32" t="n"/>
      <c r="J296" s="35">
        <f>IF(A296="","",MONTH(A296))</f>
        <v/>
      </c>
      <c r="K296" s="35">
        <f>IF(A296="","",YEAR(A296))</f>
        <v/>
      </c>
    </row>
    <row r="297">
      <c r="A297" s="38" t="n"/>
      <c r="B297" s="32" t="n"/>
      <c r="C297" s="31" t="n"/>
      <c r="D297" s="31" t="n"/>
      <c r="E297" s="31" t="n"/>
      <c r="F297" s="31" t="n"/>
      <c r="G297" s="36" t="n"/>
      <c r="H297" s="32" t="n"/>
      <c r="I297" s="32" t="n"/>
      <c r="J297" s="35">
        <f>IF(A297="","",MONTH(A297))</f>
        <v/>
      </c>
      <c r="K297" s="35">
        <f>IF(A297="","",YEAR(A297))</f>
        <v/>
      </c>
    </row>
    <row r="298">
      <c r="A298" s="38" t="n"/>
      <c r="B298" s="32" t="n"/>
      <c r="C298" s="31" t="n"/>
      <c r="D298" s="31" t="n"/>
      <c r="E298" s="31" t="n"/>
      <c r="F298" s="31" t="n"/>
      <c r="G298" s="36" t="n"/>
      <c r="H298" s="32" t="n"/>
      <c r="I298" s="32" t="n"/>
      <c r="J298" s="35">
        <f>IF(A298="","",MONTH(A298))</f>
        <v/>
      </c>
      <c r="K298" s="35">
        <f>IF(A298="","",YEAR(A298))</f>
        <v/>
      </c>
    </row>
    <row r="299">
      <c r="A299" s="38" t="n"/>
      <c r="B299" s="32" t="n"/>
      <c r="C299" s="31" t="n"/>
      <c r="D299" s="31" t="n"/>
      <c r="E299" s="31" t="n"/>
      <c r="F299" s="31" t="n"/>
      <c r="G299" s="36" t="n"/>
      <c r="H299" s="32" t="n"/>
      <c r="I299" s="32" t="n"/>
      <c r="J299" s="35">
        <f>IF(A299="","",MONTH(A299))</f>
        <v/>
      </c>
      <c r="K299" s="35">
        <f>IF(A299="","",YEAR(A299))</f>
        <v/>
      </c>
    </row>
    <row r="300">
      <c r="A300" s="38" t="n"/>
      <c r="B300" s="32" t="n"/>
      <c r="C300" s="31" t="n"/>
      <c r="D300" s="31" t="n"/>
      <c r="E300" s="31" t="n"/>
      <c r="F300" s="31" t="n"/>
      <c r="G300" s="36" t="n"/>
      <c r="H300" s="32" t="n"/>
      <c r="I300" s="32" t="n"/>
      <c r="J300" s="35">
        <f>IF(A300="","",MONTH(A300))</f>
        <v/>
      </c>
      <c r="K300" s="35">
        <f>IF(A300="","",YEAR(A300))</f>
        <v/>
      </c>
    </row>
    <row r="301">
      <c r="A301" s="38" t="n"/>
      <c r="B301" s="32" t="n"/>
      <c r="C301" s="31" t="n"/>
      <c r="D301" s="31" t="n"/>
      <c r="E301" s="31" t="n"/>
      <c r="F301" s="31" t="n"/>
      <c r="G301" s="36" t="n"/>
      <c r="H301" s="32" t="n"/>
      <c r="I301" s="32" t="n"/>
      <c r="J301" s="35">
        <f>IF(A301="","",MONTH(A301))</f>
        <v/>
      </c>
      <c r="K301" s="35">
        <f>IF(A301="","",YEAR(A301))</f>
        <v/>
      </c>
    </row>
    <row r="302">
      <c r="A302" s="38" t="n"/>
      <c r="B302" s="32" t="n"/>
      <c r="C302" s="31" t="n"/>
      <c r="D302" s="31" t="n"/>
      <c r="E302" s="31" t="n"/>
      <c r="F302" s="31" t="n"/>
      <c r="G302" s="36" t="n"/>
      <c r="H302" s="32" t="n"/>
      <c r="I302" s="32" t="n"/>
      <c r="J302" s="35">
        <f>IF(A302="","",MONTH(A302))</f>
        <v/>
      </c>
      <c r="K302" s="35">
        <f>IF(A302="","",YEAR(A302))</f>
        <v/>
      </c>
    </row>
    <row r="303">
      <c r="A303" s="38" t="n"/>
      <c r="B303" s="32" t="n"/>
      <c r="C303" s="31" t="n"/>
      <c r="D303" s="31" t="n"/>
      <c r="E303" s="31" t="n"/>
      <c r="F303" s="31" t="n"/>
      <c r="G303" s="36" t="n"/>
      <c r="H303" s="32" t="n"/>
      <c r="I303" s="32" t="n"/>
      <c r="J303" s="35">
        <f>IF(A303="","",MONTH(A303))</f>
        <v/>
      </c>
      <c r="K303" s="35">
        <f>IF(A303="","",YEAR(A303))</f>
        <v/>
      </c>
    </row>
    <row r="304">
      <c r="A304" s="38" t="n"/>
      <c r="B304" s="32" t="n"/>
      <c r="C304" s="31" t="n"/>
      <c r="D304" s="31" t="n"/>
      <c r="E304" s="31" t="n"/>
      <c r="F304" s="31" t="n"/>
      <c r="G304" s="36" t="n"/>
      <c r="H304" s="32" t="n"/>
      <c r="I304" s="32" t="n"/>
      <c r="J304" s="35">
        <f>IF(A304="","",MONTH(A304))</f>
        <v/>
      </c>
      <c r="K304" s="35">
        <f>IF(A304="","",YEAR(A304))</f>
        <v/>
      </c>
    </row>
    <row r="305">
      <c r="A305" s="38" t="n"/>
      <c r="B305" s="32" t="n"/>
      <c r="C305" s="31" t="n"/>
      <c r="D305" s="31" t="n"/>
      <c r="E305" s="31" t="n"/>
      <c r="F305" s="31" t="n"/>
      <c r="G305" s="36" t="n"/>
      <c r="H305" s="32" t="n"/>
      <c r="I305" s="32" t="n"/>
      <c r="J305" s="35">
        <f>IF(A305="","",MONTH(A305))</f>
        <v/>
      </c>
      <c r="K305" s="35">
        <f>IF(A305="","",YEAR(A305))</f>
        <v/>
      </c>
    </row>
    <row r="306">
      <c r="A306" s="38" t="n"/>
      <c r="B306" s="32" t="n"/>
      <c r="C306" s="31" t="n"/>
      <c r="D306" s="31" t="n"/>
      <c r="E306" s="31" t="n"/>
      <c r="F306" s="31" t="n"/>
      <c r="G306" s="36" t="n"/>
      <c r="H306" s="32" t="n"/>
      <c r="I306" s="32" t="n"/>
      <c r="J306" s="35">
        <f>IF(A306="","",MONTH(A306))</f>
        <v/>
      </c>
      <c r="K306" s="35">
        <f>IF(A306="","",YEAR(A306))</f>
        <v/>
      </c>
    </row>
    <row r="307">
      <c r="A307" s="38" t="n"/>
      <c r="B307" s="32" t="n"/>
      <c r="C307" s="31" t="n"/>
      <c r="D307" s="31" t="n"/>
      <c r="E307" s="31" t="n"/>
      <c r="F307" s="31" t="n"/>
      <c r="G307" s="36" t="n"/>
      <c r="H307" s="32" t="n"/>
      <c r="I307" s="32" t="n"/>
      <c r="J307" s="35">
        <f>IF(A307="","",MONTH(A307))</f>
        <v/>
      </c>
      <c r="K307" s="35">
        <f>IF(A307="","",YEAR(A307))</f>
        <v/>
      </c>
    </row>
    <row r="308">
      <c r="A308" s="38" t="n"/>
      <c r="B308" s="32" t="n"/>
      <c r="C308" s="31" t="n"/>
      <c r="D308" s="31" t="n"/>
      <c r="E308" s="31" t="n"/>
      <c r="F308" s="31" t="n"/>
      <c r="G308" s="36" t="n"/>
      <c r="H308" s="32" t="n"/>
      <c r="I308" s="32" t="n"/>
      <c r="J308" s="35">
        <f>IF(A308="","",MONTH(A308))</f>
        <v/>
      </c>
      <c r="K308" s="35">
        <f>IF(A308="","",YEAR(A308))</f>
        <v/>
      </c>
    </row>
    <row r="309">
      <c r="A309" s="38" t="n"/>
      <c r="B309" s="32" t="n"/>
      <c r="C309" s="31" t="n"/>
      <c r="D309" s="31" t="n"/>
      <c r="E309" s="31" t="n"/>
      <c r="F309" s="31" t="n"/>
      <c r="G309" s="36" t="n"/>
      <c r="H309" s="32" t="n"/>
      <c r="I309" s="32" t="n"/>
      <c r="J309" s="35">
        <f>IF(A309="","",MONTH(A309))</f>
        <v/>
      </c>
      <c r="K309" s="35">
        <f>IF(A309="","",YEAR(A309))</f>
        <v/>
      </c>
    </row>
    <row r="310">
      <c r="A310" s="38" t="n"/>
      <c r="B310" s="32" t="n"/>
      <c r="C310" s="31" t="n"/>
      <c r="D310" s="31" t="n"/>
      <c r="E310" s="31" t="n"/>
      <c r="F310" s="31" t="n"/>
      <c r="G310" s="36" t="n"/>
      <c r="H310" s="32" t="n"/>
      <c r="I310" s="32" t="n"/>
      <c r="J310" s="35">
        <f>IF(A310="","",MONTH(A310))</f>
        <v/>
      </c>
      <c r="K310" s="35">
        <f>IF(A310="","",YEAR(A310))</f>
        <v/>
      </c>
    </row>
    <row r="311">
      <c r="A311" s="38" t="n"/>
      <c r="B311" s="32" t="n"/>
      <c r="C311" s="31" t="n"/>
      <c r="D311" s="31" t="n"/>
      <c r="E311" s="31" t="n"/>
      <c r="F311" s="31" t="n"/>
      <c r="G311" s="36" t="n"/>
      <c r="H311" s="32" t="n"/>
      <c r="I311" s="32" t="n"/>
      <c r="J311" s="35">
        <f>IF(A311="","",MONTH(A311))</f>
        <v/>
      </c>
      <c r="K311" s="35">
        <f>IF(A311="","",YEAR(A311))</f>
        <v/>
      </c>
    </row>
    <row r="312">
      <c r="A312" s="38" t="n"/>
      <c r="B312" s="32" t="n"/>
      <c r="C312" s="31" t="n"/>
      <c r="D312" s="31" t="n"/>
      <c r="E312" s="31" t="n"/>
      <c r="F312" s="31" t="n"/>
      <c r="G312" s="36" t="n"/>
      <c r="H312" s="32" t="n"/>
      <c r="I312" s="32" t="n"/>
      <c r="J312" s="35">
        <f>IF(A312="","",MONTH(A312))</f>
        <v/>
      </c>
      <c r="K312" s="35">
        <f>IF(A312="","",YEAR(A312))</f>
        <v/>
      </c>
    </row>
    <row r="313">
      <c r="A313" s="38" t="n"/>
      <c r="B313" s="32" t="n"/>
      <c r="C313" s="31" t="n"/>
      <c r="D313" s="31" t="n"/>
      <c r="E313" s="31" t="n"/>
      <c r="F313" s="31" t="n"/>
      <c r="G313" s="36" t="n"/>
      <c r="H313" s="32" t="n"/>
      <c r="I313" s="32" t="n"/>
      <c r="J313" s="35">
        <f>IF(A313="","",MONTH(A313))</f>
        <v/>
      </c>
      <c r="K313" s="35">
        <f>IF(A313="","",YEAR(A313))</f>
        <v/>
      </c>
    </row>
    <row r="314">
      <c r="A314" s="38" t="n"/>
      <c r="B314" s="32" t="n"/>
      <c r="C314" s="31" t="n"/>
      <c r="D314" s="31" t="n"/>
      <c r="E314" s="31" t="n"/>
      <c r="F314" s="31" t="n"/>
      <c r="G314" s="36" t="n"/>
      <c r="H314" s="32" t="n"/>
      <c r="I314" s="32" t="n"/>
      <c r="J314" s="35">
        <f>IF(A314="","",MONTH(A314))</f>
        <v/>
      </c>
      <c r="K314" s="35">
        <f>IF(A314="","",YEAR(A314))</f>
        <v/>
      </c>
    </row>
    <row r="315">
      <c r="A315" s="38" t="n"/>
      <c r="B315" s="32" t="n"/>
      <c r="C315" s="31" t="n"/>
      <c r="D315" s="31" t="n"/>
      <c r="E315" s="31" t="n"/>
      <c r="F315" s="31" t="n"/>
      <c r="G315" s="36" t="n"/>
      <c r="H315" s="32" t="n"/>
      <c r="I315" s="32" t="n"/>
      <c r="J315" s="35">
        <f>IF(A315="","",MONTH(A315))</f>
        <v/>
      </c>
      <c r="K315" s="35">
        <f>IF(A315="","",YEAR(A315))</f>
        <v/>
      </c>
    </row>
    <row r="316">
      <c r="A316" s="38" t="n"/>
      <c r="B316" s="32" t="n"/>
      <c r="C316" s="31" t="n"/>
      <c r="D316" s="31" t="n"/>
      <c r="E316" s="31" t="n"/>
      <c r="F316" s="31" t="n"/>
      <c r="G316" s="36" t="n"/>
      <c r="H316" s="32" t="n"/>
      <c r="I316" s="32" t="n"/>
      <c r="J316" s="35">
        <f>IF(A316="","",MONTH(A316))</f>
        <v/>
      </c>
      <c r="K316" s="35">
        <f>IF(A316="","",YEAR(A316))</f>
        <v/>
      </c>
    </row>
    <row r="317">
      <c r="A317" s="38" t="n"/>
      <c r="B317" s="32" t="n"/>
      <c r="C317" s="31" t="n"/>
      <c r="D317" s="31" t="n"/>
      <c r="E317" s="31" t="n"/>
      <c r="F317" s="31" t="n"/>
      <c r="G317" s="36" t="n"/>
      <c r="H317" s="32" t="n"/>
      <c r="I317" s="32" t="n"/>
      <c r="J317" s="35">
        <f>IF(A317="","",MONTH(A317))</f>
        <v/>
      </c>
      <c r="K317" s="35">
        <f>IF(A317="","",YEAR(A317))</f>
        <v/>
      </c>
    </row>
    <row r="318">
      <c r="A318" s="38" t="n"/>
      <c r="B318" s="32" t="n"/>
      <c r="C318" s="31" t="n"/>
      <c r="D318" s="31" t="n"/>
      <c r="E318" s="31" t="n"/>
      <c r="F318" s="31" t="n"/>
      <c r="G318" s="36" t="n"/>
      <c r="H318" s="32" t="n"/>
      <c r="I318" s="32" t="n"/>
      <c r="J318" s="35">
        <f>IF(A318="","",MONTH(A318))</f>
        <v/>
      </c>
      <c r="K318" s="35">
        <f>IF(A318="","",YEAR(A318))</f>
        <v/>
      </c>
    </row>
    <row r="319">
      <c r="A319" s="38" t="n"/>
      <c r="B319" s="32" t="n"/>
      <c r="C319" s="31" t="n"/>
      <c r="D319" s="31" t="n"/>
      <c r="E319" s="31" t="n"/>
      <c r="F319" s="31" t="n"/>
      <c r="G319" s="36" t="n"/>
      <c r="H319" s="32" t="n"/>
      <c r="I319" s="32" t="n"/>
      <c r="J319" s="35">
        <f>IF(A319="","",MONTH(A319))</f>
        <v/>
      </c>
      <c r="K319" s="35">
        <f>IF(A319="","",YEAR(A319))</f>
        <v/>
      </c>
    </row>
    <row r="320">
      <c r="A320" s="38" t="n"/>
      <c r="B320" s="32" t="n"/>
      <c r="C320" s="31" t="n"/>
      <c r="D320" s="31" t="n"/>
      <c r="E320" s="31" t="n"/>
      <c r="F320" s="31" t="n"/>
      <c r="G320" s="36" t="n"/>
      <c r="H320" s="32" t="n"/>
      <c r="I320" s="32" t="n"/>
      <c r="J320" s="35">
        <f>IF(A320="","",MONTH(A320))</f>
        <v/>
      </c>
      <c r="K320" s="35">
        <f>IF(A320="","",YEAR(A320))</f>
        <v/>
      </c>
    </row>
    <row r="321">
      <c r="A321" s="38" t="n"/>
      <c r="B321" s="32" t="n"/>
      <c r="C321" s="31" t="n"/>
      <c r="D321" s="31" t="n"/>
      <c r="E321" s="31" t="n"/>
      <c r="F321" s="31" t="n"/>
      <c r="G321" s="36" t="n"/>
      <c r="H321" s="32" t="n"/>
      <c r="I321" s="32" t="n"/>
      <c r="J321" s="35">
        <f>IF(A321="","",MONTH(A321))</f>
        <v/>
      </c>
      <c r="K321" s="35">
        <f>IF(A321="","",YEAR(A321))</f>
        <v/>
      </c>
    </row>
    <row r="322">
      <c r="A322" s="38" t="n"/>
      <c r="B322" s="32" t="n"/>
      <c r="C322" s="31" t="n"/>
      <c r="D322" s="31" t="n"/>
      <c r="E322" s="31" t="n"/>
      <c r="F322" s="31" t="n"/>
      <c r="G322" s="36" t="n"/>
      <c r="H322" s="32" t="n"/>
      <c r="I322" s="32" t="n"/>
      <c r="J322" s="35">
        <f>IF(A322="","",MONTH(A322))</f>
        <v/>
      </c>
      <c r="K322" s="35">
        <f>IF(A322="","",YEAR(A322))</f>
        <v/>
      </c>
    </row>
    <row r="323">
      <c r="A323" s="38" t="n"/>
      <c r="B323" s="32" t="n"/>
      <c r="C323" s="31" t="n"/>
      <c r="D323" s="31" t="n"/>
      <c r="E323" s="31" t="n"/>
      <c r="F323" s="31" t="n"/>
      <c r="G323" s="36" t="n"/>
      <c r="H323" s="32" t="n"/>
      <c r="I323" s="32" t="n"/>
      <c r="J323" s="35">
        <f>IF(A323="","",MONTH(A323))</f>
        <v/>
      </c>
      <c r="K323" s="35">
        <f>IF(A323="","",YEAR(A323))</f>
        <v/>
      </c>
    </row>
    <row r="324">
      <c r="A324" s="38" t="n"/>
      <c r="B324" s="32" t="n"/>
      <c r="C324" s="31" t="n"/>
      <c r="D324" s="31" t="n"/>
      <c r="E324" s="31" t="n"/>
      <c r="F324" s="31" t="n"/>
      <c r="G324" s="36" t="n"/>
      <c r="H324" s="32" t="n"/>
      <c r="I324" s="32" t="n"/>
      <c r="J324" s="35">
        <f>IF(A324="","",MONTH(A324))</f>
        <v/>
      </c>
      <c r="K324" s="35">
        <f>IF(A324="","",YEAR(A324))</f>
        <v/>
      </c>
    </row>
    <row r="325">
      <c r="A325" s="38" t="n"/>
      <c r="B325" s="32" t="n"/>
      <c r="C325" s="31" t="n"/>
      <c r="D325" s="31" t="n"/>
      <c r="E325" s="31" t="n"/>
      <c r="F325" s="31" t="n"/>
      <c r="G325" s="36" t="n"/>
      <c r="H325" s="32" t="n"/>
      <c r="I325" s="32" t="n"/>
      <c r="J325" s="35">
        <f>IF(A325="","",MONTH(A325))</f>
        <v/>
      </c>
      <c r="K325" s="35">
        <f>IF(A325="","",YEAR(A325))</f>
        <v/>
      </c>
    </row>
    <row r="326">
      <c r="A326" s="38" t="n"/>
      <c r="B326" s="32" t="n"/>
      <c r="C326" s="31" t="n"/>
      <c r="D326" s="31" t="n"/>
      <c r="E326" s="31" t="n"/>
      <c r="F326" s="31" t="n"/>
      <c r="G326" s="36" t="n"/>
      <c r="H326" s="32" t="n"/>
      <c r="I326" s="32" t="n"/>
      <c r="J326" s="35">
        <f>IF(A326="","",MONTH(A326))</f>
        <v/>
      </c>
      <c r="K326" s="35">
        <f>IF(A326="","",YEAR(A326))</f>
        <v/>
      </c>
    </row>
    <row r="327">
      <c r="A327" s="38" t="n"/>
      <c r="B327" s="32" t="n"/>
      <c r="C327" s="31" t="n"/>
      <c r="D327" s="31" t="n"/>
      <c r="E327" s="31" t="n"/>
      <c r="F327" s="31" t="n"/>
      <c r="G327" s="36" t="n"/>
      <c r="H327" s="32" t="n"/>
      <c r="I327" s="32" t="n"/>
      <c r="J327" s="35">
        <f>IF(A327="","",MONTH(A327))</f>
        <v/>
      </c>
      <c r="K327" s="35">
        <f>IF(A327="","",YEAR(A327))</f>
        <v/>
      </c>
    </row>
    <row r="328">
      <c r="A328" s="38" t="n"/>
      <c r="B328" s="32" t="n"/>
      <c r="C328" s="31" t="n"/>
      <c r="D328" s="31" t="n"/>
      <c r="E328" s="31" t="n"/>
      <c r="F328" s="31" t="n"/>
      <c r="G328" s="36" t="n"/>
      <c r="H328" s="32" t="n"/>
      <c r="I328" s="32" t="n"/>
      <c r="J328" s="35">
        <f>IF(A328="","",MONTH(A328))</f>
        <v/>
      </c>
      <c r="K328" s="35">
        <f>IF(A328="","",YEAR(A328))</f>
        <v/>
      </c>
    </row>
    <row r="329">
      <c r="A329" s="38" t="n"/>
      <c r="B329" s="32" t="n"/>
      <c r="C329" s="31" t="n"/>
      <c r="D329" s="31" t="n"/>
      <c r="E329" s="31" t="n"/>
      <c r="F329" s="31" t="n"/>
      <c r="G329" s="36" t="n"/>
      <c r="H329" s="32" t="n"/>
      <c r="I329" s="32" t="n"/>
      <c r="J329" s="35">
        <f>IF(A329="","",MONTH(A329))</f>
        <v/>
      </c>
      <c r="K329" s="35">
        <f>IF(A329="","",YEAR(A329))</f>
        <v/>
      </c>
    </row>
    <row r="330">
      <c r="A330" s="38" t="n"/>
      <c r="B330" s="32" t="n"/>
      <c r="C330" s="31" t="n"/>
      <c r="D330" s="31" t="n"/>
      <c r="E330" s="31" t="n"/>
      <c r="F330" s="31" t="n"/>
      <c r="G330" s="36" t="n"/>
      <c r="H330" s="32" t="n"/>
      <c r="I330" s="32" t="n"/>
      <c r="J330" s="35">
        <f>IF(A330="","",MONTH(A330))</f>
        <v/>
      </c>
      <c r="K330" s="35">
        <f>IF(A330="","",YEAR(A330))</f>
        <v/>
      </c>
    </row>
    <row r="331">
      <c r="A331" s="38" t="n"/>
      <c r="B331" s="32" t="n"/>
      <c r="C331" s="31" t="n"/>
      <c r="D331" s="31" t="n"/>
      <c r="E331" s="31" t="n"/>
      <c r="F331" s="31" t="n"/>
      <c r="G331" s="36" t="n"/>
      <c r="H331" s="32" t="n"/>
      <c r="I331" s="32" t="n"/>
      <c r="J331" s="35">
        <f>IF(A331="","",MONTH(A331))</f>
        <v/>
      </c>
      <c r="K331" s="35">
        <f>IF(A331="","",YEAR(A331))</f>
        <v/>
      </c>
    </row>
    <row r="332">
      <c r="A332" s="38" t="n"/>
      <c r="B332" s="32" t="n"/>
      <c r="C332" s="31" t="n"/>
      <c r="D332" s="31" t="n"/>
      <c r="E332" s="31" t="n"/>
      <c r="F332" s="31" t="n"/>
      <c r="G332" s="36" t="n"/>
      <c r="H332" s="32" t="n"/>
      <c r="I332" s="32" t="n"/>
      <c r="J332" s="35">
        <f>IF(A332="","",MONTH(A332))</f>
        <v/>
      </c>
      <c r="K332" s="35">
        <f>IF(A332="","",YEAR(A332))</f>
        <v/>
      </c>
    </row>
    <row r="333">
      <c r="A333" s="38" t="n"/>
      <c r="B333" s="32" t="n"/>
      <c r="C333" s="31" t="n"/>
      <c r="D333" s="31" t="n"/>
      <c r="E333" s="31" t="n"/>
      <c r="F333" s="31" t="n"/>
      <c r="G333" s="36" t="n"/>
      <c r="H333" s="32" t="n"/>
      <c r="I333" s="32" t="n"/>
      <c r="J333" s="35">
        <f>IF(A333="","",MONTH(A333))</f>
        <v/>
      </c>
      <c r="K333" s="35">
        <f>IF(A333="","",YEAR(A333))</f>
        <v/>
      </c>
    </row>
    <row r="334">
      <c r="A334" s="38" t="n"/>
      <c r="B334" s="32" t="n"/>
      <c r="C334" s="31" t="n"/>
      <c r="D334" s="31" t="n"/>
      <c r="E334" s="31" t="n"/>
      <c r="F334" s="31" t="n"/>
      <c r="G334" s="36" t="n"/>
      <c r="H334" s="32" t="n"/>
      <c r="I334" s="32" t="n"/>
      <c r="J334" s="35">
        <f>IF(A334="","",MONTH(A334))</f>
        <v/>
      </c>
      <c r="K334" s="35">
        <f>IF(A334="","",YEAR(A334))</f>
        <v/>
      </c>
    </row>
    <row r="335">
      <c r="A335" s="38" t="n"/>
      <c r="B335" s="32" t="n"/>
      <c r="C335" s="31" t="n"/>
      <c r="D335" s="31" t="n"/>
      <c r="E335" s="31" t="n"/>
      <c r="F335" s="31" t="n"/>
      <c r="G335" s="36" t="n"/>
      <c r="H335" s="32" t="n"/>
      <c r="I335" s="32" t="n"/>
      <c r="J335" s="35">
        <f>IF(A335="","",MONTH(A335))</f>
        <v/>
      </c>
      <c r="K335" s="35">
        <f>IF(A335="","",YEAR(A335))</f>
        <v/>
      </c>
    </row>
    <row r="336">
      <c r="A336" s="38" t="n"/>
      <c r="B336" s="32" t="n"/>
      <c r="C336" s="31" t="n"/>
      <c r="D336" s="31" t="n"/>
      <c r="E336" s="31" t="n"/>
      <c r="F336" s="31" t="n"/>
      <c r="G336" s="36" t="n"/>
      <c r="H336" s="32" t="n"/>
      <c r="I336" s="32" t="n"/>
      <c r="J336" s="35">
        <f>IF(A336="","",MONTH(A336))</f>
        <v/>
      </c>
      <c r="K336" s="35">
        <f>IF(A336="","",YEAR(A336))</f>
        <v/>
      </c>
    </row>
    <row r="337">
      <c r="A337" s="38" t="n"/>
      <c r="B337" s="32" t="n"/>
      <c r="C337" s="31" t="n"/>
      <c r="D337" s="31" t="n"/>
      <c r="E337" s="31" t="n"/>
      <c r="F337" s="31" t="n"/>
      <c r="G337" s="36" t="n"/>
      <c r="H337" s="32" t="n"/>
      <c r="I337" s="32" t="n"/>
      <c r="J337" s="35">
        <f>IF(A337="","",MONTH(A337))</f>
        <v/>
      </c>
      <c r="K337" s="35">
        <f>IF(A337="","",YEAR(A337))</f>
        <v/>
      </c>
    </row>
    <row r="338">
      <c r="A338" s="38" t="n"/>
      <c r="B338" s="32" t="n"/>
      <c r="C338" s="31" t="n"/>
      <c r="D338" s="31" t="n"/>
      <c r="E338" s="31" t="n"/>
      <c r="F338" s="31" t="n"/>
      <c r="G338" s="36" t="n"/>
      <c r="H338" s="32" t="n"/>
      <c r="I338" s="32" t="n"/>
      <c r="J338" s="35">
        <f>IF(A338="","",MONTH(A338))</f>
        <v/>
      </c>
      <c r="K338" s="35">
        <f>IF(A338="","",YEAR(A338))</f>
        <v/>
      </c>
    </row>
    <row r="339">
      <c r="A339" s="38" t="n"/>
      <c r="B339" s="32" t="n"/>
      <c r="C339" s="31" t="n"/>
      <c r="D339" s="31" t="n"/>
      <c r="E339" s="31" t="n"/>
      <c r="F339" s="31" t="n"/>
      <c r="G339" s="36" t="n"/>
      <c r="H339" s="32" t="n"/>
      <c r="I339" s="32" t="n"/>
      <c r="J339" s="35">
        <f>IF(A339="","",MONTH(A339))</f>
        <v/>
      </c>
      <c r="K339" s="35">
        <f>IF(A339="","",YEAR(A339))</f>
        <v/>
      </c>
    </row>
    <row r="340">
      <c r="A340" s="38" t="n"/>
      <c r="B340" s="32" t="n"/>
      <c r="C340" s="31" t="n"/>
      <c r="D340" s="31" t="n"/>
      <c r="E340" s="31" t="n"/>
      <c r="F340" s="31" t="n"/>
      <c r="G340" s="36" t="n"/>
      <c r="H340" s="32" t="n"/>
      <c r="I340" s="32" t="n"/>
      <c r="J340" s="35">
        <f>IF(A340="","",MONTH(A340))</f>
        <v/>
      </c>
      <c r="K340" s="35">
        <f>IF(A340="","",YEAR(A340))</f>
        <v/>
      </c>
    </row>
    <row r="341">
      <c r="A341" s="38" t="n"/>
      <c r="B341" s="32" t="n"/>
      <c r="C341" s="31" t="n"/>
      <c r="D341" s="31" t="n"/>
      <c r="E341" s="31" t="n"/>
      <c r="F341" s="31" t="n"/>
      <c r="G341" s="36" t="n"/>
      <c r="H341" s="32" t="n"/>
      <c r="I341" s="32" t="n"/>
      <c r="J341" s="35">
        <f>IF(A341="","",MONTH(A341))</f>
        <v/>
      </c>
      <c r="K341" s="35">
        <f>IF(A341="","",YEAR(A341))</f>
        <v/>
      </c>
    </row>
    <row r="342">
      <c r="A342" s="38" t="n"/>
      <c r="B342" s="32" t="n"/>
      <c r="C342" s="31" t="n"/>
      <c r="D342" s="31" t="n"/>
      <c r="E342" s="31" t="n"/>
      <c r="F342" s="31" t="n"/>
      <c r="G342" s="36" t="n"/>
      <c r="H342" s="32" t="n"/>
      <c r="I342" s="32" t="n"/>
      <c r="J342" s="35">
        <f>IF(A342="","",MONTH(A342))</f>
        <v/>
      </c>
      <c r="K342" s="35">
        <f>IF(A342="","",YEAR(A342))</f>
        <v/>
      </c>
    </row>
    <row r="343">
      <c r="A343" s="38" t="n"/>
      <c r="B343" s="32" t="n"/>
      <c r="C343" s="31" t="n"/>
      <c r="D343" s="31" t="n"/>
      <c r="E343" s="31" t="n"/>
      <c r="F343" s="31" t="n"/>
      <c r="G343" s="36" t="n"/>
      <c r="H343" s="32" t="n"/>
      <c r="I343" s="32" t="n"/>
      <c r="J343" s="35">
        <f>IF(A343="","",MONTH(A343))</f>
        <v/>
      </c>
      <c r="K343" s="35">
        <f>IF(A343="","",YEAR(A343))</f>
        <v/>
      </c>
    </row>
    <row r="344">
      <c r="A344" s="38" t="n"/>
      <c r="B344" s="32" t="n"/>
      <c r="C344" s="31" t="n"/>
      <c r="D344" s="31" t="n"/>
      <c r="E344" s="31" t="n"/>
      <c r="F344" s="31" t="n"/>
      <c r="G344" s="36" t="n"/>
      <c r="H344" s="32" t="n"/>
      <c r="I344" s="32" t="n"/>
      <c r="J344" s="35">
        <f>IF(A344="","",MONTH(A344))</f>
        <v/>
      </c>
      <c r="K344" s="35">
        <f>IF(A344="","",YEAR(A344))</f>
        <v/>
      </c>
    </row>
    <row r="345">
      <c r="A345" s="38" t="n"/>
      <c r="B345" s="32" t="n"/>
      <c r="C345" s="31" t="n"/>
      <c r="D345" s="31" t="n"/>
      <c r="E345" s="31" t="n"/>
      <c r="F345" s="31" t="n"/>
      <c r="G345" s="36" t="n"/>
      <c r="H345" s="32" t="n"/>
      <c r="I345" s="32" t="n"/>
      <c r="J345" s="35">
        <f>IF(A345="","",MONTH(A345))</f>
        <v/>
      </c>
      <c r="K345" s="35">
        <f>IF(A345="","",YEAR(A345))</f>
        <v/>
      </c>
    </row>
    <row r="346">
      <c r="A346" s="38" t="n"/>
      <c r="B346" s="32" t="n"/>
      <c r="C346" s="31" t="n"/>
      <c r="D346" s="31" t="n"/>
      <c r="E346" s="31" t="n"/>
      <c r="F346" s="31" t="n"/>
      <c r="G346" s="36" t="n"/>
      <c r="H346" s="32" t="n"/>
      <c r="I346" s="32" t="n"/>
      <c r="J346" s="35">
        <f>IF(A346="","",MONTH(A346))</f>
        <v/>
      </c>
      <c r="K346" s="35">
        <f>IF(A346="","",YEAR(A346))</f>
        <v/>
      </c>
    </row>
    <row r="347">
      <c r="A347" s="38" t="n"/>
      <c r="B347" s="32" t="n"/>
      <c r="C347" s="31" t="n"/>
      <c r="D347" s="31" t="n"/>
      <c r="E347" s="31" t="n"/>
      <c r="F347" s="31" t="n"/>
      <c r="G347" s="36" t="n"/>
      <c r="H347" s="32" t="n"/>
      <c r="I347" s="32" t="n"/>
      <c r="J347" s="35">
        <f>IF(A347="","",MONTH(A347))</f>
        <v/>
      </c>
      <c r="K347" s="35">
        <f>IF(A347="","",YEAR(A347))</f>
        <v/>
      </c>
    </row>
    <row r="348">
      <c r="A348" s="38" t="n"/>
      <c r="B348" s="32" t="n"/>
      <c r="C348" s="31" t="n"/>
      <c r="D348" s="31" t="n"/>
      <c r="E348" s="31" t="n"/>
      <c r="F348" s="31" t="n"/>
      <c r="G348" s="36" t="n"/>
      <c r="H348" s="32" t="n"/>
      <c r="I348" s="32" t="n"/>
      <c r="J348" s="35">
        <f>IF(A348="","",MONTH(A348))</f>
        <v/>
      </c>
      <c r="K348" s="35">
        <f>IF(A348="","",YEAR(A348))</f>
        <v/>
      </c>
    </row>
    <row r="349">
      <c r="A349" s="38" t="n"/>
      <c r="B349" s="32" t="n"/>
      <c r="C349" s="31" t="n"/>
      <c r="D349" s="31" t="n"/>
      <c r="E349" s="31" t="n"/>
      <c r="F349" s="31" t="n"/>
      <c r="G349" s="36" t="n"/>
      <c r="H349" s="32" t="n"/>
      <c r="I349" s="32" t="n"/>
      <c r="J349" s="35">
        <f>IF(A349="","",MONTH(A349))</f>
        <v/>
      </c>
      <c r="K349" s="35">
        <f>IF(A349="","",YEAR(A349))</f>
        <v/>
      </c>
    </row>
    <row r="350">
      <c r="A350" s="38" t="n"/>
      <c r="B350" s="32" t="n"/>
      <c r="C350" s="31" t="n"/>
      <c r="D350" s="31" t="n"/>
      <c r="E350" s="31" t="n"/>
      <c r="F350" s="31" t="n"/>
      <c r="G350" s="36" t="n"/>
      <c r="H350" s="32" t="n"/>
      <c r="I350" s="32" t="n"/>
      <c r="J350" s="35">
        <f>IF(A350="","",MONTH(A350))</f>
        <v/>
      </c>
      <c r="K350" s="35">
        <f>IF(A350="","",YEAR(A350))</f>
        <v/>
      </c>
    </row>
    <row r="351">
      <c r="A351" s="38" t="n"/>
      <c r="B351" s="32" t="n"/>
      <c r="C351" s="31" t="n"/>
      <c r="D351" s="31" t="n"/>
      <c r="E351" s="31" t="n"/>
      <c r="F351" s="31" t="n"/>
      <c r="G351" s="36" t="n"/>
      <c r="H351" s="32" t="n"/>
      <c r="I351" s="32" t="n"/>
      <c r="J351" s="35">
        <f>IF(A351="","",MONTH(A351))</f>
        <v/>
      </c>
      <c r="K351" s="35">
        <f>IF(A351="","",YEAR(A351))</f>
        <v/>
      </c>
    </row>
    <row r="352">
      <c r="A352" s="38" t="n"/>
      <c r="B352" s="32" t="n"/>
      <c r="C352" s="31" t="n"/>
      <c r="D352" s="31" t="n"/>
      <c r="E352" s="31" t="n"/>
      <c r="F352" s="31" t="n"/>
      <c r="G352" s="36" t="n"/>
      <c r="H352" s="32" t="n"/>
      <c r="I352" s="32" t="n"/>
      <c r="J352" s="35">
        <f>IF(A352="","",MONTH(A352))</f>
        <v/>
      </c>
      <c r="K352" s="35">
        <f>IF(A352="","",YEAR(A352))</f>
        <v/>
      </c>
    </row>
    <row r="353">
      <c r="A353" s="38" t="n"/>
      <c r="B353" s="32" t="n"/>
      <c r="C353" s="31" t="n"/>
      <c r="D353" s="31" t="n"/>
      <c r="E353" s="31" t="n"/>
      <c r="F353" s="31" t="n"/>
      <c r="G353" s="36" t="n"/>
      <c r="H353" s="32" t="n"/>
      <c r="I353" s="32" t="n"/>
      <c r="J353" s="35">
        <f>IF(A353="","",MONTH(A353))</f>
        <v/>
      </c>
      <c r="K353" s="35">
        <f>IF(A353="","",YEAR(A353))</f>
        <v/>
      </c>
    </row>
    <row r="354">
      <c r="A354" s="38" t="n"/>
      <c r="B354" s="32" t="n"/>
      <c r="C354" s="31" t="n"/>
      <c r="D354" s="31" t="n"/>
      <c r="E354" s="31" t="n"/>
      <c r="F354" s="31" t="n"/>
      <c r="G354" s="36" t="n"/>
      <c r="H354" s="32" t="n"/>
      <c r="I354" s="32" t="n"/>
      <c r="J354" s="35">
        <f>IF(A354="","",MONTH(A354))</f>
        <v/>
      </c>
      <c r="K354" s="35">
        <f>IF(A354="","",YEAR(A354))</f>
        <v/>
      </c>
    </row>
    <row r="355">
      <c r="A355" s="38" t="n"/>
      <c r="B355" s="32" t="n"/>
      <c r="C355" s="31" t="n"/>
      <c r="D355" s="31" t="n"/>
      <c r="E355" s="31" t="n"/>
      <c r="F355" s="31" t="n"/>
      <c r="G355" s="36" t="n"/>
      <c r="H355" s="32" t="n"/>
      <c r="I355" s="32" t="n"/>
      <c r="J355" s="35">
        <f>IF(A355="","",MONTH(A355))</f>
        <v/>
      </c>
      <c r="K355" s="35">
        <f>IF(A355="","",YEAR(A355))</f>
        <v/>
      </c>
    </row>
    <row r="356">
      <c r="A356" s="38" t="n"/>
      <c r="B356" s="32" t="n"/>
      <c r="C356" s="31" t="n"/>
      <c r="D356" s="31" t="n"/>
      <c r="E356" s="31" t="n"/>
      <c r="F356" s="31" t="n"/>
      <c r="G356" s="36" t="n"/>
      <c r="H356" s="32" t="n"/>
      <c r="I356" s="32" t="n"/>
      <c r="J356" s="35">
        <f>IF(A356="","",MONTH(A356))</f>
        <v/>
      </c>
      <c r="K356" s="35">
        <f>IF(A356="","",YEAR(A356))</f>
        <v/>
      </c>
    </row>
    <row r="357">
      <c r="A357" s="38" t="n"/>
      <c r="B357" s="32" t="n"/>
      <c r="C357" s="31" t="n"/>
      <c r="D357" s="31" t="n"/>
      <c r="E357" s="31" t="n"/>
      <c r="F357" s="31" t="n"/>
      <c r="G357" s="36" t="n"/>
      <c r="H357" s="32" t="n"/>
      <c r="I357" s="32" t="n"/>
      <c r="J357" s="35">
        <f>IF(A357="","",MONTH(A357))</f>
        <v/>
      </c>
      <c r="K357" s="35">
        <f>IF(A357="","",YEAR(A357))</f>
        <v/>
      </c>
    </row>
    <row r="358">
      <c r="A358" s="38" t="n"/>
      <c r="B358" s="32" t="n"/>
      <c r="C358" s="31" t="n"/>
      <c r="D358" s="31" t="n"/>
      <c r="E358" s="31" t="n"/>
      <c r="F358" s="31" t="n"/>
      <c r="G358" s="36" t="n"/>
      <c r="H358" s="32" t="n"/>
      <c r="I358" s="32" t="n"/>
      <c r="J358" s="35">
        <f>IF(A358="","",MONTH(A358))</f>
        <v/>
      </c>
      <c r="K358" s="35">
        <f>IF(A358="","",YEAR(A358))</f>
        <v/>
      </c>
    </row>
    <row r="359">
      <c r="A359" s="38" t="n"/>
      <c r="B359" s="32" t="n"/>
      <c r="C359" s="31" t="n"/>
      <c r="D359" s="31" t="n"/>
      <c r="E359" s="31" t="n"/>
      <c r="F359" s="31" t="n"/>
      <c r="G359" s="36" t="n"/>
      <c r="H359" s="32" t="n"/>
      <c r="I359" s="32" t="n"/>
      <c r="J359" s="35">
        <f>IF(A359="","",MONTH(A359))</f>
        <v/>
      </c>
      <c r="K359" s="35">
        <f>IF(A359="","",YEAR(A359))</f>
        <v/>
      </c>
    </row>
    <row r="360">
      <c r="A360" s="38" t="n"/>
      <c r="B360" s="32" t="n"/>
      <c r="C360" s="31" t="n"/>
      <c r="D360" s="31" t="n"/>
      <c r="E360" s="31" t="n"/>
      <c r="F360" s="31" t="n"/>
      <c r="G360" s="36" t="n"/>
      <c r="H360" s="32" t="n"/>
      <c r="I360" s="32" t="n"/>
      <c r="J360" s="35">
        <f>IF(A360="","",MONTH(A360))</f>
        <v/>
      </c>
      <c r="K360" s="35">
        <f>IF(A360="","",YEAR(A360))</f>
        <v/>
      </c>
    </row>
    <row r="361">
      <c r="A361" s="38" t="n"/>
      <c r="B361" s="32" t="n"/>
      <c r="C361" s="31" t="n"/>
      <c r="D361" s="31" t="n"/>
      <c r="E361" s="31" t="n"/>
      <c r="F361" s="31" t="n"/>
      <c r="G361" s="36" t="n"/>
      <c r="H361" s="32" t="n"/>
      <c r="I361" s="32" t="n"/>
      <c r="J361" s="35">
        <f>IF(A361="","",MONTH(A361))</f>
        <v/>
      </c>
      <c r="K361" s="35">
        <f>IF(A361="","",YEAR(A361))</f>
        <v/>
      </c>
    </row>
    <row r="362">
      <c r="A362" s="38" t="n"/>
      <c r="B362" s="32" t="n"/>
      <c r="C362" s="31" t="n"/>
      <c r="D362" s="31" t="n"/>
      <c r="E362" s="31" t="n"/>
      <c r="F362" s="31" t="n"/>
      <c r="G362" s="36" t="n"/>
      <c r="H362" s="32" t="n"/>
      <c r="I362" s="32" t="n"/>
      <c r="J362" s="35">
        <f>IF(A362="","",MONTH(A362))</f>
        <v/>
      </c>
      <c r="K362" s="35">
        <f>IF(A362="","",YEAR(A362))</f>
        <v/>
      </c>
    </row>
    <row r="363">
      <c r="A363" s="38" t="n"/>
      <c r="B363" s="32" t="n"/>
      <c r="C363" s="31" t="n"/>
      <c r="D363" s="31" t="n"/>
      <c r="E363" s="31" t="n"/>
      <c r="F363" s="31" t="n"/>
      <c r="G363" s="36" t="n"/>
      <c r="H363" s="32" t="n"/>
      <c r="I363" s="32" t="n"/>
      <c r="J363" s="35">
        <f>IF(A363="","",MONTH(A363))</f>
        <v/>
      </c>
      <c r="K363" s="35">
        <f>IF(A363="","",YEAR(A363))</f>
        <v/>
      </c>
    </row>
    <row r="364">
      <c r="A364" s="38" t="n"/>
      <c r="B364" s="32" t="n"/>
      <c r="C364" s="31" t="n"/>
      <c r="D364" s="31" t="n"/>
      <c r="E364" s="31" t="n"/>
      <c r="F364" s="31" t="n"/>
      <c r="G364" s="36" t="n"/>
      <c r="H364" s="32" t="n"/>
      <c r="I364" s="32" t="n"/>
      <c r="J364" s="35">
        <f>IF(A364="","",MONTH(A364))</f>
        <v/>
      </c>
      <c r="K364" s="35">
        <f>IF(A364="","",YEAR(A364))</f>
        <v/>
      </c>
    </row>
    <row r="365">
      <c r="A365" s="38" t="n"/>
      <c r="B365" s="32" t="n"/>
      <c r="C365" s="31" t="n"/>
      <c r="D365" s="31" t="n"/>
      <c r="E365" s="31" t="n"/>
      <c r="F365" s="31" t="n"/>
      <c r="G365" s="36" t="n"/>
      <c r="H365" s="32" t="n"/>
      <c r="I365" s="32" t="n"/>
      <c r="J365" s="35">
        <f>IF(A365="","",MONTH(A365))</f>
        <v/>
      </c>
      <c r="K365" s="35">
        <f>IF(A365="","",YEAR(A365))</f>
        <v/>
      </c>
    </row>
    <row r="366">
      <c r="A366" s="38" t="n"/>
      <c r="B366" s="32" t="n"/>
      <c r="C366" s="31" t="n"/>
      <c r="D366" s="31" t="n"/>
      <c r="E366" s="31" t="n"/>
      <c r="F366" s="31" t="n"/>
      <c r="G366" s="36" t="n"/>
      <c r="H366" s="32" t="n"/>
      <c r="I366" s="32" t="n"/>
      <c r="J366" s="35">
        <f>IF(A366="","",MONTH(A366))</f>
        <v/>
      </c>
      <c r="K366" s="35">
        <f>IF(A366="","",YEAR(A366))</f>
        <v/>
      </c>
    </row>
    <row r="367">
      <c r="A367" s="38" t="n"/>
      <c r="B367" s="32" t="n"/>
      <c r="C367" s="31" t="n"/>
      <c r="D367" s="31" t="n"/>
      <c r="E367" s="31" t="n"/>
      <c r="F367" s="31" t="n"/>
      <c r="G367" s="36" t="n"/>
      <c r="H367" s="32" t="n"/>
      <c r="I367" s="32" t="n"/>
      <c r="J367" s="35">
        <f>IF(A367="","",MONTH(A367))</f>
        <v/>
      </c>
      <c r="K367" s="35">
        <f>IF(A367="","",YEAR(A367))</f>
        <v/>
      </c>
    </row>
    <row r="368">
      <c r="A368" s="38" t="n"/>
      <c r="B368" s="32" t="n"/>
      <c r="C368" s="31" t="n"/>
      <c r="D368" s="31" t="n"/>
      <c r="E368" s="31" t="n"/>
      <c r="F368" s="31" t="n"/>
      <c r="G368" s="36" t="n"/>
      <c r="H368" s="32" t="n"/>
      <c r="I368" s="32" t="n"/>
      <c r="J368" s="35">
        <f>IF(A368="","",MONTH(A368))</f>
        <v/>
      </c>
      <c r="K368" s="35">
        <f>IF(A368="","",YEAR(A368))</f>
        <v/>
      </c>
    </row>
    <row r="369">
      <c r="A369" s="38" t="n"/>
      <c r="B369" s="32" t="n"/>
      <c r="C369" s="31" t="n"/>
      <c r="D369" s="31" t="n"/>
      <c r="E369" s="31" t="n"/>
      <c r="F369" s="31" t="n"/>
      <c r="G369" s="36" t="n"/>
      <c r="H369" s="32" t="n"/>
      <c r="I369" s="32" t="n"/>
      <c r="J369" s="35">
        <f>IF(A369="","",MONTH(A369))</f>
        <v/>
      </c>
      <c r="K369" s="35">
        <f>IF(A369="","",YEAR(A369))</f>
        <v/>
      </c>
    </row>
    <row r="370">
      <c r="A370" s="38" t="n"/>
      <c r="B370" s="32" t="n"/>
      <c r="C370" s="31" t="n"/>
      <c r="D370" s="31" t="n"/>
      <c r="E370" s="31" t="n"/>
      <c r="F370" s="31" t="n"/>
      <c r="G370" s="36" t="n"/>
      <c r="H370" s="32" t="n"/>
      <c r="I370" s="32" t="n"/>
      <c r="J370" s="35">
        <f>IF(A370="","",MONTH(A370))</f>
        <v/>
      </c>
      <c r="K370" s="35">
        <f>IF(A370="","",YEAR(A370))</f>
        <v/>
      </c>
    </row>
    <row r="371">
      <c r="A371" s="38" t="n"/>
      <c r="B371" s="32" t="n"/>
      <c r="C371" s="31" t="n"/>
      <c r="D371" s="31" t="n"/>
      <c r="E371" s="31" t="n"/>
      <c r="F371" s="31" t="n"/>
      <c r="G371" s="36" t="n"/>
      <c r="H371" s="32" t="n"/>
      <c r="I371" s="32" t="n"/>
      <c r="J371" s="35">
        <f>IF(A371="","",MONTH(A371))</f>
        <v/>
      </c>
      <c r="K371" s="35">
        <f>IF(A371="","",YEAR(A371))</f>
        <v/>
      </c>
    </row>
    <row r="372">
      <c r="A372" s="38" t="n"/>
      <c r="B372" s="32" t="n"/>
      <c r="C372" s="31" t="n"/>
      <c r="D372" s="31" t="n"/>
      <c r="E372" s="31" t="n"/>
      <c r="F372" s="31" t="n"/>
      <c r="G372" s="36" t="n"/>
      <c r="H372" s="32" t="n"/>
      <c r="I372" s="32" t="n"/>
      <c r="J372" s="35">
        <f>IF(A372="","",MONTH(A372))</f>
        <v/>
      </c>
      <c r="K372" s="35">
        <f>IF(A372="","",YEAR(A372))</f>
        <v/>
      </c>
    </row>
    <row r="373">
      <c r="A373" s="38" t="n"/>
      <c r="B373" s="32" t="n"/>
      <c r="C373" s="31" t="n"/>
      <c r="D373" s="31" t="n"/>
      <c r="E373" s="31" t="n"/>
      <c r="F373" s="31" t="n"/>
      <c r="G373" s="36" t="n"/>
      <c r="H373" s="32" t="n"/>
      <c r="I373" s="32" t="n"/>
      <c r="J373" s="35">
        <f>IF(A373="","",MONTH(A373))</f>
        <v/>
      </c>
      <c r="K373" s="35">
        <f>IF(A373="","",YEAR(A373))</f>
        <v/>
      </c>
    </row>
    <row r="374">
      <c r="A374" s="38" t="n"/>
      <c r="B374" s="32" t="n"/>
      <c r="C374" s="31" t="n"/>
      <c r="D374" s="31" t="n"/>
      <c r="E374" s="31" t="n"/>
      <c r="F374" s="31" t="n"/>
      <c r="G374" s="36" t="n"/>
      <c r="H374" s="32" t="n"/>
      <c r="I374" s="32" t="n"/>
      <c r="J374" s="35">
        <f>IF(A374="","",MONTH(A374))</f>
        <v/>
      </c>
      <c r="K374" s="35">
        <f>IF(A374="","",YEAR(A374))</f>
        <v/>
      </c>
    </row>
    <row r="375">
      <c r="A375" s="38" t="n"/>
      <c r="B375" s="32" t="n"/>
      <c r="C375" s="31" t="n"/>
      <c r="D375" s="31" t="n"/>
      <c r="E375" s="31" t="n"/>
      <c r="F375" s="31" t="n"/>
      <c r="G375" s="36" t="n"/>
      <c r="H375" s="32" t="n"/>
      <c r="I375" s="32" t="n"/>
      <c r="J375" s="35">
        <f>IF(A375="","",MONTH(A375))</f>
        <v/>
      </c>
      <c r="K375" s="35">
        <f>IF(A375="","",YEAR(A375))</f>
        <v/>
      </c>
    </row>
    <row r="376">
      <c r="A376" s="38" t="n"/>
      <c r="B376" s="32" t="n"/>
      <c r="C376" s="31" t="n"/>
      <c r="D376" s="31" t="n"/>
      <c r="E376" s="31" t="n"/>
      <c r="F376" s="31" t="n"/>
      <c r="G376" s="36" t="n"/>
      <c r="H376" s="32" t="n"/>
      <c r="I376" s="32" t="n"/>
      <c r="J376" s="35">
        <f>IF(A376="","",MONTH(A376))</f>
        <v/>
      </c>
      <c r="K376" s="35">
        <f>IF(A376="","",YEAR(A376))</f>
        <v/>
      </c>
    </row>
    <row r="377">
      <c r="A377" s="38" t="n"/>
      <c r="B377" s="32" t="n"/>
      <c r="C377" s="31" t="n"/>
      <c r="D377" s="31" t="n"/>
      <c r="E377" s="31" t="n"/>
      <c r="F377" s="31" t="n"/>
      <c r="G377" s="36" t="n"/>
      <c r="H377" s="32" t="n"/>
      <c r="I377" s="32" t="n"/>
      <c r="J377" s="35">
        <f>IF(A377="","",MONTH(A377))</f>
        <v/>
      </c>
      <c r="K377" s="35">
        <f>IF(A377="","",YEAR(A377))</f>
        <v/>
      </c>
    </row>
    <row r="378">
      <c r="A378" s="38" t="n"/>
      <c r="B378" s="32" t="n"/>
      <c r="C378" s="31" t="n"/>
      <c r="D378" s="31" t="n"/>
      <c r="E378" s="31" t="n"/>
      <c r="F378" s="31" t="n"/>
      <c r="G378" s="36" t="n"/>
      <c r="H378" s="32" t="n"/>
      <c r="I378" s="32" t="n"/>
      <c r="J378" s="35">
        <f>IF(A378="","",MONTH(A378))</f>
        <v/>
      </c>
      <c r="K378" s="35">
        <f>IF(A378="","",YEAR(A378))</f>
        <v/>
      </c>
    </row>
    <row r="379">
      <c r="A379" s="38" t="n"/>
      <c r="B379" s="32" t="n"/>
      <c r="C379" s="31" t="n"/>
      <c r="D379" s="31" t="n"/>
      <c r="E379" s="31" t="n"/>
      <c r="F379" s="31" t="n"/>
      <c r="G379" s="36" t="n"/>
      <c r="H379" s="32" t="n"/>
      <c r="I379" s="32" t="n"/>
      <c r="J379" s="35">
        <f>IF(A379="","",MONTH(A379))</f>
        <v/>
      </c>
      <c r="K379" s="35">
        <f>IF(A379="","",YEAR(A379))</f>
        <v/>
      </c>
    </row>
    <row r="380">
      <c r="A380" s="38" t="n"/>
      <c r="B380" s="32" t="n"/>
      <c r="C380" s="31" t="n"/>
      <c r="D380" s="31" t="n"/>
      <c r="E380" s="31" t="n"/>
      <c r="F380" s="31" t="n"/>
      <c r="G380" s="36" t="n"/>
      <c r="H380" s="32" t="n"/>
      <c r="I380" s="32" t="n"/>
      <c r="J380" s="35">
        <f>IF(A380="","",MONTH(A380))</f>
        <v/>
      </c>
      <c r="K380" s="35">
        <f>IF(A380="","",YEAR(A380))</f>
        <v/>
      </c>
    </row>
    <row r="381">
      <c r="A381" s="38" t="n"/>
      <c r="B381" s="32" t="n"/>
      <c r="C381" s="31" t="n"/>
      <c r="D381" s="31" t="n"/>
      <c r="E381" s="31" t="n"/>
      <c r="F381" s="31" t="n"/>
      <c r="G381" s="36" t="n"/>
      <c r="H381" s="32" t="n"/>
      <c r="I381" s="32" t="n"/>
      <c r="J381" s="35">
        <f>IF(A381="","",MONTH(A381))</f>
        <v/>
      </c>
      <c r="K381" s="35">
        <f>IF(A381="","",YEAR(A381))</f>
        <v/>
      </c>
    </row>
    <row r="382">
      <c r="A382" s="38" t="n"/>
      <c r="B382" s="32" t="n"/>
      <c r="C382" s="31" t="n"/>
      <c r="D382" s="31" t="n"/>
      <c r="E382" s="31" t="n"/>
      <c r="F382" s="31" t="n"/>
      <c r="G382" s="36" t="n"/>
      <c r="H382" s="32" t="n"/>
      <c r="I382" s="32" t="n"/>
      <c r="J382" s="35">
        <f>IF(A382="","",MONTH(A382))</f>
        <v/>
      </c>
      <c r="K382" s="35">
        <f>IF(A382="","",YEAR(A382))</f>
        <v/>
      </c>
    </row>
    <row r="383">
      <c r="A383" s="38" t="n"/>
      <c r="B383" s="32" t="n"/>
      <c r="C383" s="31" t="n"/>
      <c r="D383" s="31" t="n"/>
      <c r="E383" s="31" t="n"/>
      <c r="F383" s="31" t="n"/>
      <c r="G383" s="36" t="n"/>
      <c r="H383" s="32" t="n"/>
      <c r="I383" s="32" t="n"/>
      <c r="J383" s="35">
        <f>IF(A383="","",MONTH(A383))</f>
        <v/>
      </c>
      <c r="K383" s="35">
        <f>IF(A383="","",YEAR(A383))</f>
        <v/>
      </c>
    </row>
    <row r="384">
      <c r="A384" s="38" t="n"/>
      <c r="B384" s="32" t="n"/>
      <c r="C384" s="31" t="n"/>
      <c r="D384" s="31" t="n"/>
      <c r="E384" s="31" t="n"/>
      <c r="F384" s="31" t="n"/>
      <c r="G384" s="36" t="n"/>
      <c r="H384" s="32" t="n"/>
      <c r="I384" s="32" t="n"/>
      <c r="J384" s="35">
        <f>IF(A384="","",MONTH(A384))</f>
        <v/>
      </c>
      <c r="K384" s="35">
        <f>IF(A384="","",YEAR(A384))</f>
        <v/>
      </c>
    </row>
    <row r="385">
      <c r="A385" s="38" t="n"/>
      <c r="B385" s="32" t="n"/>
      <c r="C385" s="31" t="n"/>
      <c r="D385" s="31" t="n"/>
      <c r="E385" s="31" t="n"/>
      <c r="F385" s="31" t="n"/>
      <c r="G385" s="36" t="n"/>
      <c r="H385" s="32" t="n"/>
      <c r="I385" s="32" t="n"/>
      <c r="J385" s="35">
        <f>IF(A385="","",MONTH(A385))</f>
        <v/>
      </c>
      <c r="K385" s="35">
        <f>IF(A385="","",YEAR(A385))</f>
        <v/>
      </c>
    </row>
    <row r="386">
      <c r="A386" s="38" t="n"/>
      <c r="B386" s="32" t="n"/>
      <c r="C386" s="31" t="n"/>
      <c r="D386" s="31" t="n"/>
      <c r="E386" s="31" t="n"/>
      <c r="F386" s="31" t="n"/>
      <c r="G386" s="36" t="n"/>
      <c r="H386" s="32" t="n"/>
      <c r="I386" s="32" t="n"/>
      <c r="J386" s="35">
        <f>IF(A386="","",MONTH(A386))</f>
        <v/>
      </c>
      <c r="K386" s="35">
        <f>IF(A386="","",YEAR(A386))</f>
        <v/>
      </c>
    </row>
    <row r="387">
      <c r="A387" s="38" t="n"/>
      <c r="B387" s="32" t="n"/>
      <c r="C387" s="31" t="n"/>
      <c r="D387" s="31" t="n"/>
      <c r="E387" s="31" t="n"/>
      <c r="F387" s="31" t="n"/>
      <c r="G387" s="36" t="n"/>
      <c r="H387" s="32" t="n"/>
      <c r="I387" s="32" t="n"/>
      <c r="J387" s="35">
        <f>IF(A387="","",MONTH(A387))</f>
        <v/>
      </c>
      <c r="K387" s="35">
        <f>IF(A387="","",YEAR(A387))</f>
        <v/>
      </c>
    </row>
    <row r="388">
      <c r="A388" s="38" t="n"/>
      <c r="B388" s="32" t="n"/>
      <c r="C388" s="31" t="n"/>
      <c r="D388" s="31" t="n"/>
      <c r="E388" s="31" t="n"/>
      <c r="F388" s="31" t="n"/>
      <c r="G388" s="36" t="n"/>
      <c r="H388" s="32" t="n"/>
      <c r="I388" s="32" t="n"/>
      <c r="J388" s="35">
        <f>IF(A388="","",MONTH(A388))</f>
        <v/>
      </c>
      <c r="K388" s="35">
        <f>IF(A388="","",YEAR(A388))</f>
        <v/>
      </c>
    </row>
    <row r="389">
      <c r="A389" s="38" t="n"/>
      <c r="B389" s="32" t="n"/>
      <c r="C389" s="31" t="n"/>
      <c r="D389" s="31" t="n"/>
      <c r="E389" s="31" t="n"/>
      <c r="F389" s="31" t="n"/>
      <c r="G389" s="36" t="n"/>
      <c r="H389" s="32" t="n"/>
      <c r="I389" s="32" t="n"/>
      <c r="J389" s="35">
        <f>IF(A389="","",MONTH(A389))</f>
        <v/>
      </c>
      <c r="K389" s="35">
        <f>IF(A389="","",YEAR(A389))</f>
        <v/>
      </c>
    </row>
    <row r="390">
      <c r="A390" s="38" t="n"/>
      <c r="B390" s="32" t="n"/>
      <c r="C390" s="31" t="n"/>
      <c r="D390" s="31" t="n"/>
      <c r="E390" s="31" t="n"/>
      <c r="F390" s="31" t="n"/>
      <c r="G390" s="36" t="n"/>
      <c r="H390" s="32" t="n"/>
      <c r="I390" s="32" t="n"/>
      <c r="J390" s="35">
        <f>IF(A390="","",MONTH(A390))</f>
        <v/>
      </c>
      <c r="K390" s="35">
        <f>IF(A390="","",YEAR(A390))</f>
        <v/>
      </c>
    </row>
    <row r="391">
      <c r="A391" s="38" t="n"/>
      <c r="B391" s="32" t="n"/>
      <c r="C391" s="31" t="n"/>
      <c r="D391" s="31" t="n"/>
      <c r="E391" s="31" t="n"/>
      <c r="F391" s="31" t="n"/>
      <c r="G391" s="36" t="n"/>
      <c r="H391" s="32" t="n"/>
      <c r="I391" s="32" t="n"/>
      <c r="J391" s="35">
        <f>IF(A391="","",MONTH(A391))</f>
        <v/>
      </c>
      <c r="K391" s="35">
        <f>IF(A391="","",YEAR(A391))</f>
        <v/>
      </c>
    </row>
    <row r="392">
      <c r="A392" s="38" t="n"/>
      <c r="B392" s="32" t="n"/>
      <c r="C392" s="31" t="n"/>
      <c r="D392" s="31" t="n"/>
      <c r="E392" s="31" t="n"/>
      <c r="F392" s="31" t="n"/>
      <c r="G392" s="36" t="n"/>
      <c r="H392" s="32" t="n"/>
      <c r="I392" s="32" t="n"/>
      <c r="J392" s="35">
        <f>IF(A392="","",MONTH(A392))</f>
        <v/>
      </c>
      <c r="K392" s="35">
        <f>IF(A392="","",YEAR(A392))</f>
        <v/>
      </c>
    </row>
    <row r="393">
      <c r="A393" s="38" t="n"/>
      <c r="B393" s="32" t="n"/>
      <c r="C393" s="31" t="n"/>
      <c r="D393" s="31" t="n"/>
      <c r="E393" s="31" t="n"/>
      <c r="F393" s="31" t="n"/>
      <c r="G393" s="36" t="n"/>
      <c r="H393" s="32" t="n"/>
      <c r="I393" s="32" t="n"/>
      <c r="J393" s="35">
        <f>IF(A393="","",MONTH(A393))</f>
        <v/>
      </c>
      <c r="K393" s="35">
        <f>IF(A393="","",YEAR(A393))</f>
        <v/>
      </c>
    </row>
    <row r="394">
      <c r="A394" s="38" t="n"/>
      <c r="B394" s="32" t="n"/>
      <c r="C394" s="31" t="n"/>
      <c r="D394" s="31" t="n"/>
      <c r="E394" s="31" t="n"/>
      <c r="F394" s="31" t="n"/>
      <c r="G394" s="36" t="n"/>
      <c r="H394" s="32" t="n"/>
      <c r="I394" s="32" t="n"/>
      <c r="J394" s="35">
        <f>IF(A394="","",MONTH(A394))</f>
        <v/>
      </c>
      <c r="K394" s="35">
        <f>IF(A394="","",YEAR(A394))</f>
        <v/>
      </c>
    </row>
    <row r="395">
      <c r="A395" s="38" t="n"/>
      <c r="B395" s="32" t="n"/>
      <c r="C395" s="31" t="n"/>
      <c r="D395" s="31" t="n"/>
      <c r="E395" s="31" t="n"/>
      <c r="F395" s="31" t="n"/>
      <c r="G395" s="36" t="n"/>
      <c r="H395" s="32" t="n"/>
      <c r="I395" s="32" t="n"/>
      <c r="J395" s="35">
        <f>IF(A395="","",MONTH(A395))</f>
        <v/>
      </c>
      <c r="K395" s="35">
        <f>IF(A395="","",YEAR(A395))</f>
        <v/>
      </c>
    </row>
    <row r="396">
      <c r="A396" s="38" t="n"/>
      <c r="B396" s="32" t="n"/>
      <c r="C396" s="31" t="n"/>
      <c r="D396" s="31" t="n"/>
      <c r="E396" s="31" t="n"/>
      <c r="F396" s="31" t="n"/>
      <c r="G396" s="36" t="n"/>
      <c r="H396" s="32" t="n"/>
      <c r="I396" s="32" t="n"/>
      <c r="J396" s="35">
        <f>IF(A396="","",MONTH(A396))</f>
        <v/>
      </c>
      <c r="K396" s="35">
        <f>IF(A396="","",YEAR(A396))</f>
        <v/>
      </c>
    </row>
    <row r="397">
      <c r="A397" s="38" t="n"/>
      <c r="B397" s="32" t="n"/>
      <c r="C397" s="31" t="n"/>
      <c r="D397" s="31" t="n"/>
      <c r="E397" s="31" t="n"/>
      <c r="F397" s="31" t="n"/>
      <c r="G397" s="36" t="n"/>
      <c r="H397" s="32" t="n"/>
      <c r="I397" s="32" t="n"/>
      <c r="J397" s="35">
        <f>IF(A397="","",MONTH(A397))</f>
        <v/>
      </c>
      <c r="K397" s="35">
        <f>IF(A397="","",YEAR(A397))</f>
        <v/>
      </c>
    </row>
    <row r="398">
      <c r="A398" s="38" t="n"/>
      <c r="B398" s="32" t="n"/>
      <c r="C398" s="31" t="n"/>
      <c r="D398" s="31" t="n"/>
      <c r="E398" s="31" t="n"/>
      <c r="F398" s="31" t="n"/>
      <c r="G398" s="36" t="n"/>
      <c r="H398" s="32" t="n"/>
      <c r="I398" s="32" t="n"/>
      <c r="J398" s="35">
        <f>IF(A398="","",MONTH(A398))</f>
        <v/>
      </c>
      <c r="K398" s="35">
        <f>IF(A398="","",YEAR(A398))</f>
        <v/>
      </c>
    </row>
    <row r="399">
      <c r="A399" s="38" t="n"/>
      <c r="B399" s="32" t="n"/>
      <c r="C399" s="31" t="n"/>
      <c r="D399" s="31" t="n"/>
      <c r="E399" s="31" t="n"/>
      <c r="F399" s="31" t="n"/>
      <c r="G399" s="36" t="n"/>
      <c r="H399" s="32" t="n"/>
      <c r="I399" s="32" t="n"/>
      <c r="J399" s="35">
        <f>IF(A399="","",MONTH(A399))</f>
        <v/>
      </c>
      <c r="K399" s="35">
        <f>IF(A399="","",YEAR(A399))</f>
        <v/>
      </c>
    </row>
    <row r="400">
      <c r="A400" s="38" t="n"/>
      <c r="B400" s="32" t="n"/>
      <c r="C400" s="31" t="n"/>
      <c r="D400" s="31" t="n"/>
      <c r="E400" s="31" t="n"/>
      <c r="F400" s="31" t="n"/>
      <c r="G400" s="36" t="n"/>
      <c r="H400" s="32" t="n"/>
      <c r="I400" s="32" t="n"/>
      <c r="J400" s="35">
        <f>IF(A400="","",MONTH(A400))</f>
        <v/>
      </c>
      <c r="K400" s="35">
        <f>IF(A400="","",YEAR(A400))</f>
        <v/>
      </c>
    </row>
    <row r="401">
      <c r="A401" s="38" t="n"/>
      <c r="B401" s="32" t="n"/>
      <c r="C401" s="31" t="n"/>
      <c r="D401" s="31" t="n"/>
      <c r="E401" s="31" t="n"/>
      <c r="F401" s="31" t="n"/>
      <c r="G401" s="36" t="n"/>
      <c r="H401" s="32" t="n"/>
      <c r="I401" s="32" t="n"/>
      <c r="J401" s="35">
        <f>IF(A401="","",MONTH(A401))</f>
        <v/>
      </c>
      <c r="K401" s="35">
        <f>IF(A401="","",YEAR(A401))</f>
        <v/>
      </c>
    </row>
    <row r="402">
      <c r="A402" s="38" t="n"/>
      <c r="B402" s="32" t="n"/>
      <c r="C402" s="31" t="n"/>
      <c r="D402" s="31" t="n"/>
      <c r="E402" s="31" t="n"/>
      <c r="F402" s="31" t="n"/>
      <c r="G402" s="36" t="n"/>
      <c r="H402" s="32" t="n"/>
      <c r="I402" s="32" t="n"/>
      <c r="J402" s="35">
        <f>IF(A402="","",MONTH(A402))</f>
        <v/>
      </c>
      <c r="K402" s="35">
        <f>IF(A402="","",YEAR(A402))</f>
        <v/>
      </c>
    </row>
    <row r="403">
      <c r="A403" s="38" t="n"/>
      <c r="B403" s="32" t="n"/>
      <c r="C403" s="31" t="n"/>
      <c r="D403" s="31" t="n"/>
      <c r="E403" s="31" t="n"/>
      <c r="F403" s="31" t="n"/>
      <c r="G403" s="36" t="n"/>
      <c r="H403" s="32" t="n"/>
      <c r="I403" s="32" t="n"/>
      <c r="J403" s="35">
        <f>IF(A403="","",MONTH(A403))</f>
        <v/>
      </c>
      <c r="K403" s="35">
        <f>IF(A403="","",YEAR(A403))</f>
        <v/>
      </c>
    </row>
    <row r="404">
      <c r="A404" s="38" t="n"/>
      <c r="B404" s="32" t="n"/>
      <c r="C404" s="31" t="n"/>
      <c r="D404" s="31" t="n"/>
      <c r="E404" s="31" t="n"/>
      <c r="F404" s="31" t="n"/>
      <c r="G404" s="36" t="n"/>
      <c r="H404" s="32" t="n"/>
      <c r="I404" s="32" t="n"/>
      <c r="J404" s="35">
        <f>IF(A404="","",MONTH(A404))</f>
        <v/>
      </c>
      <c r="K404" s="35">
        <f>IF(A404="","",YEAR(A404))</f>
        <v/>
      </c>
    </row>
    <row r="405">
      <c r="A405" s="38" t="n"/>
      <c r="B405" s="32" t="n"/>
      <c r="C405" s="31" t="n"/>
      <c r="D405" s="31" t="n"/>
      <c r="E405" s="31" t="n"/>
      <c r="F405" s="31" t="n"/>
      <c r="G405" s="36" t="n"/>
      <c r="H405" s="32" t="n"/>
      <c r="I405" s="32" t="n"/>
      <c r="J405" s="35">
        <f>IF(A405="","",MONTH(A405))</f>
        <v/>
      </c>
      <c r="K405" s="35">
        <f>IF(A405="","",YEAR(A405))</f>
        <v/>
      </c>
    </row>
    <row r="406">
      <c r="A406" s="38" t="n"/>
      <c r="B406" s="32" t="n"/>
      <c r="C406" s="31" t="n"/>
      <c r="D406" s="31" t="n"/>
      <c r="E406" s="31" t="n"/>
      <c r="F406" s="31" t="n"/>
      <c r="G406" s="36" t="n"/>
      <c r="H406" s="32" t="n"/>
      <c r="I406" s="32" t="n"/>
      <c r="J406" s="35">
        <f>IF(A406="","",MONTH(A406))</f>
        <v/>
      </c>
      <c r="K406" s="35">
        <f>IF(A406="","",YEAR(A406))</f>
        <v/>
      </c>
    </row>
    <row r="407">
      <c r="A407" s="38" t="n"/>
      <c r="B407" s="32" t="n"/>
      <c r="C407" s="31" t="n"/>
      <c r="D407" s="31" t="n"/>
      <c r="E407" s="31" t="n"/>
      <c r="F407" s="31" t="n"/>
      <c r="G407" s="36" t="n"/>
      <c r="H407" s="32" t="n"/>
      <c r="I407" s="32" t="n"/>
      <c r="J407" s="35">
        <f>IF(A407="","",MONTH(A407))</f>
        <v/>
      </c>
      <c r="K407" s="35">
        <f>IF(A407="","",YEAR(A407))</f>
        <v/>
      </c>
    </row>
    <row r="408">
      <c r="A408" s="38" t="n"/>
      <c r="B408" s="32" t="n"/>
      <c r="C408" s="31" t="n"/>
      <c r="D408" s="31" t="n"/>
      <c r="E408" s="31" t="n"/>
      <c r="F408" s="31" t="n"/>
      <c r="G408" s="36" t="n"/>
      <c r="H408" s="32" t="n"/>
      <c r="I408" s="32" t="n"/>
      <c r="J408" s="35">
        <f>IF(A408="","",MONTH(A408))</f>
        <v/>
      </c>
      <c r="K408" s="35">
        <f>IF(A408="","",YEAR(A408))</f>
        <v/>
      </c>
    </row>
    <row r="409">
      <c r="A409" s="38" t="n"/>
      <c r="B409" s="32" t="n"/>
      <c r="C409" s="31" t="n"/>
      <c r="D409" s="31" t="n"/>
      <c r="E409" s="31" t="n"/>
      <c r="F409" s="31" t="n"/>
      <c r="G409" s="36" t="n"/>
      <c r="H409" s="32" t="n"/>
      <c r="I409" s="32" t="n"/>
      <c r="J409" s="35">
        <f>IF(A409="","",MONTH(A409))</f>
        <v/>
      </c>
      <c r="K409" s="35">
        <f>IF(A409="","",YEAR(A409))</f>
        <v/>
      </c>
    </row>
    <row r="410">
      <c r="A410" s="38" t="n"/>
      <c r="B410" s="32" t="n"/>
      <c r="C410" s="31" t="n"/>
      <c r="D410" s="31" t="n"/>
      <c r="E410" s="31" t="n"/>
      <c r="F410" s="31" t="n"/>
      <c r="G410" s="36" t="n"/>
      <c r="H410" s="32" t="n"/>
      <c r="I410" s="32" t="n"/>
      <c r="J410" s="35">
        <f>IF(A410="","",MONTH(A410))</f>
        <v/>
      </c>
      <c r="K410" s="35">
        <f>IF(A410="","",YEAR(A410))</f>
        <v/>
      </c>
    </row>
    <row r="411">
      <c r="A411" s="38" t="n"/>
      <c r="B411" s="32" t="n"/>
      <c r="C411" s="31" t="n"/>
      <c r="D411" s="31" t="n"/>
      <c r="E411" s="31" t="n"/>
      <c r="F411" s="31" t="n"/>
      <c r="G411" s="36" t="n"/>
      <c r="H411" s="32" t="n"/>
      <c r="I411" s="32" t="n"/>
      <c r="J411" s="35">
        <f>IF(A411="","",MONTH(A411))</f>
        <v/>
      </c>
      <c r="K411" s="35">
        <f>IF(A411="","",YEAR(A411))</f>
        <v/>
      </c>
    </row>
    <row r="412">
      <c r="A412" s="38" t="n"/>
      <c r="B412" s="32" t="n"/>
      <c r="C412" s="31" t="n"/>
      <c r="D412" s="31" t="n"/>
      <c r="E412" s="31" t="n"/>
      <c r="F412" s="31" t="n"/>
      <c r="G412" s="36" t="n"/>
      <c r="H412" s="32" t="n"/>
      <c r="I412" s="32" t="n"/>
      <c r="J412" s="35">
        <f>IF(A412="","",MONTH(A412))</f>
        <v/>
      </c>
      <c r="K412" s="35">
        <f>IF(A412="","",YEAR(A412))</f>
        <v/>
      </c>
    </row>
    <row r="413">
      <c r="A413" s="38" t="n"/>
      <c r="B413" s="32" t="n"/>
      <c r="C413" s="31" t="n"/>
      <c r="D413" s="31" t="n"/>
      <c r="E413" s="31" t="n"/>
      <c r="F413" s="31" t="n"/>
      <c r="G413" s="36" t="n"/>
      <c r="H413" s="32" t="n"/>
      <c r="I413" s="32" t="n"/>
      <c r="J413" s="35">
        <f>IF(A413="","",MONTH(A413))</f>
        <v/>
      </c>
      <c r="K413" s="35">
        <f>IF(A413="","",YEAR(A413))</f>
        <v/>
      </c>
    </row>
    <row r="414">
      <c r="A414" s="38" t="n"/>
      <c r="B414" s="32" t="n"/>
      <c r="C414" s="31" t="n"/>
      <c r="D414" s="31" t="n"/>
      <c r="E414" s="31" t="n"/>
      <c r="F414" s="31" t="n"/>
      <c r="G414" s="36" t="n"/>
      <c r="H414" s="32" t="n"/>
      <c r="I414" s="32" t="n"/>
      <c r="J414" s="35">
        <f>IF(A414="","",MONTH(A414))</f>
        <v/>
      </c>
      <c r="K414" s="35">
        <f>IF(A414="","",YEAR(A414))</f>
        <v/>
      </c>
    </row>
    <row r="415">
      <c r="A415" s="38" t="n"/>
      <c r="B415" s="32" t="n"/>
      <c r="C415" s="31" t="n"/>
      <c r="D415" s="31" t="n"/>
      <c r="E415" s="31" t="n"/>
      <c r="F415" s="31" t="n"/>
      <c r="G415" s="36" t="n"/>
      <c r="H415" s="32" t="n"/>
      <c r="I415" s="32" t="n"/>
      <c r="J415" s="35">
        <f>IF(A415="","",MONTH(A415))</f>
        <v/>
      </c>
      <c r="K415" s="35">
        <f>IF(A415="","",YEAR(A415))</f>
        <v/>
      </c>
    </row>
    <row r="416">
      <c r="A416" s="38" t="n"/>
      <c r="B416" s="32" t="n"/>
      <c r="C416" s="31" t="n"/>
      <c r="D416" s="31" t="n"/>
      <c r="E416" s="31" t="n"/>
      <c r="F416" s="31" t="n"/>
      <c r="G416" s="36" t="n"/>
      <c r="H416" s="32" t="n"/>
      <c r="I416" s="32" t="n"/>
      <c r="J416" s="35">
        <f>IF(A416="","",MONTH(A416))</f>
        <v/>
      </c>
      <c r="K416" s="35">
        <f>IF(A416="","",YEAR(A416))</f>
        <v/>
      </c>
    </row>
    <row r="417">
      <c r="A417" s="38" t="n"/>
      <c r="B417" s="32" t="n"/>
      <c r="C417" s="31" t="n"/>
      <c r="D417" s="31" t="n"/>
      <c r="E417" s="31" t="n"/>
      <c r="F417" s="31" t="n"/>
      <c r="G417" s="36" t="n"/>
      <c r="H417" s="32" t="n"/>
      <c r="I417" s="32" t="n"/>
      <c r="J417" s="35">
        <f>IF(A417="","",MONTH(A417))</f>
        <v/>
      </c>
      <c r="K417" s="35">
        <f>IF(A417="","",YEAR(A417))</f>
        <v/>
      </c>
    </row>
    <row r="418">
      <c r="A418" s="38" t="n"/>
      <c r="B418" s="32" t="n"/>
      <c r="C418" s="31" t="n"/>
      <c r="D418" s="31" t="n"/>
      <c r="E418" s="31" t="n"/>
      <c r="F418" s="31" t="n"/>
      <c r="G418" s="36" t="n"/>
      <c r="H418" s="32" t="n"/>
      <c r="I418" s="32" t="n"/>
      <c r="J418" s="35">
        <f>IF(A418="","",MONTH(A418))</f>
        <v/>
      </c>
      <c r="K418" s="35">
        <f>IF(A418="","",YEAR(A418))</f>
        <v/>
      </c>
    </row>
    <row r="419">
      <c r="A419" s="38" t="n"/>
      <c r="B419" s="32" t="n"/>
      <c r="C419" s="31" t="n"/>
      <c r="D419" s="31" t="n"/>
      <c r="E419" s="31" t="n"/>
      <c r="F419" s="31" t="n"/>
      <c r="G419" s="36" t="n"/>
      <c r="H419" s="32" t="n"/>
      <c r="I419" s="32" t="n"/>
      <c r="J419" s="35">
        <f>IF(A419="","",MONTH(A419))</f>
        <v/>
      </c>
      <c r="K419" s="35">
        <f>IF(A419="","",YEAR(A419))</f>
        <v/>
      </c>
    </row>
    <row r="420">
      <c r="A420" s="38" t="n"/>
      <c r="B420" s="32" t="n"/>
      <c r="C420" s="31" t="n"/>
      <c r="D420" s="31" t="n"/>
      <c r="E420" s="31" t="n"/>
      <c r="F420" s="31" t="n"/>
      <c r="G420" s="36" t="n"/>
      <c r="H420" s="32" t="n"/>
      <c r="I420" s="32" t="n"/>
      <c r="J420" s="35">
        <f>IF(A420="","",MONTH(A420))</f>
        <v/>
      </c>
      <c r="K420" s="35">
        <f>IF(A420="","",YEAR(A420))</f>
        <v/>
      </c>
    </row>
    <row r="421">
      <c r="A421" s="38" t="n"/>
      <c r="B421" s="32" t="n"/>
      <c r="C421" s="31" t="n"/>
      <c r="D421" s="31" t="n"/>
      <c r="E421" s="31" t="n"/>
      <c r="F421" s="31" t="n"/>
      <c r="G421" s="36" t="n"/>
      <c r="H421" s="32" t="n"/>
      <c r="I421" s="32" t="n"/>
      <c r="J421" s="35">
        <f>IF(A421="","",MONTH(A421))</f>
        <v/>
      </c>
      <c r="K421" s="35">
        <f>IF(A421="","",YEAR(A421))</f>
        <v/>
      </c>
    </row>
    <row r="422">
      <c r="A422" s="38" t="n"/>
      <c r="B422" s="32" t="n"/>
      <c r="C422" s="31" t="n"/>
      <c r="D422" s="31" t="n"/>
      <c r="E422" s="31" t="n"/>
      <c r="F422" s="31" t="n"/>
      <c r="G422" s="36" t="n"/>
      <c r="H422" s="32" t="n"/>
      <c r="I422" s="32" t="n"/>
      <c r="J422" s="35">
        <f>IF(A422="","",MONTH(A422))</f>
        <v/>
      </c>
      <c r="K422" s="35">
        <f>IF(A422="","",YEAR(A422))</f>
        <v/>
      </c>
    </row>
    <row r="423">
      <c r="A423" s="38" t="n"/>
      <c r="B423" s="32" t="n"/>
      <c r="C423" s="31" t="n"/>
      <c r="D423" s="31" t="n"/>
      <c r="E423" s="31" t="n"/>
      <c r="F423" s="31" t="n"/>
      <c r="G423" s="36" t="n"/>
      <c r="H423" s="32" t="n"/>
      <c r="I423" s="32" t="n"/>
      <c r="J423" s="35">
        <f>IF(A423="","",MONTH(A423))</f>
        <v/>
      </c>
      <c r="K423" s="35">
        <f>IF(A423="","",YEAR(A423))</f>
        <v/>
      </c>
    </row>
    <row r="424">
      <c r="A424" s="38" t="n"/>
      <c r="B424" s="32" t="n"/>
      <c r="C424" s="31" t="n"/>
      <c r="D424" s="31" t="n"/>
      <c r="E424" s="31" t="n"/>
      <c r="F424" s="31" t="n"/>
      <c r="G424" s="36" t="n"/>
      <c r="H424" s="32" t="n"/>
      <c r="I424" s="32" t="n"/>
      <c r="J424" s="35">
        <f>IF(A424="","",MONTH(A424))</f>
        <v/>
      </c>
      <c r="K424" s="35">
        <f>IF(A424="","",YEAR(A424))</f>
        <v/>
      </c>
    </row>
    <row r="425">
      <c r="A425" s="38" t="n"/>
      <c r="B425" s="32" t="n"/>
      <c r="C425" s="31" t="n"/>
      <c r="D425" s="31" t="n"/>
      <c r="E425" s="31" t="n"/>
      <c r="F425" s="31" t="n"/>
      <c r="G425" s="36" t="n"/>
      <c r="H425" s="32" t="n"/>
      <c r="I425" s="32" t="n"/>
      <c r="J425" s="35">
        <f>IF(A425="","",MONTH(A425))</f>
        <v/>
      </c>
      <c r="K425" s="35">
        <f>IF(A425="","",YEAR(A425))</f>
        <v/>
      </c>
    </row>
    <row r="426">
      <c r="A426" s="38" t="n"/>
      <c r="B426" s="32" t="n"/>
      <c r="C426" s="31" t="n"/>
      <c r="D426" s="31" t="n"/>
      <c r="E426" s="31" t="n"/>
      <c r="F426" s="31" t="n"/>
      <c r="G426" s="36" t="n"/>
      <c r="H426" s="32" t="n"/>
      <c r="I426" s="32" t="n"/>
      <c r="J426" s="35">
        <f>IF(A426="","",MONTH(A426))</f>
        <v/>
      </c>
      <c r="K426" s="35">
        <f>IF(A426="","",YEAR(A426))</f>
        <v/>
      </c>
    </row>
    <row r="427">
      <c r="A427" s="38" t="n"/>
      <c r="B427" s="32" t="n"/>
      <c r="C427" s="31" t="n"/>
      <c r="D427" s="31" t="n"/>
      <c r="E427" s="31" t="n"/>
      <c r="F427" s="31" t="n"/>
      <c r="G427" s="36" t="n"/>
      <c r="H427" s="32" t="n"/>
      <c r="I427" s="32" t="n"/>
      <c r="J427" s="35">
        <f>IF(A427="","",MONTH(A427))</f>
        <v/>
      </c>
      <c r="K427" s="35">
        <f>IF(A427="","",YEAR(A427))</f>
        <v/>
      </c>
    </row>
    <row r="428">
      <c r="A428" s="38" t="n"/>
      <c r="B428" s="32" t="n"/>
      <c r="C428" s="31" t="n"/>
      <c r="D428" s="31" t="n"/>
      <c r="E428" s="31" t="n"/>
      <c r="F428" s="31" t="n"/>
      <c r="G428" s="36" t="n"/>
      <c r="H428" s="32" t="n"/>
      <c r="I428" s="32" t="n"/>
      <c r="J428" s="35">
        <f>IF(A428="","",MONTH(A428))</f>
        <v/>
      </c>
      <c r="K428" s="35">
        <f>IF(A428="","",YEAR(A428))</f>
        <v/>
      </c>
    </row>
    <row r="429">
      <c r="A429" s="38" t="n"/>
      <c r="B429" s="32" t="n"/>
      <c r="C429" s="31" t="n"/>
      <c r="D429" s="31" t="n"/>
      <c r="E429" s="31" t="n"/>
      <c r="F429" s="31" t="n"/>
      <c r="G429" s="36" t="n"/>
      <c r="H429" s="32" t="n"/>
      <c r="I429" s="32" t="n"/>
      <c r="J429" s="35">
        <f>IF(A429="","",MONTH(A429))</f>
        <v/>
      </c>
      <c r="K429" s="35">
        <f>IF(A429="","",YEAR(A429))</f>
        <v/>
      </c>
    </row>
    <row r="430">
      <c r="A430" s="38" t="n"/>
      <c r="B430" s="32" t="n"/>
      <c r="C430" s="31" t="n"/>
      <c r="D430" s="31" t="n"/>
      <c r="E430" s="31" t="n"/>
      <c r="F430" s="31" t="n"/>
      <c r="G430" s="36" t="n"/>
      <c r="H430" s="32" t="n"/>
      <c r="I430" s="32" t="n"/>
      <c r="J430" s="35">
        <f>IF(A430="","",MONTH(A430))</f>
        <v/>
      </c>
      <c r="K430" s="35">
        <f>IF(A430="","",YEAR(A430))</f>
        <v/>
      </c>
    </row>
    <row r="431">
      <c r="A431" s="38" t="n"/>
      <c r="B431" s="32" t="n"/>
      <c r="C431" s="31" t="n"/>
      <c r="D431" s="31" t="n"/>
      <c r="E431" s="31" t="n"/>
      <c r="F431" s="31" t="n"/>
      <c r="G431" s="36" t="n"/>
      <c r="H431" s="32" t="n"/>
      <c r="I431" s="32" t="n"/>
      <c r="J431" s="35">
        <f>IF(A431="","",MONTH(A431))</f>
        <v/>
      </c>
      <c r="K431" s="35">
        <f>IF(A431="","",YEAR(A431))</f>
        <v/>
      </c>
    </row>
    <row r="432">
      <c r="A432" s="38" t="n"/>
      <c r="B432" s="32" t="n"/>
      <c r="C432" s="31" t="n"/>
      <c r="D432" s="31" t="n"/>
      <c r="E432" s="31" t="n"/>
      <c r="F432" s="31" t="n"/>
      <c r="G432" s="36" t="n"/>
      <c r="H432" s="32" t="n"/>
      <c r="I432" s="32" t="n"/>
      <c r="J432" s="35">
        <f>IF(A432="","",MONTH(A432))</f>
        <v/>
      </c>
      <c r="K432" s="35">
        <f>IF(A432="","",YEAR(A432))</f>
        <v/>
      </c>
    </row>
    <row r="433">
      <c r="A433" s="38" t="n"/>
      <c r="B433" s="32" t="n"/>
      <c r="C433" s="31" t="n"/>
      <c r="D433" s="31" t="n"/>
      <c r="E433" s="31" t="n"/>
      <c r="F433" s="31" t="n"/>
      <c r="G433" s="36" t="n"/>
      <c r="H433" s="32" t="n"/>
      <c r="I433" s="32" t="n"/>
      <c r="J433" s="35">
        <f>IF(A433="","",MONTH(A433))</f>
        <v/>
      </c>
      <c r="K433" s="35">
        <f>IF(A433="","",YEAR(A433))</f>
        <v/>
      </c>
    </row>
    <row r="434">
      <c r="A434" s="38" t="n"/>
      <c r="B434" s="32" t="n"/>
      <c r="C434" s="31" t="n"/>
      <c r="D434" s="31" t="n"/>
      <c r="E434" s="31" t="n"/>
      <c r="F434" s="31" t="n"/>
      <c r="G434" s="36" t="n"/>
      <c r="H434" s="32" t="n"/>
      <c r="I434" s="32" t="n"/>
      <c r="J434" s="35">
        <f>IF(A434="","",MONTH(A434))</f>
        <v/>
      </c>
      <c r="K434" s="35">
        <f>IF(A434="","",YEAR(A434))</f>
        <v/>
      </c>
    </row>
    <row r="435">
      <c r="A435" s="38" t="n"/>
      <c r="B435" s="32" t="n"/>
      <c r="C435" s="31" t="n"/>
      <c r="D435" s="31" t="n"/>
      <c r="E435" s="31" t="n"/>
      <c r="F435" s="31" t="n"/>
      <c r="G435" s="36" t="n"/>
      <c r="H435" s="32" t="n"/>
      <c r="I435" s="32" t="n"/>
      <c r="J435" s="35">
        <f>IF(A435="","",MONTH(A435))</f>
        <v/>
      </c>
      <c r="K435" s="35">
        <f>IF(A435="","",YEAR(A435))</f>
        <v/>
      </c>
    </row>
    <row r="436">
      <c r="A436" s="38" t="n"/>
      <c r="B436" s="32" t="n"/>
      <c r="C436" s="31" t="n"/>
      <c r="D436" s="31" t="n"/>
      <c r="E436" s="31" t="n"/>
      <c r="F436" s="31" t="n"/>
      <c r="G436" s="36" t="n"/>
      <c r="H436" s="32" t="n"/>
      <c r="I436" s="32" t="n"/>
      <c r="J436" s="35">
        <f>IF(A436="","",MONTH(A436))</f>
        <v/>
      </c>
      <c r="K436" s="35">
        <f>IF(A436="","",YEAR(A436))</f>
        <v/>
      </c>
    </row>
    <row r="437">
      <c r="A437" s="38" t="n"/>
      <c r="B437" s="32" t="n"/>
      <c r="C437" s="31" t="n"/>
      <c r="D437" s="31" t="n"/>
      <c r="E437" s="31" t="n"/>
      <c r="F437" s="31" t="n"/>
      <c r="G437" s="36" t="n"/>
      <c r="H437" s="32" t="n"/>
      <c r="I437" s="32" t="n"/>
      <c r="J437" s="35">
        <f>IF(A437="","",MONTH(A437))</f>
        <v/>
      </c>
      <c r="K437" s="35">
        <f>IF(A437="","",YEAR(A437))</f>
        <v/>
      </c>
    </row>
    <row r="438">
      <c r="A438" s="38" t="n"/>
      <c r="B438" s="32" t="n"/>
      <c r="C438" s="31" t="n"/>
      <c r="D438" s="31" t="n"/>
      <c r="E438" s="31" t="n"/>
      <c r="F438" s="31" t="n"/>
      <c r="G438" s="36" t="n"/>
      <c r="H438" s="32" t="n"/>
      <c r="I438" s="32" t="n"/>
      <c r="J438" s="35">
        <f>IF(A438="","",MONTH(A438))</f>
        <v/>
      </c>
      <c r="K438" s="35">
        <f>IF(A438="","",YEAR(A438))</f>
        <v/>
      </c>
    </row>
    <row r="439">
      <c r="A439" s="38" t="n"/>
      <c r="B439" s="32" t="n"/>
      <c r="C439" s="31" t="n"/>
      <c r="D439" s="31" t="n"/>
      <c r="E439" s="31" t="n"/>
      <c r="F439" s="31" t="n"/>
      <c r="G439" s="36" t="n"/>
      <c r="H439" s="32" t="n"/>
      <c r="I439" s="32" t="n"/>
      <c r="J439" s="35">
        <f>IF(A439="","",MONTH(A439))</f>
        <v/>
      </c>
      <c r="K439" s="35">
        <f>IF(A439="","",YEAR(A439))</f>
        <v/>
      </c>
    </row>
    <row r="440">
      <c r="A440" s="38" t="n"/>
      <c r="B440" s="32" t="n"/>
      <c r="C440" s="31" t="n"/>
      <c r="D440" s="31" t="n"/>
      <c r="E440" s="31" t="n"/>
      <c r="F440" s="31" t="n"/>
      <c r="G440" s="36" t="n"/>
      <c r="H440" s="32" t="n"/>
      <c r="I440" s="32" t="n"/>
      <c r="J440" s="35">
        <f>IF(A440="","",MONTH(A440))</f>
        <v/>
      </c>
      <c r="K440" s="35">
        <f>IF(A440="","",YEAR(A440))</f>
        <v/>
      </c>
    </row>
    <row r="441">
      <c r="A441" s="38" t="n"/>
      <c r="B441" s="32" t="n"/>
      <c r="C441" s="31" t="n"/>
      <c r="D441" s="31" t="n"/>
      <c r="E441" s="31" t="n"/>
      <c r="F441" s="31" t="n"/>
      <c r="G441" s="36" t="n"/>
      <c r="H441" s="32" t="n"/>
      <c r="I441" s="32" t="n"/>
      <c r="J441" s="35">
        <f>IF(A441="","",MONTH(A441))</f>
        <v/>
      </c>
      <c r="K441" s="35">
        <f>IF(A441="","",YEAR(A441))</f>
        <v/>
      </c>
    </row>
    <row r="442">
      <c r="A442" s="38" t="n"/>
      <c r="B442" s="32" t="n"/>
      <c r="C442" s="31" t="n"/>
      <c r="D442" s="31" t="n"/>
      <c r="E442" s="31" t="n"/>
      <c r="F442" s="31" t="n"/>
      <c r="G442" s="36" t="n"/>
      <c r="H442" s="32" t="n"/>
      <c r="I442" s="32" t="n"/>
      <c r="J442" s="35">
        <f>IF(A442="","",MONTH(A442))</f>
        <v/>
      </c>
      <c r="K442" s="35">
        <f>IF(A442="","",YEAR(A442))</f>
        <v/>
      </c>
    </row>
    <row r="443">
      <c r="A443" s="38" t="n"/>
      <c r="B443" s="32" t="n"/>
      <c r="C443" s="31" t="n"/>
      <c r="D443" s="31" t="n"/>
      <c r="E443" s="31" t="n"/>
      <c r="F443" s="31" t="n"/>
      <c r="G443" s="36" t="n"/>
      <c r="H443" s="32" t="n"/>
      <c r="I443" s="32" t="n"/>
      <c r="J443" s="35">
        <f>IF(A443="","",MONTH(A443))</f>
        <v/>
      </c>
      <c r="K443" s="35">
        <f>IF(A443="","",YEAR(A443))</f>
        <v/>
      </c>
    </row>
    <row r="444">
      <c r="A444" s="38" t="n"/>
      <c r="B444" s="32" t="n"/>
      <c r="C444" s="31" t="n"/>
      <c r="D444" s="31" t="n"/>
      <c r="E444" s="31" t="n"/>
      <c r="F444" s="31" t="n"/>
      <c r="G444" s="36" t="n"/>
      <c r="H444" s="32" t="n"/>
      <c r="I444" s="32" t="n"/>
      <c r="J444" s="35">
        <f>IF(A444="","",MONTH(A444))</f>
        <v/>
      </c>
      <c r="K444" s="35">
        <f>IF(A444="","",YEAR(A444))</f>
        <v/>
      </c>
    </row>
    <row r="445">
      <c r="A445" s="38" t="n"/>
      <c r="B445" s="32" t="n"/>
      <c r="C445" s="31" t="n"/>
      <c r="D445" s="31" t="n"/>
      <c r="E445" s="31" t="n"/>
      <c r="F445" s="31" t="n"/>
      <c r="G445" s="36" t="n"/>
      <c r="H445" s="32" t="n"/>
      <c r="I445" s="32" t="n"/>
      <c r="J445" s="35">
        <f>IF(A445="","",MONTH(A445))</f>
        <v/>
      </c>
      <c r="K445" s="35">
        <f>IF(A445="","",YEAR(A445))</f>
        <v/>
      </c>
    </row>
    <row r="446">
      <c r="A446" s="38" t="n"/>
      <c r="B446" s="32" t="n"/>
      <c r="C446" s="31" t="n"/>
      <c r="D446" s="31" t="n"/>
      <c r="E446" s="31" t="n"/>
      <c r="F446" s="31" t="n"/>
      <c r="G446" s="36" t="n"/>
      <c r="H446" s="32" t="n"/>
      <c r="I446" s="32" t="n"/>
      <c r="J446" s="35">
        <f>IF(A446="","",MONTH(A446))</f>
        <v/>
      </c>
      <c r="K446" s="35">
        <f>IF(A446="","",YEAR(A446))</f>
        <v/>
      </c>
    </row>
    <row r="447">
      <c r="A447" s="38" t="n"/>
      <c r="B447" s="32" t="n"/>
      <c r="C447" s="31" t="n"/>
      <c r="D447" s="31" t="n"/>
      <c r="E447" s="31" t="n"/>
      <c r="F447" s="31" t="n"/>
      <c r="G447" s="36" t="n"/>
      <c r="H447" s="32" t="n"/>
      <c r="I447" s="32" t="n"/>
      <c r="J447" s="35">
        <f>IF(A447="","",MONTH(A447))</f>
        <v/>
      </c>
      <c r="K447" s="35">
        <f>IF(A447="","",YEAR(A447))</f>
        <v/>
      </c>
    </row>
    <row r="448">
      <c r="A448" s="38" t="n"/>
      <c r="B448" s="32" t="n"/>
      <c r="C448" s="31" t="n"/>
      <c r="D448" s="31" t="n"/>
      <c r="E448" s="31" t="n"/>
      <c r="F448" s="31" t="n"/>
      <c r="G448" s="36" t="n"/>
      <c r="H448" s="32" t="n"/>
      <c r="I448" s="32" t="n"/>
      <c r="J448" s="35">
        <f>IF(A448="","",MONTH(A448))</f>
        <v/>
      </c>
      <c r="K448" s="35">
        <f>IF(A448="","",YEAR(A448))</f>
        <v/>
      </c>
    </row>
    <row r="449">
      <c r="A449" s="38" t="n"/>
      <c r="B449" s="32" t="n"/>
      <c r="C449" s="31" t="n"/>
      <c r="D449" s="31" t="n"/>
      <c r="E449" s="31" t="n"/>
      <c r="F449" s="31" t="n"/>
      <c r="G449" s="36" t="n"/>
      <c r="H449" s="32" t="n"/>
      <c r="I449" s="32" t="n"/>
      <c r="J449" s="35">
        <f>IF(A449="","",MONTH(A449))</f>
        <v/>
      </c>
      <c r="K449" s="35">
        <f>IF(A449="","",YEAR(A449))</f>
        <v/>
      </c>
    </row>
    <row r="450">
      <c r="A450" s="38" t="n"/>
      <c r="B450" s="32" t="n"/>
      <c r="C450" s="31" t="n"/>
      <c r="D450" s="31" t="n"/>
      <c r="E450" s="31" t="n"/>
      <c r="F450" s="31" t="n"/>
      <c r="G450" s="36" t="n"/>
      <c r="H450" s="32" t="n"/>
      <c r="I450" s="32" t="n"/>
      <c r="J450" s="35">
        <f>IF(A450="","",MONTH(A450))</f>
        <v/>
      </c>
      <c r="K450" s="35">
        <f>IF(A450="","",YEAR(A450))</f>
        <v/>
      </c>
    </row>
    <row r="451">
      <c r="A451" s="38" t="n"/>
      <c r="B451" s="32" t="n"/>
      <c r="C451" s="31" t="n"/>
      <c r="D451" s="31" t="n"/>
      <c r="E451" s="31" t="n"/>
      <c r="F451" s="31" t="n"/>
      <c r="G451" s="36" t="n"/>
      <c r="H451" s="32" t="n"/>
      <c r="I451" s="32" t="n"/>
      <c r="J451" s="35">
        <f>IF(A451="","",MONTH(A451))</f>
        <v/>
      </c>
      <c r="K451" s="35">
        <f>IF(A451="","",YEAR(A451))</f>
        <v/>
      </c>
    </row>
    <row r="452">
      <c r="A452" s="38" t="n"/>
      <c r="B452" s="32" t="n"/>
      <c r="C452" s="31" t="n"/>
      <c r="D452" s="31" t="n"/>
      <c r="E452" s="31" t="n"/>
      <c r="F452" s="31" t="n"/>
      <c r="G452" s="36" t="n"/>
      <c r="H452" s="32" t="n"/>
      <c r="I452" s="32" t="n"/>
      <c r="J452" s="35">
        <f>IF(A452="","",MONTH(A452))</f>
        <v/>
      </c>
      <c r="K452" s="35">
        <f>IF(A452="","",YEAR(A452))</f>
        <v/>
      </c>
    </row>
    <row r="453">
      <c r="A453" s="38" t="n"/>
      <c r="B453" s="32" t="n"/>
      <c r="C453" s="31" t="n"/>
      <c r="D453" s="31" t="n"/>
      <c r="E453" s="31" t="n"/>
      <c r="F453" s="31" t="n"/>
      <c r="G453" s="36" t="n"/>
      <c r="H453" s="32" t="n"/>
      <c r="I453" s="32" t="n"/>
      <c r="J453" s="35">
        <f>IF(A453="","",MONTH(A453))</f>
        <v/>
      </c>
      <c r="K453" s="35">
        <f>IF(A453="","",YEAR(A453))</f>
        <v/>
      </c>
    </row>
    <row r="454">
      <c r="A454" s="38" t="n"/>
      <c r="B454" s="32" t="n"/>
      <c r="C454" s="31" t="n"/>
      <c r="D454" s="31" t="n"/>
      <c r="E454" s="31" t="n"/>
      <c r="F454" s="31" t="n"/>
      <c r="G454" s="36" t="n"/>
      <c r="H454" s="32" t="n"/>
      <c r="I454" s="32" t="n"/>
      <c r="J454" s="35">
        <f>IF(A454="","",MONTH(A454))</f>
        <v/>
      </c>
      <c r="K454" s="35">
        <f>IF(A454="","",YEAR(A454))</f>
        <v/>
      </c>
    </row>
    <row r="455">
      <c r="A455" s="38" t="n"/>
      <c r="B455" s="32" t="n"/>
      <c r="C455" s="31" t="n"/>
      <c r="D455" s="31" t="n"/>
      <c r="E455" s="31" t="n"/>
      <c r="F455" s="31" t="n"/>
      <c r="G455" s="36" t="n"/>
      <c r="H455" s="32" t="n"/>
      <c r="I455" s="32" t="n"/>
      <c r="J455" s="35">
        <f>IF(A455="","",MONTH(A455))</f>
        <v/>
      </c>
      <c r="K455" s="35">
        <f>IF(A455="","",YEAR(A455))</f>
        <v/>
      </c>
    </row>
    <row r="456">
      <c r="A456" s="38" t="n"/>
      <c r="B456" s="32" t="n"/>
      <c r="C456" s="31" t="n"/>
      <c r="D456" s="31" t="n"/>
      <c r="E456" s="31" t="n"/>
      <c r="F456" s="31" t="n"/>
      <c r="G456" s="36" t="n"/>
      <c r="H456" s="32" t="n"/>
      <c r="I456" s="32" t="n"/>
      <c r="J456" s="35">
        <f>IF(A456="","",MONTH(A456))</f>
        <v/>
      </c>
      <c r="K456" s="35">
        <f>IF(A456="","",YEAR(A456))</f>
        <v/>
      </c>
    </row>
    <row r="457">
      <c r="A457" s="38" t="n"/>
      <c r="B457" s="32" t="n"/>
      <c r="C457" s="31" t="n"/>
      <c r="D457" s="31" t="n"/>
      <c r="E457" s="31" t="n"/>
      <c r="F457" s="31" t="n"/>
      <c r="G457" s="36" t="n"/>
      <c r="H457" s="32" t="n"/>
      <c r="I457" s="32" t="n"/>
      <c r="J457" s="35">
        <f>IF(A457="","",MONTH(A457))</f>
        <v/>
      </c>
      <c r="K457" s="35">
        <f>IF(A457="","",YEAR(A457))</f>
        <v/>
      </c>
    </row>
    <row r="458">
      <c r="A458" s="38" t="n"/>
      <c r="B458" s="32" t="n"/>
      <c r="C458" s="31" t="n"/>
      <c r="D458" s="31" t="n"/>
      <c r="E458" s="31" t="n"/>
      <c r="F458" s="31" t="n"/>
      <c r="G458" s="36" t="n"/>
      <c r="H458" s="32" t="n"/>
      <c r="I458" s="32" t="n"/>
      <c r="J458" s="35">
        <f>IF(A458="","",MONTH(A458))</f>
        <v/>
      </c>
      <c r="K458" s="35">
        <f>IF(A458="","",YEAR(A458))</f>
        <v/>
      </c>
    </row>
    <row r="459">
      <c r="A459" s="38" t="n"/>
      <c r="B459" s="32" t="n"/>
      <c r="C459" s="31" t="n"/>
      <c r="D459" s="31" t="n"/>
      <c r="E459" s="31" t="n"/>
      <c r="F459" s="31" t="n"/>
      <c r="G459" s="36" t="n"/>
      <c r="H459" s="32" t="n"/>
      <c r="I459" s="32" t="n"/>
      <c r="J459" s="35">
        <f>IF(A459="","",MONTH(A459))</f>
        <v/>
      </c>
      <c r="K459" s="35">
        <f>IF(A459="","",YEAR(A459))</f>
        <v/>
      </c>
    </row>
    <row r="460">
      <c r="A460" s="38" t="n"/>
      <c r="B460" s="32" t="n"/>
      <c r="C460" s="31" t="n"/>
      <c r="D460" s="31" t="n"/>
      <c r="E460" s="31" t="n"/>
      <c r="F460" s="31" t="n"/>
      <c r="G460" s="36" t="n"/>
      <c r="H460" s="32" t="n"/>
      <c r="I460" s="32" t="n"/>
      <c r="J460" s="35">
        <f>IF(A460="","",MONTH(A460))</f>
        <v/>
      </c>
      <c r="K460" s="35">
        <f>IF(A460="","",YEAR(A460))</f>
        <v/>
      </c>
    </row>
    <row r="461">
      <c r="A461" s="38" t="n"/>
      <c r="B461" s="32" t="n"/>
      <c r="C461" s="31" t="n"/>
      <c r="D461" s="31" t="n"/>
      <c r="E461" s="31" t="n"/>
      <c r="F461" s="31" t="n"/>
      <c r="G461" s="36" t="n"/>
      <c r="H461" s="32" t="n"/>
      <c r="I461" s="32" t="n"/>
      <c r="J461" s="35">
        <f>IF(A461="","",MONTH(A461))</f>
        <v/>
      </c>
      <c r="K461" s="35">
        <f>IF(A461="","",YEAR(A461))</f>
        <v/>
      </c>
    </row>
    <row r="462">
      <c r="A462" s="38" t="n"/>
      <c r="B462" s="32" t="n"/>
      <c r="C462" s="31" t="n"/>
      <c r="D462" s="31" t="n"/>
      <c r="E462" s="31" t="n"/>
      <c r="F462" s="31" t="n"/>
      <c r="G462" s="36" t="n"/>
      <c r="H462" s="32" t="n"/>
      <c r="I462" s="32" t="n"/>
      <c r="J462" s="35">
        <f>IF(A462="","",MONTH(A462))</f>
        <v/>
      </c>
      <c r="K462" s="35">
        <f>IF(A462="","",YEAR(A462))</f>
        <v/>
      </c>
    </row>
    <row r="463">
      <c r="A463" s="38" t="n"/>
      <c r="B463" s="32" t="n"/>
      <c r="C463" s="31" t="n"/>
      <c r="D463" s="31" t="n"/>
      <c r="E463" s="31" t="n"/>
      <c r="F463" s="31" t="n"/>
      <c r="G463" s="36" t="n"/>
      <c r="H463" s="32" t="n"/>
      <c r="I463" s="32" t="n"/>
      <c r="J463" s="35">
        <f>IF(A463="","",MONTH(A463))</f>
        <v/>
      </c>
      <c r="K463" s="35">
        <f>IF(A463="","",YEAR(A463))</f>
        <v/>
      </c>
    </row>
    <row r="464">
      <c r="A464" s="38" t="n"/>
      <c r="B464" s="32" t="n"/>
      <c r="C464" s="31" t="n"/>
      <c r="D464" s="31" t="n"/>
      <c r="E464" s="31" t="n"/>
      <c r="F464" s="31" t="n"/>
      <c r="G464" s="36" t="n"/>
      <c r="H464" s="32" t="n"/>
      <c r="I464" s="32" t="n"/>
      <c r="J464" s="35">
        <f>IF(A464="","",MONTH(A464))</f>
        <v/>
      </c>
      <c r="K464" s="35">
        <f>IF(A464="","",YEAR(A464))</f>
        <v/>
      </c>
    </row>
    <row r="465">
      <c r="A465" s="38" t="n"/>
      <c r="B465" s="32" t="n"/>
      <c r="C465" s="31" t="n"/>
      <c r="D465" s="31" t="n"/>
      <c r="E465" s="31" t="n"/>
      <c r="F465" s="31" t="n"/>
      <c r="G465" s="36" t="n"/>
      <c r="H465" s="32" t="n"/>
      <c r="I465" s="32" t="n"/>
      <c r="J465" s="35">
        <f>IF(A465="","",MONTH(A465))</f>
        <v/>
      </c>
      <c r="K465" s="35">
        <f>IF(A465="","",YEAR(A465))</f>
        <v/>
      </c>
    </row>
    <row r="466">
      <c r="A466" s="38" t="n"/>
      <c r="B466" s="32" t="n"/>
      <c r="C466" s="31" t="n"/>
      <c r="D466" s="31" t="n"/>
      <c r="E466" s="31" t="n"/>
      <c r="F466" s="31" t="n"/>
      <c r="G466" s="36" t="n"/>
      <c r="H466" s="32" t="n"/>
      <c r="I466" s="32" t="n"/>
      <c r="J466" s="35">
        <f>IF(A466="","",MONTH(A466))</f>
        <v/>
      </c>
      <c r="K466" s="35">
        <f>IF(A466="","",YEAR(A466))</f>
        <v/>
      </c>
    </row>
    <row r="467">
      <c r="A467" s="38" t="n"/>
      <c r="B467" s="32" t="n"/>
      <c r="C467" s="31" t="n"/>
      <c r="D467" s="31" t="n"/>
      <c r="E467" s="31" t="n"/>
      <c r="F467" s="31" t="n"/>
      <c r="G467" s="36" t="n"/>
      <c r="H467" s="32" t="n"/>
      <c r="I467" s="32" t="n"/>
      <c r="J467" s="35">
        <f>IF(A467="","",MONTH(A467))</f>
        <v/>
      </c>
      <c r="K467" s="35">
        <f>IF(A467="","",YEAR(A467))</f>
        <v/>
      </c>
    </row>
    <row r="468">
      <c r="A468" s="38" t="n"/>
      <c r="B468" s="32" t="n"/>
      <c r="C468" s="31" t="n"/>
      <c r="D468" s="31" t="n"/>
      <c r="E468" s="31" t="n"/>
      <c r="F468" s="31" t="n"/>
      <c r="G468" s="36" t="n"/>
      <c r="H468" s="32" t="n"/>
      <c r="I468" s="32" t="n"/>
      <c r="J468" s="35">
        <f>IF(A468="","",MONTH(A468))</f>
        <v/>
      </c>
      <c r="K468" s="35">
        <f>IF(A468="","",YEAR(A468))</f>
        <v/>
      </c>
    </row>
    <row r="469">
      <c r="A469" s="38" t="n"/>
      <c r="B469" s="32" t="n"/>
      <c r="C469" s="31" t="n"/>
      <c r="D469" s="31" t="n"/>
      <c r="E469" s="31" t="n"/>
      <c r="F469" s="31" t="n"/>
      <c r="G469" s="36" t="n"/>
      <c r="H469" s="32" t="n"/>
      <c r="I469" s="32" t="n"/>
      <c r="J469" s="35">
        <f>IF(A469="","",MONTH(A469))</f>
        <v/>
      </c>
      <c r="K469" s="35">
        <f>IF(A469="","",YEAR(A469))</f>
        <v/>
      </c>
    </row>
    <row r="470">
      <c r="A470" s="38" t="n"/>
      <c r="B470" s="32" t="n"/>
      <c r="C470" s="31" t="n"/>
      <c r="D470" s="31" t="n"/>
      <c r="E470" s="31" t="n"/>
      <c r="F470" s="31" t="n"/>
      <c r="G470" s="36" t="n"/>
      <c r="H470" s="32" t="n"/>
      <c r="I470" s="32" t="n"/>
      <c r="J470" s="35">
        <f>IF(A470="","",MONTH(A470))</f>
        <v/>
      </c>
      <c r="K470" s="35">
        <f>IF(A470="","",YEAR(A470))</f>
        <v/>
      </c>
    </row>
    <row r="471">
      <c r="A471" s="38" t="n"/>
      <c r="B471" s="32" t="n"/>
      <c r="C471" s="31" t="n"/>
      <c r="D471" s="31" t="n"/>
      <c r="E471" s="31" t="n"/>
      <c r="F471" s="31" t="n"/>
      <c r="G471" s="36" t="n"/>
      <c r="H471" s="32" t="n"/>
      <c r="I471" s="32" t="n"/>
      <c r="J471" s="35">
        <f>IF(A471="","",MONTH(A471))</f>
        <v/>
      </c>
      <c r="K471" s="35">
        <f>IF(A471="","",YEAR(A471))</f>
        <v/>
      </c>
    </row>
    <row r="472">
      <c r="A472" s="38" t="n"/>
      <c r="B472" s="32" t="n"/>
      <c r="C472" s="31" t="n"/>
      <c r="D472" s="31" t="n"/>
      <c r="E472" s="31" t="n"/>
      <c r="F472" s="31" t="n"/>
      <c r="G472" s="36" t="n"/>
      <c r="H472" s="32" t="n"/>
      <c r="I472" s="32" t="n"/>
      <c r="J472" s="35">
        <f>IF(A472="","",MONTH(A472))</f>
        <v/>
      </c>
      <c r="K472" s="35">
        <f>IF(A472="","",YEAR(A472))</f>
        <v/>
      </c>
    </row>
    <row r="473">
      <c r="A473" s="38" t="n"/>
      <c r="B473" s="32" t="n"/>
      <c r="C473" s="31" t="n"/>
      <c r="D473" s="31" t="n"/>
      <c r="E473" s="31" t="n"/>
      <c r="F473" s="31" t="n"/>
      <c r="G473" s="36" t="n"/>
      <c r="H473" s="32" t="n"/>
      <c r="I473" s="32" t="n"/>
      <c r="J473" s="35">
        <f>IF(A473="","",MONTH(A473))</f>
        <v/>
      </c>
      <c r="K473" s="35">
        <f>IF(A473="","",YEAR(A473))</f>
        <v/>
      </c>
    </row>
    <row r="474">
      <c r="A474" s="38" t="n"/>
      <c r="B474" s="32" t="n"/>
      <c r="C474" s="31" t="n"/>
      <c r="D474" s="31" t="n"/>
      <c r="E474" s="31" t="n"/>
      <c r="F474" s="31" t="n"/>
      <c r="G474" s="36" t="n"/>
      <c r="H474" s="32" t="n"/>
      <c r="I474" s="32" t="n"/>
      <c r="J474" s="35">
        <f>IF(A474="","",MONTH(A474))</f>
        <v/>
      </c>
      <c r="K474" s="35">
        <f>IF(A474="","",YEAR(A474))</f>
        <v/>
      </c>
    </row>
    <row r="475">
      <c r="A475" s="38" t="n"/>
      <c r="B475" s="32" t="n"/>
      <c r="C475" s="31" t="n"/>
      <c r="D475" s="31" t="n"/>
      <c r="E475" s="31" t="n"/>
      <c r="F475" s="31" t="n"/>
      <c r="G475" s="36" t="n"/>
      <c r="H475" s="32" t="n"/>
      <c r="I475" s="32" t="n"/>
      <c r="J475" s="35">
        <f>IF(A475="","",MONTH(A475))</f>
        <v/>
      </c>
      <c r="K475" s="35">
        <f>IF(A475="","",YEAR(A475))</f>
        <v/>
      </c>
    </row>
    <row r="476">
      <c r="A476" s="38" t="n"/>
      <c r="B476" s="32" t="n"/>
      <c r="C476" s="31" t="n"/>
      <c r="D476" s="31" t="n"/>
      <c r="E476" s="31" t="n"/>
      <c r="F476" s="31" t="n"/>
      <c r="G476" s="36" t="n"/>
      <c r="H476" s="32" t="n"/>
      <c r="I476" s="32" t="n"/>
      <c r="J476" s="35">
        <f>IF(A476="","",MONTH(A476))</f>
        <v/>
      </c>
      <c r="K476" s="35">
        <f>IF(A476="","",YEAR(A476))</f>
        <v/>
      </c>
    </row>
    <row r="477">
      <c r="A477" s="38" t="n"/>
      <c r="B477" s="32" t="n"/>
      <c r="C477" s="31" t="n"/>
      <c r="D477" s="31" t="n"/>
      <c r="E477" s="31" t="n"/>
      <c r="F477" s="31" t="n"/>
      <c r="G477" s="36" t="n"/>
      <c r="H477" s="32" t="n"/>
      <c r="I477" s="32" t="n"/>
      <c r="J477" s="35">
        <f>IF(A477="","",MONTH(A477))</f>
        <v/>
      </c>
      <c r="K477" s="35">
        <f>IF(A477="","",YEAR(A477))</f>
        <v/>
      </c>
    </row>
    <row r="478">
      <c r="A478" s="38" t="n"/>
      <c r="B478" s="32" t="n"/>
      <c r="C478" s="31" t="n"/>
      <c r="D478" s="31" t="n"/>
      <c r="E478" s="31" t="n"/>
      <c r="F478" s="31" t="n"/>
      <c r="G478" s="36" t="n"/>
      <c r="H478" s="32" t="n"/>
      <c r="I478" s="32" t="n"/>
      <c r="J478" s="35">
        <f>IF(A478="","",MONTH(A478))</f>
        <v/>
      </c>
      <c r="K478" s="35">
        <f>IF(A478="","",YEAR(A478))</f>
        <v/>
      </c>
    </row>
    <row r="479">
      <c r="A479" s="38" t="n"/>
      <c r="B479" s="32" t="n"/>
      <c r="C479" s="31" t="n"/>
      <c r="D479" s="31" t="n"/>
      <c r="E479" s="31" t="n"/>
      <c r="F479" s="31" t="n"/>
      <c r="G479" s="36" t="n"/>
      <c r="H479" s="32" t="n"/>
      <c r="I479" s="32" t="n"/>
      <c r="J479" s="35">
        <f>IF(A479="","",MONTH(A479))</f>
        <v/>
      </c>
      <c r="K479" s="35">
        <f>IF(A479="","",YEAR(A479))</f>
        <v/>
      </c>
    </row>
    <row r="480">
      <c r="A480" s="38" t="n"/>
      <c r="B480" s="32" t="n"/>
      <c r="C480" s="31" t="n"/>
      <c r="D480" s="31" t="n"/>
      <c r="E480" s="31" t="n"/>
      <c r="F480" s="31" t="n"/>
      <c r="G480" s="36" t="n"/>
      <c r="H480" s="32" t="n"/>
      <c r="I480" s="32" t="n"/>
      <c r="J480" s="35">
        <f>IF(A480="","",MONTH(A480))</f>
        <v/>
      </c>
      <c r="K480" s="35">
        <f>IF(A480="","",YEAR(A480))</f>
        <v/>
      </c>
    </row>
    <row r="481">
      <c r="A481" s="38" t="n"/>
      <c r="B481" s="32" t="n"/>
      <c r="C481" s="31" t="n"/>
      <c r="D481" s="31" t="n"/>
      <c r="E481" s="31" t="n"/>
      <c r="F481" s="31" t="n"/>
      <c r="G481" s="36" t="n"/>
      <c r="H481" s="32" t="n"/>
      <c r="I481" s="32" t="n"/>
      <c r="J481" s="35">
        <f>IF(A481="","",MONTH(A481))</f>
        <v/>
      </c>
      <c r="K481" s="35">
        <f>IF(A481="","",YEAR(A481))</f>
        <v/>
      </c>
    </row>
    <row r="482">
      <c r="A482" s="38" t="n"/>
      <c r="B482" s="32" t="n"/>
      <c r="C482" s="31" t="n"/>
      <c r="D482" s="31" t="n"/>
      <c r="E482" s="31" t="n"/>
      <c r="F482" s="31" t="n"/>
      <c r="G482" s="36" t="n"/>
      <c r="H482" s="32" t="n"/>
      <c r="I482" s="32" t="n"/>
      <c r="J482" s="35">
        <f>IF(A482="","",MONTH(A482))</f>
        <v/>
      </c>
      <c r="K482" s="35">
        <f>IF(A482="","",YEAR(A482))</f>
        <v/>
      </c>
    </row>
    <row r="483">
      <c r="A483" s="38" t="n"/>
      <c r="B483" s="32" t="n"/>
      <c r="C483" s="31" t="n"/>
      <c r="D483" s="31" t="n"/>
      <c r="E483" s="31" t="n"/>
      <c r="F483" s="31" t="n"/>
      <c r="G483" s="36" t="n"/>
      <c r="H483" s="32" t="n"/>
      <c r="I483" s="32" t="n"/>
      <c r="J483" s="35">
        <f>IF(A483="","",MONTH(A483))</f>
        <v/>
      </c>
      <c r="K483" s="35">
        <f>IF(A483="","",YEAR(A483))</f>
        <v/>
      </c>
    </row>
    <row r="484">
      <c r="A484" s="38" t="n"/>
      <c r="B484" s="32" t="n"/>
      <c r="C484" s="31" t="n"/>
      <c r="D484" s="31" t="n"/>
      <c r="E484" s="31" t="n"/>
      <c r="F484" s="31" t="n"/>
      <c r="G484" s="36" t="n"/>
      <c r="H484" s="32" t="n"/>
      <c r="I484" s="32" t="n"/>
      <c r="J484" s="35">
        <f>IF(A484="","",MONTH(A484))</f>
        <v/>
      </c>
      <c r="K484" s="35">
        <f>IF(A484="","",YEAR(A484))</f>
        <v/>
      </c>
    </row>
    <row r="485">
      <c r="A485" s="38" t="n"/>
      <c r="B485" s="32" t="n"/>
      <c r="C485" s="31" t="n"/>
      <c r="D485" s="31" t="n"/>
      <c r="E485" s="31" t="n"/>
      <c r="F485" s="31" t="n"/>
      <c r="G485" s="36" t="n"/>
      <c r="H485" s="32" t="n"/>
      <c r="I485" s="32" t="n"/>
      <c r="J485" s="35">
        <f>IF(A485="","",MONTH(A485))</f>
        <v/>
      </c>
      <c r="K485" s="35">
        <f>IF(A485="","",YEAR(A485))</f>
        <v/>
      </c>
    </row>
    <row r="486">
      <c r="A486" s="38" t="n"/>
      <c r="B486" s="32" t="n"/>
      <c r="C486" s="31" t="n"/>
      <c r="D486" s="31" t="n"/>
      <c r="E486" s="31" t="n"/>
      <c r="F486" s="31" t="n"/>
      <c r="G486" s="36" t="n"/>
      <c r="H486" s="32" t="n"/>
      <c r="I486" s="32" t="n"/>
      <c r="J486" s="35">
        <f>IF(A486="","",MONTH(A486))</f>
        <v/>
      </c>
      <c r="K486" s="35">
        <f>IF(A486="","",YEAR(A486))</f>
        <v/>
      </c>
    </row>
    <row r="487">
      <c r="A487" s="38" t="n"/>
      <c r="B487" s="32" t="n"/>
      <c r="C487" s="31" t="n"/>
      <c r="D487" s="31" t="n"/>
      <c r="E487" s="31" t="n"/>
      <c r="F487" s="31" t="n"/>
      <c r="G487" s="36" t="n"/>
      <c r="H487" s="32" t="n"/>
      <c r="I487" s="32" t="n"/>
      <c r="J487" s="35">
        <f>IF(A487="","",MONTH(A487))</f>
        <v/>
      </c>
      <c r="K487" s="35">
        <f>IF(A487="","",YEAR(A487))</f>
        <v/>
      </c>
    </row>
    <row r="488">
      <c r="A488" s="38" t="n"/>
      <c r="B488" s="32" t="n"/>
      <c r="C488" s="31" t="n"/>
      <c r="D488" s="31" t="n"/>
      <c r="E488" s="31" t="n"/>
      <c r="F488" s="31" t="n"/>
      <c r="G488" s="36" t="n"/>
      <c r="H488" s="32" t="n"/>
      <c r="I488" s="32" t="n"/>
      <c r="J488" s="35">
        <f>IF(A488="","",MONTH(A488))</f>
        <v/>
      </c>
      <c r="K488" s="35">
        <f>IF(A488="","",YEAR(A488))</f>
        <v/>
      </c>
    </row>
    <row r="489">
      <c r="A489" s="38" t="n"/>
      <c r="B489" s="32" t="n"/>
      <c r="C489" s="31" t="n"/>
      <c r="D489" s="31" t="n"/>
      <c r="E489" s="31" t="n"/>
      <c r="F489" s="31" t="n"/>
      <c r="G489" s="36" t="n"/>
      <c r="H489" s="32" t="n"/>
      <c r="I489" s="32" t="n"/>
      <c r="J489" s="35">
        <f>IF(A489="","",MONTH(A489))</f>
        <v/>
      </c>
      <c r="K489" s="35">
        <f>IF(A489="","",YEAR(A489))</f>
        <v/>
      </c>
    </row>
    <row r="490">
      <c r="A490" s="38" t="n"/>
      <c r="B490" s="32" t="n"/>
      <c r="C490" s="31" t="n"/>
      <c r="D490" s="31" t="n"/>
      <c r="E490" s="31" t="n"/>
      <c r="F490" s="31" t="n"/>
      <c r="G490" s="36" t="n"/>
      <c r="H490" s="32" t="n"/>
      <c r="I490" s="32" t="n"/>
      <c r="J490" s="35">
        <f>IF(A490="","",MONTH(A490))</f>
        <v/>
      </c>
      <c r="K490" s="35">
        <f>IF(A490="","",YEAR(A490))</f>
        <v/>
      </c>
    </row>
    <row r="491">
      <c r="A491" s="38" t="n"/>
      <c r="B491" s="32" t="n"/>
      <c r="C491" s="31" t="n"/>
      <c r="D491" s="31" t="n"/>
      <c r="E491" s="31" t="n"/>
      <c r="F491" s="31" t="n"/>
      <c r="G491" s="36" t="n"/>
      <c r="H491" s="32" t="n"/>
      <c r="I491" s="32" t="n"/>
      <c r="J491" s="35">
        <f>IF(A491="","",MONTH(A491))</f>
        <v/>
      </c>
      <c r="K491" s="35">
        <f>IF(A491="","",YEAR(A491))</f>
        <v/>
      </c>
    </row>
    <row r="492">
      <c r="A492" s="38" t="n"/>
      <c r="B492" s="32" t="n"/>
      <c r="C492" s="31" t="n"/>
      <c r="D492" s="31" t="n"/>
      <c r="E492" s="31" t="n"/>
      <c r="F492" s="31" t="n"/>
      <c r="G492" s="36" t="n"/>
      <c r="H492" s="32" t="n"/>
      <c r="I492" s="32" t="n"/>
      <c r="J492" s="35">
        <f>IF(A492="","",MONTH(A492))</f>
        <v/>
      </c>
      <c r="K492" s="35">
        <f>IF(A492="","",YEAR(A492))</f>
        <v/>
      </c>
    </row>
    <row r="493">
      <c r="A493" s="38" t="n"/>
      <c r="B493" s="32" t="n"/>
      <c r="C493" s="31" t="n"/>
      <c r="D493" s="31" t="n"/>
      <c r="E493" s="31" t="n"/>
      <c r="F493" s="31" t="n"/>
      <c r="G493" s="36" t="n"/>
      <c r="H493" s="32" t="n"/>
      <c r="I493" s="32" t="n"/>
      <c r="J493" s="35">
        <f>IF(A493="","",MONTH(A493))</f>
        <v/>
      </c>
      <c r="K493" s="35">
        <f>IF(A493="","",YEAR(A493))</f>
        <v/>
      </c>
    </row>
    <row r="494">
      <c r="A494" s="38" t="n"/>
      <c r="B494" s="32" t="n"/>
      <c r="C494" s="31" t="n"/>
      <c r="D494" s="31" t="n"/>
      <c r="E494" s="31" t="n"/>
      <c r="F494" s="31" t="n"/>
      <c r="G494" s="36" t="n"/>
      <c r="H494" s="32" t="n"/>
      <c r="I494" s="32" t="n"/>
      <c r="J494" s="35">
        <f>IF(A494="","",MONTH(A494))</f>
        <v/>
      </c>
      <c r="K494" s="35">
        <f>IF(A494="","",YEAR(A494))</f>
        <v/>
      </c>
    </row>
    <row r="495">
      <c r="A495" s="38" t="n"/>
      <c r="B495" s="32" t="n"/>
      <c r="C495" s="31" t="n"/>
      <c r="D495" s="31" t="n"/>
      <c r="E495" s="31" t="n"/>
      <c r="F495" s="31" t="n"/>
      <c r="G495" s="36" t="n"/>
      <c r="H495" s="32" t="n"/>
      <c r="I495" s="32" t="n"/>
      <c r="J495" s="35">
        <f>IF(A495="","",MONTH(A495))</f>
        <v/>
      </c>
      <c r="K495" s="35">
        <f>IF(A495="","",YEAR(A495))</f>
        <v/>
      </c>
    </row>
    <row r="496">
      <c r="A496" s="38" t="n"/>
      <c r="B496" s="32" t="n"/>
      <c r="C496" s="31" t="n"/>
      <c r="D496" s="31" t="n"/>
      <c r="E496" s="31" t="n"/>
      <c r="F496" s="31" t="n"/>
      <c r="G496" s="36" t="n"/>
      <c r="H496" s="32" t="n"/>
      <c r="I496" s="32" t="n"/>
      <c r="J496" s="35">
        <f>IF(A496="","",MONTH(A496))</f>
        <v/>
      </c>
      <c r="K496" s="35">
        <f>IF(A496="","",YEAR(A496))</f>
        <v/>
      </c>
    </row>
    <row r="497">
      <c r="A497" s="38" t="n"/>
      <c r="B497" s="32" t="n"/>
      <c r="C497" s="31" t="n"/>
      <c r="D497" s="31" t="n"/>
      <c r="E497" s="31" t="n"/>
      <c r="F497" s="31" t="n"/>
      <c r="G497" s="36" t="n"/>
      <c r="H497" s="32" t="n"/>
      <c r="I497" s="32" t="n"/>
      <c r="J497" s="35">
        <f>IF(A497="","",MONTH(A497))</f>
        <v/>
      </c>
      <c r="K497" s="35">
        <f>IF(A497="","",YEAR(A497))</f>
        <v/>
      </c>
    </row>
    <row r="498">
      <c r="A498" s="38" t="n"/>
      <c r="B498" s="32" t="n"/>
      <c r="C498" s="31" t="n"/>
      <c r="D498" s="31" t="n"/>
      <c r="E498" s="31" t="n"/>
      <c r="F498" s="31" t="n"/>
      <c r="G498" s="36" t="n"/>
      <c r="H498" s="32" t="n"/>
      <c r="I498" s="32" t="n"/>
      <c r="J498" s="35">
        <f>IF(A498="","",MONTH(A498))</f>
        <v/>
      </c>
      <c r="K498" s="35">
        <f>IF(A498="","",YEAR(A498))</f>
        <v/>
      </c>
    </row>
    <row r="499">
      <c r="A499" s="38" t="n"/>
      <c r="B499" s="32" t="n"/>
      <c r="C499" s="31" t="n"/>
      <c r="D499" s="31" t="n"/>
      <c r="E499" s="31" t="n"/>
      <c r="F499" s="31" t="n"/>
      <c r="G499" s="36" t="n"/>
      <c r="H499" s="32" t="n"/>
      <c r="I499" s="32" t="n"/>
      <c r="J499" s="35">
        <f>IF(A499="","",MONTH(A499))</f>
        <v/>
      </c>
      <c r="K499" s="35">
        <f>IF(A499="","",YEAR(A499))</f>
        <v/>
      </c>
    </row>
    <row r="500">
      <c r="A500" s="38" t="n"/>
      <c r="B500" s="32" t="n"/>
      <c r="C500" s="31" t="n"/>
      <c r="D500" s="31" t="n"/>
      <c r="E500" s="31" t="n"/>
      <c r="F500" s="31" t="n"/>
      <c r="G500" s="36" t="n"/>
      <c r="H500" s="32" t="n"/>
      <c r="I500" s="32" t="n"/>
      <c r="J500" s="35">
        <f>IF(A500="","",MONTH(A500))</f>
        <v/>
      </c>
      <c r="K500" s="35">
        <f>IF(A500="","",YEAR(A500))</f>
        <v/>
      </c>
    </row>
    <row r="501">
      <c r="A501" s="38" t="n"/>
      <c r="B501" s="32" t="n"/>
      <c r="C501" s="31" t="n"/>
      <c r="D501" s="31" t="n"/>
      <c r="E501" s="31" t="n"/>
      <c r="F501" s="31" t="n"/>
      <c r="G501" s="36" t="n"/>
      <c r="H501" s="32" t="n"/>
      <c r="I501" s="32" t="n"/>
      <c r="J501" s="35">
        <f>IF(A501="","",MONTH(A501))</f>
        <v/>
      </c>
      <c r="K501" s="35">
        <f>IF(A501="","",YEAR(A501))</f>
        <v/>
      </c>
    </row>
    <row r="502">
      <c r="A502" s="38" t="n"/>
      <c r="B502" s="32" t="n"/>
      <c r="C502" s="31" t="n"/>
      <c r="D502" s="31" t="n"/>
      <c r="E502" s="31" t="n"/>
      <c r="F502" s="31" t="n"/>
      <c r="G502" s="36" t="n"/>
      <c r="H502" s="32" t="n"/>
      <c r="I502" s="32" t="n"/>
      <c r="J502" s="35">
        <f>IF(A502="","",MONTH(A502))</f>
        <v/>
      </c>
      <c r="K502" s="35">
        <f>IF(A502="","",YEAR(A502))</f>
        <v/>
      </c>
    </row>
    <row r="503">
      <c r="A503" s="38" t="n"/>
      <c r="B503" s="32" t="n"/>
      <c r="C503" s="31" t="n"/>
      <c r="D503" s="31" t="n"/>
      <c r="E503" s="31" t="n"/>
      <c r="F503" s="31" t="n"/>
      <c r="G503" s="36" t="n"/>
      <c r="H503" s="32" t="n"/>
      <c r="I503" s="32" t="n"/>
      <c r="J503" s="35">
        <f>IF(A503="","",MONTH(A503))</f>
        <v/>
      </c>
      <c r="K503" s="35">
        <f>IF(A503="","",YEAR(A503))</f>
        <v/>
      </c>
    </row>
    <row r="504">
      <c r="A504" s="38" t="n"/>
      <c r="B504" s="32" t="n"/>
      <c r="C504" s="31" t="n"/>
      <c r="D504" s="31" t="n"/>
      <c r="E504" s="31" t="n"/>
      <c r="F504" s="31" t="n"/>
      <c r="G504" s="36" t="n"/>
      <c r="H504" s="32" t="n"/>
      <c r="I504" s="32" t="n"/>
      <c r="J504" s="35">
        <f>IF(A504="","",MONTH(A504))</f>
        <v/>
      </c>
      <c r="K504" s="35">
        <f>IF(A504="","",YEAR(A504))</f>
        <v/>
      </c>
    </row>
    <row r="505">
      <c r="A505" s="38" t="n"/>
      <c r="B505" s="32" t="n"/>
      <c r="C505" s="31" t="n"/>
      <c r="D505" s="31" t="n"/>
      <c r="E505" s="31" t="n"/>
      <c r="F505" s="31" t="n"/>
      <c r="G505" s="36" t="n"/>
      <c r="H505" s="32" t="n"/>
      <c r="I505" s="32" t="n"/>
      <c r="J505" s="35">
        <f>IF(A505="","",MONTH(A505))</f>
        <v/>
      </c>
      <c r="K505" s="35">
        <f>IF(A505="","",YEAR(A505))</f>
        <v/>
      </c>
    </row>
    <row r="506">
      <c r="A506" s="38" t="n"/>
      <c r="B506" s="32" t="n"/>
      <c r="C506" s="31" t="n"/>
      <c r="D506" s="31" t="n"/>
      <c r="E506" s="31" t="n"/>
      <c r="F506" s="31" t="n"/>
      <c r="G506" s="36" t="n"/>
      <c r="H506" s="32" t="n"/>
      <c r="I506" s="32" t="n"/>
      <c r="J506" s="35">
        <f>IF(A506="","",MONTH(A506))</f>
        <v/>
      </c>
      <c r="K506" s="35">
        <f>IF(A506="","",YEAR(A506))</f>
        <v/>
      </c>
    </row>
    <row r="507">
      <c r="A507" s="38" t="n"/>
      <c r="B507" s="32" t="n"/>
      <c r="C507" s="31" t="n"/>
      <c r="D507" s="31" t="n"/>
      <c r="E507" s="31" t="n"/>
      <c r="F507" s="31" t="n"/>
      <c r="G507" s="36" t="n"/>
      <c r="H507" s="32" t="n"/>
      <c r="I507" s="32" t="n"/>
      <c r="J507" s="35">
        <f>IF(A507="","",MONTH(A507))</f>
        <v/>
      </c>
      <c r="K507" s="35">
        <f>IF(A507="","",YEAR(A507))</f>
        <v/>
      </c>
    </row>
    <row r="508">
      <c r="A508" s="38" t="n"/>
      <c r="B508" s="32" t="n"/>
      <c r="C508" s="31" t="n"/>
      <c r="D508" s="31" t="n"/>
      <c r="E508" s="31" t="n"/>
      <c r="F508" s="31" t="n"/>
      <c r="G508" s="36" t="n"/>
      <c r="H508" s="32" t="n"/>
      <c r="I508" s="32" t="n"/>
      <c r="J508" s="35">
        <f>IF(A508="","",MONTH(A508))</f>
        <v/>
      </c>
      <c r="K508" s="35">
        <f>IF(A508="","",YEAR(A508))</f>
        <v/>
      </c>
    </row>
    <row r="509">
      <c r="A509" s="38" t="n"/>
      <c r="B509" s="32" t="n"/>
      <c r="C509" s="31" t="n"/>
      <c r="D509" s="31" t="n"/>
      <c r="E509" s="31" t="n"/>
      <c r="F509" s="31" t="n"/>
      <c r="G509" s="36" t="n"/>
      <c r="H509" s="32" t="n"/>
      <c r="I509" s="32" t="n"/>
      <c r="J509" s="35">
        <f>IF(A509="","",MONTH(A509))</f>
        <v/>
      </c>
      <c r="K509" s="35">
        <f>IF(A509="","",YEAR(A509))</f>
        <v/>
      </c>
    </row>
    <row r="510">
      <c r="A510" s="38" t="n"/>
      <c r="B510" s="32" t="n"/>
      <c r="C510" s="31" t="n"/>
      <c r="D510" s="31" t="n"/>
      <c r="E510" s="31" t="n"/>
      <c r="F510" s="31" t="n"/>
      <c r="G510" s="36" t="n"/>
      <c r="H510" s="32" t="n"/>
      <c r="I510" s="32" t="n"/>
      <c r="J510" s="35">
        <f>IF(A510="","",MONTH(A510))</f>
        <v/>
      </c>
      <c r="K510" s="35">
        <f>IF(A510="","",YEAR(A510))</f>
        <v/>
      </c>
    </row>
    <row r="511">
      <c r="A511" s="38" t="n"/>
      <c r="B511" s="32" t="n"/>
      <c r="C511" s="31" t="n"/>
      <c r="D511" s="31" t="n"/>
      <c r="E511" s="31" t="n"/>
      <c r="F511" s="31" t="n"/>
      <c r="G511" s="36" t="n"/>
      <c r="H511" s="32" t="n"/>
      <c r="I511" s="32" t="n"/>
      <c r="J511" s="35">
        <f>IF(A511="","",MONTH(A511))</f>
        <v/>
      </c>
      <c r="K511" s="35">
        <f>IF(A511="","",YEAR(A511))</f>
        <v/>
      </c>
    </row>
    <row r="512">
      <c r="A512" s="38" t="n"/>
      <c r="B512" s="32" t="n"/>
      <c r="C512" s="31" t="n"/>
      <c r="D512" s="31" t="n"/>
      <c r="E512" s="31" t="n"/>
      <c r="F512" s="31" t="n"/>
      <c r="G512" s="36" t="n"/>
      <c r="H512" s="32" t="n"/>
      <c r="I512" s="32" t="n"/>
      <c r="J512" s="35">
        <f>IF(A512="","",MONTH(A512))</f>
        <v/>
      </c>
      <c r="K512" s="35">
        <f>IF(A512="","",YEAR(A512))</f>
        <v/>
      </c>
    </row>
    <row r="513">
      <c r="A513" s="38" t="n"/>
      <c r="B513" s="32" t="n"/>
      <c r="C513" s="31" t="n"/>
      <c r="D513" s="31" t="n"/>
      <c r="E513" s="31" t="n"/>
      <c r="F513" s="31" t="n"/>
      <c r="G513" s="36" t="n"/>
      <c r="H513" s="32" t="n"/>
      <c r="I513" s="32" t="n"/>
      <c r="J513" s="35">
        <f>IF(A513="","",MONTH(A513))</f>
        <v/>
      </c>
      <c r="K513" s="35">
        <f>IF(A513="","",YEAR(A513))</f>
        <v/>
      </c>
    </row>
    <row r="514">
      <c r="A514" s="38" t="n"/>
      <c r="B514" s="32" t="n"/>
      <c r="C514" s="31" t="n"/>
      <c r="D514" s="31" t="n"/>
      <c r="E514" s="31" t="n"/>
      <c r="F514" s="31" t="n"/>
      <c r="G514" s="36" t="n"/>
      <c r="H514" s="32" t="n"/>
      <c r="I514" s="32" t="n"/>
      <c r="J514" s="35">
        <f>IF(A514="","",MONTH(A514))</f>
        <v/>
      </c>
      <c r="K514" s="35">
        <f>IF(A514="","",YEAR(A514))</f>
        <v/>
      </c>
    </row>
    <row r="515">
      <c r="A515" s="38" t="n"/>
      <c r="B515" s="32" t="n"/>
      <c r="C515" s="31" t="n"/>
      <c r="D515" s="31" t="n"/>
      <c r="E515" s="31" t="n"/>
      <c r="F515" s="31" t="n"/>
      <c r="G515" s="36" t="n"/>
      <c r="H515" s="32" t="n"/>
      <c r="I515" s="32" t="n"/>
      <c r="J515" s="35">
        <f>IF(A515="","",MONTH(A515))</f>
        <v/>
      </c>
      <c r="K515" s="35">
        <f>IF(A515="","",YEAR(A515))</f>
        <v/>
      </c>
    </row>
    <row r="516">
      <c r="A516" s="38" t="n"/>
      <c r="B516" s="32" t="n"/>
      <c r="C516" s="31" t="n"/>
      <c r="D516" s="31" t="n"/>
      <c r="E516" s="31" t="n"/>
      <c r="F516" s="31" t="n"/>
      <c r="G516" s="36" t="n"/>
      <c r="H516" s="32" t="n"/>
      <c r="I516" s="32" t="n"/>
      <c r="J516" s="35">
        <f>IF(A516="","",MONTH(A516))</f>
        <v/>
      </c>
      <c r="K516" s="35">
        <f>IF(A516="","",YEAR(A516))</f>
        <v/>
      </c>
    </row>
    <row r="517">
      <c r="A517" s="38" t="n"/>
      <c r="B517" s="32" t="n"/>
      <c r="C517" s="31" t="n"/>
      <c r="D517" s="31" t="n"/>
      <c r="E517" s="31" t="n"/>
      <c r="F517" s="31" t="n"/>
      <c r="G517" s="36" t="n"/>
      <c r="H517" s="32" t="n"/>
      <c r="I517" s="32" t="n"/>
      <c r="J517" s="35">
        <f>IF(A517="","",MONTH(A517))</f>
        <v/>
      </c>
      <c r="K517" s="35">
        <f>IF(A517="","",YEAR(A517))</f>
        <v/>
      </c>
    </row>
    <row r="518">
      <c r="A518" s="38" t="n"/>
      <c r="B518" s="32" t="n"/>
      <c r="C518" s="31" t="n"/>
      <c r="D518" s="31" t="n"/>
      <c r="E518" s="31" t="n"/>
      <c r="F518" s="31" t="n"/>
      <c r="G518" s="36" t="n"/>
      <c r="H518" s="32" t="n"/>
      <c r="I518" s="32" t="n"/>
      <c r="J518" s="35">
        <f>IF(A518="","",MONTH(A518))</f>
        <v/>
      </c>
      <c r="K518" s="35">
        <f>IF(A518="","",YEAR(A518))</f>
        <v/>
      </c>
    </row>
    <row r="519">
      <c r="A519" s="38" t="n"/>
      <c r="B519" s="32" t="n"/>
      <c r="C519" s="31" t="n"/>
      <c r="D519" s="31" t="n"/>
      <c r="E519" s="31" t="n"/>
      <c r="F519" s="31" t="n"/>
      <c r="G519" s="36" t="n"/>
      <c r="H519" s="32" t="n"/>
      <c r="I519" s="32" t="n"/>
      <c r="J519" s="35">
        <f>IF(A519="","",MONTH(A519))</f>
        <v/>
      </c>
      <c r="K519" s="35">
        <f>IF(A519="","",YEAR(A519))</f>
        <v/>
      </c>
    </row>
    <row r="520">
      <c r="A520" s="38" t="n"/>
      <c r="B520" s="32" t="n"/>
      <c r="C520" s="31" t="n"/>
      <c r="D520" s="31" t="n"/>
      <c r="E520" s="31" t="n"/>
      <c r="F520" s="31" t="n"/>
      <c r="G520" s="36" t="n"/>
      <c r="H520" s="32" t="n"/>
      <c r="I520" s="32" t="n"/>
      <c r="J520" s="35">
        <f>IF(A520="","",MONTH(A520))</f>
        <v/>
      </c>
      <c r="K520" s="35">
        <f>IF(A520="","",YEAR(A520))</f>
        <v/>
      </c>
    </row>
    <row r="521">
      <c r="A521" s="38" t="n"/>
      <c r="B521" s="32" t="n"/>
      <c r="C521" s="31" t="n"/>
      <c r="D521" s="31" t="n"/>
      <c r="E521" s="31" t="n"/>
      <c r="F521" s="31" t="n"/>
      <c r="G521" s="36" t="n"/>
      <c r="H521" s="32" t="n"/>
      <c r="I521" s="32" t="n"/>
      <c r="J521" s="35">
        <f>IF(A521="","",MONTH(A521))</f>
        <v/>
      </c>
      <c r="K521" s="35">
        <f>IF(A521="","",YEAR(A521))</f>
        <v/>
      </c>
    </row>
    <row r="522">
      <c r="A522" s="38" t="n"/>
      <c r="B522" s="32" t="n"/>
      <c r="C522" s="31" t="n"/>
      <c r="D522" s="31" t="n"/>
      <c r="E522" s="31" t="n"/>
      <c r="F522" s="31" t="n"/>
      <c r="G522" s="36" t="n"/>
      <c r="H522" s="32" t="n"/>
      <c r="I522" s="32" t="n"/>
      <c r="J522" s="35">
        <f>IF(A522="","",MONTH(A522))</f>
        <v/>
      </c>
      <c r="K522" s="35">
        <f>IF(A522="","",YEAR(A522))</f>
        <v/>
      </c>
    </row>
    <row r="523">
      <c r="A523" s="38" t="n"/>
      <c r="B523" s="32" t="n"/>
      <c r="C523" s="31" t="n"/>
      <c r="D523" s="31" t="n"/>
      <c r="E523" s="31" t="n"/>
      <c r="F523" s="31" t="n"/>
      <c r="G523" s="36" t="n"/>
      <c r="H523" s="32" t="n"/>
      <c r="I523" s="32" t="n"/>
      <c r="J523" s="35">
        <f>IF(A523="","",MONTH(A523))</f>
        <v/>
      </c>
      <c r="K523" s="35">
        <f>IF(A523="","",YEAR(A523))</f>
        <v/>
      </c>
    </row>
    <row r="524">
      <c r="A524" s="38" t="n"/>
      <c r="B524" s="32" t="n"/>
      <c r="C524" s="31" t="n"/>
      <c r="D524" s="31" t="n"/>
      <c r="E524" s="31" t="n"/>
      <c r="F524" s="31" t="n"/>
      <c r="G524" s="36" t="n"/>
      <c r="H524" s="32" t="n"/>
      <c r="I524" s="32" t="n"/>
      <c r="J524" s="35">
        <f>IF(A524="","",MONTH(A524))</f>
        <v/>
      </c>
      <c r="K524" s="35">
        <f>IF(A524="","",YEAR(A524))</f>
        <v/>
      </c>
    </row>
    <row r="525">
      <c r="A525" s="38" t="n"/>
      <c r="B525" s="32" t="n"/>
      <c r="C525" s="31" t="n"/>
      <c r="D525" s="31" t="n"/>
      <c r="E525" s="31" t="n"/>
      <c r="F525" s="31" t="n"/>
      <c r="G525" s="36" t="n"/>
      <c r="H525" s="32" t="n"/>
      <c r="I525" s="32" t="n"/>
      <c r="J525" s="35">
        <f>IF(A525="","",MONTH(A525))</f>
        <v/>
      </c>
      <c r="K525" s="35">
        <f>IF(A525="","",YEAR(A525))</f>
        <v/>
      </c>
    </row>
    <row r="526">
      <c r="A526" s="38" t="n"/>
      <c r="B526" s="32" t="n"/>
      <c r="C526" s="31" t="n"/>
      <c r="D526" s="31" t="n"/>
      <c r="E526" s="31" t="n"/>
      <c r="F526" s="31" t="n"/>
      <c r="G526" s="36" t="n"/>
      <c r="H526" s="32" t="n"/>
      <c r="I526" s="32" t="n"/>
      <c r="J526" s="35">
        <f>IF(A526="","",MONTH(A526))</f>
        <v/>
      </c>
      <c r="K526" s="35">
        <f>IF(A526="","",YEAR(A526))</f>
        <v/>
      </c>
    </row>
    <row r="527">
      <c r="A527" s="38" t="n"/>
      <c r="B527" s="32" t="n"/>
      <c r="C527" s="31" t="n"/>
      <c r="D527" s="31" t="n"/>
      <c r="E527" s="31" t="n"/>
      <c r="F527" s="31" t="n"/>
      <c r="G527" s="36" t="n"/>
      <c r="H527" s="32" t="n"/>
      <c r="I527" s="32" t="n"/>
      <c r="J527" s="35">
        <f>IF(A527="","",MONTH(A527))</f>
        <v/>
      </c>
      <c r="K527" s="35">
        <f>IF(A527="","",YEAR(A527))</f>
        <v/>
      </c>
    </row>
    <row r="528">
      <c r="A528" s="38" t="n"/>
      <c r="B528" s="32" t="n"/>
      <c r="C528" s="31" t="n"/>
      <c r="D528" s="31" t="n"/>
      <c r="E528" s="31" t="n"/>
      <c r="F528" s="31" t="n"/>
      <c r="G528" s="36" t="n"/>
      <c r="H528" s="32" t="n"/>
      <c r="I528" s="32" t="n"/>
      <c r="J528" s="35">
        <f>IF(A528="","",MONTH(A528))</f>
        <v/>
      </c>
      <c r="K528" s="35">
        <f>IF(A528="","",YEAR(A528))</f>
        <v/>
      </c>
    </row>
    <row r="529">
      <c r="A529" s="38" t="n"/>
      <c r="B529" s="32" t="n"/>
      <c r="C529" s="31" t="n"/>
      <c r="D529" s="31" t="n"/>
      <c r="E529" s="31" t="n"/>
      <c r="F529" s="31" t="n"/>
      <c r="G529" s="36" t="n"/>
      <c r="H529" s="32" t="n"/>
      <c r="I529" s="32" t="n"/>
      <c r="J529" s="35">
        <f>IF(A529="","",MONTH(A529))</f>
        <v/>
      </c>
      <c r="K529" s="35">
        <f>IF(A529="","",YEAR(A529))</f>
        <v/>
      </c>
    </row>
    <row r="530">
      <c r="A530" s="38" t="n"/>
      <c r="B530" s="32" t="n"/>
      <c r="C530" s="31" t="n"/>
      <c r="D530" s="31" t="n"/>
      <c r="E530" s="31" t="n"/>
      <c r="F530" s="31" t="n"/>
      <c r="G530" s="36" t="n"/>
      <c r="H530" s="32" t="n"/>
      <c r="I530" s="32" t="n"/>
      <c r="J530" s="35">
        <f>IF(A530="","",MONTH(A530))</f>
        <v/>
      </c>
      <c r="K530" s="35">
        <f>IF(A530="","",YEAR(A530))</f>
        <v/>
      </c>
    </row>
    <row r="531">
      <c r="A531" s="38" t="n"/>
      <c r="B531" s="32" t="n"/>
      <c r="C531" s="31" t="n"/>
      <c r="D531" s="31" t="n"/>
      <c r="E531" s="31" t="n"/>
      <c r="F531" s="31" t="n"/>
      <c r="G531" s="36" t="n"/>
      <c r="H531" s="32" t="n"/>
      <c r="I531" s="32" t="n"/>
      <c r="J531" s="35">
        <f>IF(A531="","",MONTH(A531))</f>
        <v/>
      </c>
      <c r="K531" s="35">
        <f>IF(A531="","",YEAR(A531))</f>
        <v/>
      </c>
    </row>
    <row r="532">
      <c r="A532" s="38" t="n"/>
      <c r="B532" s="32" t="n"/>
      <c r="C532" s="31" t="n"/>
      <c r="D532" s="31" t="n"/>
      <c r="E532" s="31" t="n"/>
      <c r="F532" s="31" t="n"/>
      <c r="G532" s="36" t="n"/>
      <c r="H532" s="32" t="n"/>
      <c r="I532" s="32" t="n"/>
      <c r="J532" s="35">
        <f>IF(A532="","",MONTH(A532))</f>
        <v/>
      </c>
      <c r="K532" s="35">
        <f>IF(A532="","",YEAR(A532))</f>
        <v/>
      </c>
    </row>
    <row r="533">
      <c r="A533" s="38" t="n"/>
      <c r="B533" s="32" t="n"/>
      <c r="C533" s="31" t="n"/>
      <c r="D533" s="31" t="n"/>
      <c r="E533" s="31" t="n"/>
      <c r="F533" s="31" t="n"/>
      <c r="G533" s="36" t="n"/>
      <c r="H533" s="32" t="n"/>
      <c r="I533" s="32" t="n"/>
      <c r="J533" s="35">
        <f>IF(A533="","",MONTH(A533))</f>
        <v/>
      </c>
      <c r="K533" s="35">
        <f>IF(A533="","",YEAR(A533))</f>
        <v/>
      </c>
    </row>
    <row r="534">
      <c r="A534" s="38" t="n"/>
      <c r="B534" s="32" t="n"/>
      <c r="C534" s="31" t="n"/>
      <c r="D534" s="31" t="n"/>
      <c r="E534" s="31" t="n"/>
      <c r="F534" s="31" t="n"/>
      <c r="G534" s="36" t="n"/>
      <c r="H534" s="32" t="n"/>
      <c r="I534" s="32" t="n"/>
      <c r="J534" s="35">
        <f>IF(A534="","",MONTH(A534))</f>
        <v/>
      </c>
      <c r="K534" s="35">
        <f>IF(A534="","",YEAR(A534))</f>
        <v/>
      </c>
    </row>
    <row r="535">
      <c r="A535" s="38" t="n"/>
      <c r="B535" s="32" t="n"/>
      <c r="C535" s="31" t="n"/>
      <c r="D535" s="31" t="n"/>
      <c r="E535" s="31" t="n"/>
      <c r="F535" s="31" t="n"/>
      <c r="G535" s="36" t="n"/>
      <c r="H535" s="32" t="n"/>
      <c r="I535" s="32" t="n"/>
      <c r="J535" s="35">
        <f>IF(A535="","",MONTH(A535))</f>
        <v/>
      </c>
      <c r="K535" s="35">
        <f>IF(A535="","",YEAR(A535))</f>
        <v/>
      </c>
    </row>
    <row r="536">
      <c r="A536" s="38" t="n"/>
      <c r="B536" s="32" t="n"/>
      <c r="C536" s="31" t="n"/>
      <c r="D536" s="31" t="n"/>
      <c r="E536" s="31" t="n"/>
      <c r="F536" s="31" t="n"/>
      <c r="G536" s="36" t="n"/>
      <c r="H536" s="32" t="n"/>
      <c r="I536" s="32" t="n"/>
      <c r="J536" s="35">
        <f>IF(A536="","",MONTH(A536))</f>
        <v/>
      </c>
      <c r="K536" s="35">
        <f>IF(A536="","",YEAR(A536))</f>
        <v/>
      </c>
    </row>
    <row r="537">
      <c r="A537" s="38" t="n"/>
      <c r="B537" s="32" t="n"/>
      <c r="C537" s="31" t="n"/>
      <c r="D537" s="31" t="n"/>
      <c r="E537" s="31" t="n"/>
      <c r="F537" s="31" t="n"/>
      <c r="G537" s="36" t="n"/>
      <c r="H537" s="32" t="n"/>
      <c r="I537" s="32" t="n"/>
      <c r="J537" s="35">
        <f>IF(A537="","",MONTH(A537))</f>
        <v/>
      </c>
      <c r="K537" s="35">
        <f>IF(A537="","",YEAR(A537))</f>
        <v/>
      </c>
    </row>
    <row r="538">
      <c r="A538" s="38" t="n"/>
      <c r="B538" s="32" t="n"/>
      <c r="C538" s="31" t="n"/>
      <c r="D538" s="31" t="n"/>
      <c r="E538" s="31" t="n"/>
      <c r="F538" s="31" t="n"/>
      <c r="G538" s="36" t="n"/>
      <c r="H538" s="32" t="n"/>
      <c r="I538" s="32" t="n"/>
      <c r="J538" s="35">
        <f>IF(A538="","",MONTH(A538))</f>
        <v/>
      </c>
      <c r="K538" s="35">
        <f>IF(A538="","",YEAR(A538))</f>
        <v/>
      </c>
    </row>
    <row r="539">
      <c r="A539" s="38" t="n"/>
      <c r="B539" s="32" t="n"/>
      <c r="C539" s="31" t="n"/>
      <c r="D539" s="31" t="n"/>
      <c r="E539" s="31" t="n"/>
      <c r="F539" s="31" t="n"/>
      <c r="G539" s="36" t="n"/>
      <c r="H539" s="32" t="n"/>
      <c r="I539" s="32" t="n"/>
      <c r="J539" s="35">
        <f>IF(A539="","",MONTH(A539))</f>
        <v/>
      </c>
      <c r="K539" s="35">
        <f>IF(A539="","",YEAR(A539))</f>
        <v/>
      </c>
    </row>
    <row r="540">
      <c r="A540" s="38" t="n"/>
      <c r="B540" s="32" t="n"/>
      <c r="C540" s="31" t="n"/>
      <c r="D540" s="31" t="n"/>
      <c r="E540" s="31" t="n"/>
      <c r="F540" s="31" t="n"/>
      <c r="G540" s="36" t="n"/>
      <c r="H540" s="32" t="n"/>
      <c r="I540" s="32" t="n"/>
      <c r="J540" s="35">
        <f>IF(A540="","",MONTH(A540))</f>
        <v/>
      </c>
      <c r="K540" s="35">
        <f>IF(A540="","",YEAR(A540))</f>
        <v/>
      </c>
    </row>
    <row r="541">
      <c r="A541" s="38" t="n"/>
      <c r="B541" s="32" t="n"/>
      <c r="C541" s="31" t="n"/>
      <c r="D541" s="31" t="n"/>
      <c r="E541" s="31" t="n"/>
      <c r="F541" s="31" t="n"/>
      <c r="G541" s="36" t="n"/>
      <c r="H541" s="32" t="n"/>
      <c r="I541" s="32" t="n"/>
      <c r="J541" s="35">
        <f>IF(A541="","",MONTH(A541))</f>
        <v/>
      </c>
      <c r="K541" s="35">
        <f>IF(A541="","",YEAR(A541))</f>
        <v/>
      </c>
    </row>
    <row r="542">
      <c r="A542" s="38" t="n"/>
      <c r="B542" s="32" t="n"/>
      <c r="C542" s="31" t="n"/>
      <c r="D542" s="31" t="n"/>
      <c r="E542" s="31" t="n"/>
      <c r="F542" s="31" t="n"/>
      <c r="G542" s="36" t="n"/>
      <c r="H542" s="32" t="n"/>
      <c r="I542" s="32" t="n"/>
      <c r="J542" s="35">
        <f>IF(A542="","",MONTH(A542))</f>
        <v/>
      </c>
      <c r="K542" s="35">
        <f>IF(A542="","",YEAR(A542))</f>
        <v/>
      </c>
    </row>
    <row r="543">
      <c r="A543" s="38" t="n"/>
      <c r="B543" s="32" t="n"/>
      <c r="C543" s="31" t="n"/>
      <c r="D543" s="31" t="n"/>
      <c r="E543" s="31" t="n"/>
      <c r="F543" s="31" t="n"/>
      <c r="G543" s="36" t="n"/>
      <c r="H543" s="32" t="n"/>
      <c r="I543" s="32" t="n"/>
      <c r="J543" s="35">
        <f>IF(A543="","",MONTH(A543))</f>
        <v/>
      </c>
      <c r="K543" s="35">
        <f>IF(A543="","",YEAR(A543))</f>
        <v/>
      </c>
    </row>
    <row r="544">
      <c r="A544" s="38" t="n"/>
      <c r="B544" s="32" t="n"/>
      <c r="C544" s="31" t="n"/>
      <c r="D544" s="31" t="n"/>
      <c r="E544" s="31" t="n"/>
      <c r="F544" s="31" t="n"/>
      <c r="G544" s="36" t="n"/>
      <c r="H544" s="32" t="n"/>
      <c r="I544" s="32" t="n"/>
      <c r="J544" s="35">
        <f>IF(A544="","",MONTH(A544))</f>
        <v/>
      </c>
      <c r="K544" s="35">
        <f>IF(A544="","",YEAR(A544))</f>
        <v/>
      </c>
    </row>
    <row r="545">
      <c r="A545" s="38" t="n"/>
      <c r="B545" s="32" t="n"/>
      <c r="C545" s="31" t="n"/>
      <c r="D545" s="31" t="n"/>
      <c r="E545" s="31" t="n"/>
      <c r="F545" s="31" t="n"/>
      <c r="G545" s="36" t="n"/>
      <c r="H545" s="32" t="n"/>
      <c r="I545" s="32" t="n"/>
      <c r="J545" s="35">
        <f>IF(A545="","",MONTH(A545))</f>
        <v/>
      </c>
      <c r="K545" s="35">
        <f>IF(A545="","",YEAR(A545))</f>
        <v/>
      </c>
    </row>
    <row r="546">
      <c r="A546" s="38" t="n"/>
      <c r="B546" s="32" t="n"/>
      <c r="C546" s="31" t="n"/>
      <c r="D546" s="31" t="n"/>
      <c r="E546" s="31" t="n"/>
      <c r="F546" s="31" t="n"/>
      <c r="G546" s="36" t="n"/>
      <c r="H546" s="32" t="n"/>
      <c r="I546" s="32" t="n"/>
      <c r="J546" s="35">
        <f>IF(A546="","",MONTH(A546))</f>
        <v/>
      </c>
      <c r="K546" s="35">
        <f>IF(A546="","",YEAR(A546))</f>
        <v/>
      </c>
    </row>
    <row r="547">
      <c r="A547" s="38" t="n"/>
      <c r="B547" s="32" t="n"/>
      <c r="C547" s="31" t="n"/>
      <c r="D547" s="31" t="n"/>
      <c r="E547" s="31" t="n"/>
      <c r="F547" s="31" t="n"/>
      <c r="G547" s="36" t="n"/>
      <c r="H547" s="32" t="n"/>
      <c r="I547" s="32" t="n"/>
      <c r="J547" s="35">
        <f>IF(A547="","",MONTH(A547))</f>
        <v/>
      </c>
      <c r="K547" s="35">
        <f>IF(A547="","",YEAR(A547))</f>
        <v/>
      </c>
    </row>
    <row r="548">
      <c r="A548" s="38" t="n"/>
      <c r="B548" s="32" t="n"/>
      <c r="C548" s="31" t="n"/>
      <c r="D548" s="31" t="n"/>
      <c r="E548" s="31" t="n"/>
      <c r="F548" s="31" t="n"/>
      <c r="G548" s="36" t="n"/>
      <c r="H548" s="32" t="n"/>
      <c r="I548" s="32" t="n"/>
      <c r="J548" s="35">
        <f>IF(A548="","",MONTH(A548))</f>
        <v/>
      </c>
      <c r="K548" s="35">
        <f>IF(A548="","",YEAR(A548))</f>
        <v/>
      </c>
    </row>
    <row r="549">
      <c r="A549" s="38" t="n"/>
      <c r="B549" s="32" t="n"/>
      <c r="C549" s="31" t="n"/>
      <c r="D549" s="31" t="n"/>
      <c r="E549" s="31" t="n"/>
      <c r="F549" s="31" t="n"/>
      <c r="G549" s="36" t="n"/>
      <c r="H549" s="32" t="n"/>
      <c r="I549" s="32" t="n"/>
      <c r="J549" s="35">
        <f>IF(A549="","",MONTH(A549))</f>
        <v/>
      </c>
      <c r="K549" s="35">
        <f>IF(A549="","",YEAR(A549))</f>
        <v/>
      </c>
    </row>
    <row r="550">
      <c r="A550" s="38" t="n"/>
      <c r="B550" s="32" t="n"/>
      <c r="C550" s="31" t="n"/>
      <c r="D550" s="31" t="n"/>
      <c r="E550" s="31" t="n"/>
      <c r="F550" s="31" t="n"/>
      <c r="G550" s="36" t="n"/>
      <c r="H550" s="32" t="n"/>
      <c r="I550" s="32" t="n"/>
      <c r="J550" s="35">
        <f>IF(A550="","",MONTH(A550))</f>
        <v/>
      </c>
      <c r="K550" s="35">
        <f>IF(A550="","",YEAR(A550))</f>
        <v/>
      </c>
    </row>
    <row r="551">
      <c r="A551" s="38" t="n"/>
      <c r="B551" s="32" t="n"/>
      <c r="C551" s="31" t="n"/>
      <c r="D551" s="31" t="n"/>
      <c r="E551" s="31" t="n"/>
      <c r="F551" s="31" t="n"/>
      <c r="G551" s="36" t="n"/>
      <c r="H551" s="32" t="n"/>
      <c r="I551" s="32" t="n"/>
      <c r="J551" s="35">
        <f>IF(A551="","",MONTH(A551))</f>
        <v/>
      </c>
      <c r="K551" s="35">
        <f>IF(A551="","",YEAR(A551))</f>
        <v/>
      </c>
    </row>
    <row r="552">
      <c r="A552" s="38" t="n"/>
      <c r="B552" s="32" t="n"/>
      <c r="C552" s="31" t="n"/>
      <c r="D552" s="31" t="n"/>
      <c r="E552" s="31" t="n"/>
      <c r="F552" s="31" t="n"/>
      <c r="G552" s="36" t="n"/>
      <c r="H552" s="32" t="n"/>
      <c r="I552" s="32" t="n"/>
      <c r="J552" s="35">
        <f>IF(A552="","",MONTH(A552))</f>
        <v/>
      </c>
      <c r="K552" s="35">
        <f>IF(A552="","",YEAR(A552))</f>
        <v/>
      </c>
    </row>
    <row r="553">
      <c r="A553" s="38" t="n"/>
      <c r="B553" s="32" t="n"/>
      <c r="C553" s="31" t="n"/>
      <c r="D553" s="31" t="n"/>
      <c r="E553" s="31" t="n"/>
      <c r="F553" s="31" t="n"/>
      <c r="G553" s="36" t="n"/>
      <c r="H553" s="32" t="n"/>
      <c r="I553" s="32" t="n"/>
      <c r="J553" s="35">
        <f>IF(A553="","",MONTH(A553))</f>
        <v/>
      </c>
      <c r="K553" s="35">
        <f>IF(A553="","",YEAR(A553))</f>
        <v/>
      </c>
    </row>
    <row r="554">
      <c r="A554" s="38" t="n"/>
      <c r="B554" s="32" t="n"/>
      <c r="C554" s="31" t="n"/>
      <c r="D554" s="31" t="n"/>
      <c r="E554" s="31" t="n"/>
      <c r="F554" s="31" t="n"/>
      <c r="G554" s="36" t="n"/>
      <c r="H554" s="32" t="n"/>
      <c r="I554" s="32" t="n"/>
      <c r="J554" s="35">
        <f>IF(A554="","",MONTH(A554))</f>
        <v/>
      </c>
      <c r="K554" s="35">
        <f>IF(A554="","",YEAR(A554))</f>
        <v/>
      </c>
    </row>
    <row r="555">
      <c r="A555" s="38" t="n"/>
      <c r="B555" s="32" t="n"/>
      <c r="C555" s="31" t="n"/>
      <c r="D555" s="31" t="n"/>
      <c r="E555" s="31" t="n"/>
      <c r="F555" s="31" t="n"/>
      <c r="G555" s="36" t="n"/>
      <c r="H555" s="32" t="n"/>
      <c r="I555" s="32" t="n"/>
      <c r="J555" s="35">
        <f>IF(A555="","",MONTH(A555))</f>
        <v/>
      </c>
      <c r="K555" s="35">
        <f>IF(A555="","",YEAR(A555))</f>
        <v/>
      </c>
    </row>
    <row r="556">
      <c r="A556" s="38" t="n"/>
      <c r="B556" s="32" t="n"/>
      <c r="C556" s="31" t="n"/>
      <c r="D556" s="31" t="n"/>
      <c r="E556" s="31" t="n"/>
      <c r="F556" s="31" t="n"/>
      <c r="G556" s="36" t="n"/>
      <c r="H556" s="32" t="n"/>
      <c r="I556" s="32" t="n"/>
      <c r="J556" s="35">
        <f>IF(A556="","",MONTH(A556))</f>
        <v/>
      </c>
      <c r="K556" s="35">
        <f>IF(A556="","",YEAR(A556))</f>
        <v/>
      </c>
    </row>
    <row r="557">
      <c r="A557" s="38" t="n"/>
      <c r="B557" s="32" t="n"/>
      <c r="C557" s="31" t="n"/>
      <c r="D557" s="31" t="n"/>
      <c r="E557" s="31" t="n"/>
      <c r="F557" s="31" t="n"/>
      <c r="G557" s="36" t="n"/>
      <c r="H557" s="32" t="n"/>
      <c r="I557" s="32" t="n"/>
      <c r="J557" s="35">
        <f>IF(A557="","",MONTH(A557))</f>
        <v/>
      </c>
      <c r="K557" s="35">
        <f>IF(A557="","",YEAR(A557))</f>
        <v/>
      </c>
    </row>
    <row r="558">
      <c r="A558" s="38" t="n"/>
      <c r="B558" s="32" t="n"/>
      <c r="C558" s="31" t="n"/>
      <c r="D558" s="31" t="n"/>
      <c r="E558" s="31" t="n"/>
      <c r="F558" s="31" t="n"/>
      <c r="G558" s="36" t="n"/>
      <c r="H558" s="32" t="n"/>
      <c r="I558" s="32" t="n"/>
      <c r="J558" s="35">
        <f>IF(A558="","",MONTH(A558))</f>
        <v/>
      </c>
      <c r="K558" s="35">
        <f>IF(A558="","",YEAR(A558))</f>
        <v/>
      </c>
    </row>
    <row r="559">
      <c r="A559" s="38" t="n"/>
      <c r="B559" s="32" t="n"/>
      <c r="C559" s="31" t="n"/>
      <c r="D559" s="31" t="n"/>
      <c r="E559" s="31" t="n"/>
      <c r="F559" s="31" t="n"/>
      <c r="G559" s="36" t="n"/>
      <c r="H559" s="32" t="n"/>
      <c r="I559" s="32" t="n"/>
      <c r="J559" s="35">
        <f>IF(A559="","",MONTH(A559))</f>
        <v/>
      </c>
      <c r="K559" s="35">
        <f>IF(A559="","",YEAR(A559))</f>
        <v/>
      </c>
    </row>
    <row r="560">
      <c r="A560" s="38" t="n"/>
      <c r="B560" s="32" t="n"/>
      <c r="C560" s="31" t="n"/>
      <c r="D560" s="31" t="n"/>
      <c r="E560" s="31" t="n"/>
      <c r="F560" s="31" t="n"/>
      <c r="G560" s="36" t="n"/>
      <c r="H560" s="32" t="n"/>
      <c r="I560" s="32" t="n"/>
      <c r="J560" s="35">
        <f>IF(A560="","",MONTH(A560))</f>
        <v/>
      </c>
      <c r="K560" s="35">
        <f>IF(A560="","",YEAR(A560))</f>
        <v/>
      </c>
    </row>
    <row r="561">
      <c r="A561" s="38" t="n"/>
      <c r="B561" s="32" t="n"/>
      <c r="C561" s="31" t="n"/>
      <c r="D561" s="31" t="n"/>
      <c r="E561" s="31" t="n"/>
      <c r="F561" s="31" t="n"/>
      <c r="G561" s="36" t="n"/>
      <c r="H561" s="32" t="n"/>
      <c r="I561" s="32" t="n"/>
      <c r="J561" s="35">
        <f>IF(A561="","",MONTH(A561))</f>
        <v/>
      </c>
      <c r="K561" s="35">
        <f>IF(A561="","",YEAR(A561))</f>
        <v/>
      </c>
    </row>
    <row r="562">
      <c r="A562" s="38" t="n"/>
      <c r="B562" s="32" t="n"/>
      <c r="C562" s="31" t="n"/>
      <c r="D562" s="31" t="n"/>
      <c r="E562" s="31" t="n"/>
      <c r="F562" s="31" t="n"/>
      <c r="G562" s="36" t="n"/>
      <c r="H562" s="32" t="n"/>
      <c r="I562" s="32" t="n"/>
      <c r="J562" s="35">
        <f>IF(A562="","",MONTH(A562))</f>
        <v/>
      </c>
      <c r="K562" s="35">
        <f>IF(A562="","",YEAR(A562))</f>
        <v/>
      </c>
    </row>
    <row r="563">
      <c r="A563" s="38" t="n"/>
      <c r="B563" s="32" t="n"/>
      <c r="C563" s="31" t="n"/>
      <c r="D563" s="31" t="n"/>
      <c r="E563" s="31" t="n"/>
      <c r="F563" s="31" t="n"/>
      <c r="G563" s="36" t="n"/>
      <c r="H563" s="32" t="n"/>
      <c r="I563" s="32" t="n"/>
      <c r="J563" s="35">
        <f>IF(A563="","",MONTH(A563))</f>
        <v/>
      </c>
      <c r="K563" s="35">
        <f>IF(A563="","",YEAR(A563))</f>
        <v/>
      </c>
    </row>
    <row r="564">
      <c r="A564" s="38" t="n"/>
      <c r="B564" s="32" t="n"/>
      <c r="C564" s="31" t="n"/>
      <c r="D564" s="31" t="n"/>
      <c r="E564" s="31" t="n"/>
      <c r="F564" s="31" t="n"/>
      <c r="G564" s="36" t="n"/>
      <c r="H564" s="32" t="n"/>
      <c r="I564" s="32" t="n"/>
      <c r="J564" s="35">
        <f>IF(A564="","",MONTH(A564))</f>
        <v/>
      </c>
      <c r="K564" s="35">
        <f>IF(A564="","",YEAR(A564))</f>
        <v/>
      </c>
    </row>
    <row r="565">
      <c r="A565" s="38" t="n"/>
      <c r="B565" s="32" t="n"/>
      <c r="C565" s="31" t="n"/>
      <c r="D565" s="31" t="n"/>
      <c r="E565" s="31" t="n"/>
      <c r="F565" s="31" t="n"/>
      <c r="G565" s="36" t="n"/>
      <c r="H565" s="32" t="n"/>
      <c r="I565" s="32" t="n"/>
      <c r="J565" s="35">
        <f>IF(A565="","",MONTH(A565))</f>
        <v/>
      </c>
      <c r="K565" s="35">
        <f>IF(A565="","",YEAR(A565))</f>
        <v/>
      </c>
    </row>
    <row r="566">
      <c r="A566" s="38" t="n"/>
      <c r="B566" s="32" t="n"/>
      <c r="C566" s="31" t="n"/>
      <c r="D566" s="31" t="n"/>
      <c r="E566" s="31" t="n"/>
      <c r="F566" s="31" t="n"/>
      <c r="G566" s="36" t="n"/>
      <c r="H566" s="32" t="n"/>
      <c r="I566" s="32" t="n"/>
      <c r="J566" s="35">
        <f>IF(A566="","",MONTH(A566))</f>
        <v/>
      </c>
      <c r="K566" s="35">
        <f>IF(A566="","",YEAR(A566))</f>
        <v/>
      </c>
    </row>
    <row r="567">
      <c r="A567" s="38" t="n"/>
      <c r="B567" s="32" t="n"/>
      <c r="C567" s="31" t="n"/>
      <c r="D567" s="31" t="n"/>
      <c r="E567" s="31" t="n"/>
      <c r="F567" s="31" t="n"/>
      <c r="G567" s="36" t="n"/>
      <c r="H567" s="32" t="n"/>
      <c r="I567" s="32" t="n"/>
      <c r="J567" s="35">
        <f>IF(A567="","",MONTH(A567))</f>
        <v/>
      </c>
      <c r="K567" s="35">
        <f>IF(A567="","",YEAR(A567))</f>
        <v/>
      </c>
    </row>
    <row r="568">
      <c r="A568" s="38" t="n"/>
      <c r="B568" s="32" t="n"/>
      <c r="C568" s="31" t="n"/>
      <c r="D568" s="31" t="n"/>
      <c r="E568" s="31" t="n"/>
      <c r="F568" s="31" t="n"/>
      <c r="G568" s="36" t="n"/>
      <c r="H568" s="32" t="n"/>
      <c r="I568" s="32" t="n"/>
      <c r="J568" s="35">
        <f>IF(A568="","",MONTH(A568))</f>
        <v/>
      </c>
      <c r="K568" s="35">
        <f>IF(A568="","",YEAR(A568))</f>
        <v/>
      </c>
    </row>
    <row r="569">
      <c r="A569" s="38" t="n"/>
      <c r="B569" s="32" t="n"/>
      <c r="C569" s="31" t="n"/>
      <c r="D569" s="31" t="n"/>
      <c r="E569" s="31" t="n"/>
      <c r="F569" s="31" t="n"/>
      <c r="G569" s="36" t="n"/>
      <c r="H569" s="32" t="n"/>
      <c r="I569" s="32" t="n"/>
      <c r="J569" s="35">
        <f>IF(A569="","",MONTH(A569))</f>
        <v/>
      </c>
      <c r="K569" s="35">
        <f>IF(A569="","",YEAR(A569))</f>
        <v/>
      </c>
    </row>
    <row r="570">
      <c r="A570" s="38" t="n"/>
      <c r="B570" s="32" t="n"/>
      <c r="C570" s="31" t="n"/>
      <c r="D570" s="31" t="n"/>
      <c r="E570" s="31" t="n"/>
      <c r="F570" s="31" t="n"/>
      <c r="G570" s="36" t="n"/>
      <c r="H570" s="32" t="n"/>
      <c r="I570" s="32" t="n"/>
      <c r="J570" s="35">
        <f>IF(A570="","",MONTH(A570))</f>
        <v/>
      </c>
      <c r="K570" s="35">
        <f>IF(A570="","",YEAR(A570))</f>
        <v/>
      </c>
    </row>
    <row r="571">
      <c r="A571" s="38" t="n"/>
      <c r="B571" s="32" t="n"/>
      <c r="C571" s="31" t="n"/>
      <c r="D571" s="31" t="n"/>
      <c r="E571" s="31" t="n"/>
      <c r="F571" s="31" t="n"/>
      <c r="G571" s="36" t="n"/>
      <c r="H571" s="32" t="n"/>
      <c r="I571" s="32" t="n"/>
      <c r="J571" s="35">
        <f>IF(A571="","",MONTH(A571))</f>
        <v/>
      </c>
      <c r="K571" s="35">
        <f>IF(A571="","",YEAR(A571))</f>
        <v/>
      </c>
    </row>
    <row r="572">
      <c r="A572" s="38" t="n"/>
      <c r="B572" s="32" t="n"/>
      <c r="C572" s="31" t="n"/>
      <c r="D572" s="31" t="n"/>
      <c r="E572" s="31" t="n"/>
      <c r="F572" s="31" t="n"/>
      <c r="G572" s="36" t="n"/>
      <c r="H572" s="32" t="n"/>
      <c r="I572" s="32" t="n"/>
      <c r="J572" s="35">
        <f>IF(A572="","",MONTH(A572))</f>
        <v/>
      </c>
      <c r="K572" s="35">
        <f>IF(A572="","",YEAR(A572))</f>
        <v/>
      </c>
    </row>
    <row r="573">
      <c r="A573" s="38" t="n"/>
      <c r="B573" s="32" t="n"/>
      <c r="C573" s="31" t="n"/>
      <c r="D573" s="31" t="n"/>
      <c r="E573" s="31" t="n"/>
      <c r="F573" s="31" t="n"/>
      <c r="G573" s="36" t="n"/>
      <c r="H573" s="32" t="n"/>
      <c r="I573" s="32" t="n"/>
      <c r="J573" s="35">
        <f>IF(A573="","",MONTH(A573))</f>
        <v/>
      </c>
      <c r="K573" s="35">
        <f>IF(A573="","",YEAR(A573))</f>
        <v/>
      </c>
    </row>
    <row r="574">
      <c r="A574" s="38" t="n"/>
      <c r="B574" s="32" t="n"/>
      <c r="C574" s="31" t="n"/>
      <c r="D574" s="31" t="n"/>
      <c r="E574" s="31" t="n"/>
      <c r="F574" s="31" t="n"/>
      <c r="G574" s="36" t="n"/>
      <c r="H574" s="32" t="n"/>
      <c r="I574" s="32" t="n"/>
      <c r="J574" s="35">
        <f>IF(A574="","",MONTH(A574))</f>
        <v/>
      </c>
      <c r="K574" s="35">
        <f>IF(A574="","",YEAR(A574))</f>
        <v/>
      </c>
    </row>
    <row r="575">
      <c r="A575" s="38" t="n"/>
      <c r="B575" s="32" t="n"/>
      <c r="C575" s="31" t="n"/>
      <c r="D575" s="31" t="n"/>
      <c r="E575" s="31" t="n"/>
      <c r="F575" s="31" t="n"/>
      <c r="G575" s="36" t="n"/>
      <c r="H575" s="32" t="n"/>
      <c r="I575" s="32" t="n"/>
      <c r="J575" s="35">
        <f>IF(A575="","",MONTH(A575))</f>
        <v/>
      </c>
      <c r="K575" s="35">
        <f>IF(A575="","",YEAR(A575))</f>
        <v/>
      </c>
    </row>
    <row r="576">
      <c r="A576" s="38" t="n"/>
      <c r="B576" s="32" t="n"/>
      <c r="C576" s="31" t="n"/>
      <c r="D576" s="31" t="n"/>
      <c r="E576" s="31" t="n"/>
      <c r="F576" s="31" t="n"/>
      <c r="G576" s="36" t="n"/>
      <c r="H576" s="32" t="n"/>
      <c r="I576" s="32" t="n"/>
      <c r="J576" s="35">
        <f>IF(A576="","",MONTH(A576))</f>
        <v/>
      </c>
      <c r="K576" s="35">
        <f>IF(A576="","",YEAR(A576))</f>
        <v/>
      </c>
    </row>
    <row r="577">
      <c r="A577" s="38" t="n"/>
      <c r="B577" s="32" t="n"/>
      <c r="C577" s="31" t="n"/>
      <c r="D577" s="31" t="n"/>
      <c r="E577" s="31" t="n"/>
      <c r="F577" s="31" t="n"/>
      <c r="G577" s="36" t="n"/>
      <c r="H577" s="32" t="n"/>
      <c r="I577" s="32" t="n"/>
      <c r="J577" s="35">
        <f>IF(A577="","",MONTH(A577))</f>
        <v/>
      </c>
      <c r="K577" s="35">
        <f>IF(A577="","",YEAR(A577))</f>
        <v/>
      </c>
    </row>
    <row r="578">
      <c r="A578" s="38" t="n"/>
      <c r="B578" s="32" t="n"/>
      <c r="C578" s="31" t="n"/>
      <c r="D578" s="31" t="n"/>
      <c r="E578" s="31" t="n"/>
      <c r="F578" s="31" t="n"/>
      <c r="G578" s="36" t="n"/>
      <c r="H578" s="32" t="n"/>
      <c r="I578" s="32" t="n"/>
      <c r="J578" s="35">
        <f>IF(A578="","",MONTH(A578))</f>
        <v/>
      </c>
      <c r="K578" s="35">
        <f>IF(A578="","",YEAR(A578))</f>
        <v/>
      </c>
    </row>
    <row r="579">
      <c r="A579" s="38" t="n"/>
      <c r="B579" s="32" t="n"/>
      <c r="C579" s="31" t="n"/>
      <c r="D579" s="31" t="n"/>
      <c r="E579" s="31" t="n"/>
      <c r="F579" s="31" t="n"/>
      <c r="G579" s="36" t="n"/>
      <c r="H579" s="32" t="n"/>
      <c r="I579" s="32" t="n"/>
      <c r="J579" s="35">
        <f>IF(A579="","",MONTH(A579))</f>
        <v/>
      </c>
      <c r="K579" s="35">
        <f>IF(A579="","",YEAR(A579))</f>
        <v/>
      </c>
    </row>
    <row r="580">
      <c r="A580" s="38" t="n"/>
      <c r="B580" s="32" t="n"/>
      <c r="C580" s="31" t="n"/>
      <c r="D580" s="31" t="n"/>
      <c r="E580" s="31" t="n"/>
      <c r="F580" s="31" t="n"/>
      <c r="G580" s="36" t="n"/>
      <c r="H580" s="32" t="n"/>
      <c r="I580" s="32" t="n"/>
      <c r="J580" s="35">
        <f>IF(A580="","",MONTH(A580))</f>
        <v/>
      </c>
      <c r="K580" s="35">
        <f>IF(A580="","",YEAR(A580))</f>
        <v/>
      </c>
    </row>
    <row r="581">
      <c r="A581" s="38" t="n"/>
      <c r="B581" s="32" t="n"/>
      <c r="C581" s="31" t="n"/>
      <c r="D581" s="31" t="n"/>
      <c r="E581" s="31" t="n"/>
      <c r="F581" s="31" t="n"/>
      <c r="G581" s="36" t="n"/>
      <c r="H581" s="32" t="n"/>
      <c r="I581" s="32" t="n"/>
      <c r="J581" s="35">
        <f>IF(A581="","",MONTH(A581))</f>
        <v/>
      </c>
      <c r="K581" s="35">
        <f>IF(A581="","",YEAR(A581))</f>
        <v/>
      </c>
    </row>
    <row r="582">
      <c r="A582" s="38" t="n"/>
      <c r="B582" s="32" t="n"/>
      <c r="C582" s="31" t="n"/>
      <c r="D582" s="31" t="n"/>
      <c r="E582" s="31" t="n"/>
      <c r="F582" s="31" t="n"/>
      <c r="G582" s="36" t="n"/>
      <c r="H582" s="32" t="n"/>
      <c r="I582" s="32" t="n"/>
      <c r="J582" s="35">
        <f>IF(A582="","",MONTH(A582))</f>
        <v/>
      </c>
      <c r="K582" s="35">
        <f>IF(A582="","",YEAR(A582))</f>
        <v/>
      </c>
    </row>
    <row r="583">
      <c r="A583" s="38" t="n"/>
      <c r="B583" s="32" t="n"/>
      <c r="C583" s="31" t="n"/>
      <c r="D583" s="31" t="n"/>
      <c r="E583" s="31" t="n"/>
      <c r="F583" s="31" t="n"/>
      <c r="G583" s="36" t="n"/>
      <c r="H583" s="32" t="n"/>
      <c r="I583" s="32" t="n"/>
      <c r="J583" s="35">
        <f>IF(A583="","",MONTH(A583))</f>
        <v/>
      </c>
      <c r="K583" s="35">
        <f>IF(A583="","",YEAR(A583))</f>
        <v/>
      </c>
    </row>
    <row r="584">
      <c r="A584" s="38" t="n"/>
      <c r="B584" s="32" t="n"/>
      <c r="C584" s="31" t="n"/>
      <c r="D584" s="31" t="n"/>
      <c r="E584" s="31" t="n"/>
      <c r="F584" s="31" t="n"/>
      <c r="G584" s="36" t="n"/>
      <c r="H584" s="32" t="n"/>
      <c r="I584" s="32" t="n"/>
      <c r="J584" s="35">
        <f>IF(A584="","",MONTH(A584))</f>
        <v/>
      </c>
      <c r="K584" s="35">
        <f>IF(A584="","",YEAR(A584))</f>
        <v/>
      </c>
    </row>
    <row r="585">
      <c r="A585" s="38" t="n"/>
      <c r="B585" s="32" t="n"/>
      <c r="C585" s="31" t="n"/>
      <c r="D585" s="31" t="n"/>
      <c r="E585" s="31" t="n"/>
      <c r="F585" s="31" t="n"/>
      <c r="G585" s="36" t="n"/>
      <c r="H585" s="32" t="n"/>
      <c r="I585" s="32" t="n"/>
      <c r="J585" s="35">
        <f>IF(A585="","",MONTH(A585))</f>
        <v/>
      </c>
      <c r="K585" s="35">
        <f>IF(A585="","",YEAR(A585))</f>
        <v/>
      </c>
    </row>
    <row r="586">
      <c r="A586" s="38" t="n"/>
      <c r="B586" s="32" t="n"/>
      <c r="C586" s="31" t="n"/>
      <c r="D586" s="31" t="n"/>
      <c r="E586" s="31" t="n"/>
      <c r="F586" s="31" t="n"/>
      <c r="G586" s="36" t="n"/>
      <c r="H586" s="32" t="n"/>
      <c r="I586" s="32" t="n"/>
      <c r="J586" s="35">
        <f>IF(A586="","",MONTH(A586))</f>
        <v/>
      </c>
      <c r="K586" s="35">
        <f>IF(A586="","",YEAR(A586))</f>
        <v/>
      </c>
    </row>
    <row r="587">
      <c r="A587" s="38" t="n"/>
      <c r="B587" s="32" t="n"/>
      <c r="C587" s="31" t="n"/>
      <c r="D587" s="31" t="n"/>
      <c r="E587" s="31" t="n"/>
      <c r="F587" s="31" t="n"/>
      <c r="G587" s="36" t="n"/>
      <c r="H587" s="32" t="n"/>
      <c r="I587" s="32" t="n"/>
      <c r="J587" s="35">
        <f>IF(A587="","",MONTH(A587))</f>
        <v/>
      </c>
      <c r="K587" s="35">
        <f>IF(A587="","",YEAR(A587))</f>
        <v/>
      </c>
    </row>
    <row r="588">
      <c r="A588" s="38" t="n"/>
      <c r="B588" s="32" t="n"/>
      <c r="C588" s="31" t="n"/>
      <c r="D588" s="31" t="n"/>
      <c r="E588" s="31" t="n"/>
      <c r="F588" s="31" t="n"/>
      <c r="G588" s="36" t="n"/>
      <c r="H588" s="32" t="n"/>
      <c r="I588" s="32" t="n"/>
      <c r="J588" s="35">
        <f>IF(A588="","",MONTH(A588))</f>
        <v/>
      </c>
      <c r="K588" s="35">
        <f>IF(A588="","",YEAR(A588))</f>
        <v/>
      </c>
    </row>
    <row r="589">
      <c r="A589" s="38" t="n"/>
      <c r="B589" s="32" t="n"/>
      <c r="C589" s="31" t="n"/>
      <c r="D589" s="31" t="n"/>
      <c r="E589" s="31" t="n"/>
      <c r="F589" s="31" t="n"/>
      <c r="G589" s="36" t="n"/>
      <c r="H589" s="32" t="n"/>
      <c r="I589" s="32" t="n"/>
      <c r="J589" s="35">
        <f>IF(A589="","",MONTH(A589))</f>
        <v/>
      </c>
      <c r="K589" s="35">
        <f>IF(A589="","",YEAR(A589))</f>
        <v/>
      </c>
    </row>
    <row r="590">
      <c r="A590" s="38" t="n"/>
      <c r="B590" s="32" t="n"/>
      <c r="C590" s="31" t="n"/>
      <c r="D590" s="31" t="n"/>
      <c r="E590" s="31" t="n"/>
      <c r="F590" s="31" t="n"/>
      <c r="G590" s="36" t="n"/>
      <c r="H590" s="32" t="n"/>
      <c r="I590" s="32" t="n"/>
      <c r="J590" s="35">
        <f>IF(A590="","",MONTH(A590))</f>
        <v/>
      </c>
      <c r="K590" s="35">
        <f>IF(A590="","",YEAR(A590))</f>
        <v/>
      </c>
    </row>
    <row r="591">
      <c r="A591" s="38" t="n"/>
      <c r="B591" s="32" t="n"/>
      <c r="C591" s="31" t="n"/>
      <c r="D591" s="31" t="n"/>
      <c r="E591" s="31" t="n"/>
      <c r="F591" s="31" t="n"/>
      <c r="G591" s="36" t="n"/>
      <c r="H591" s="32" t="n"/>
      <c r="I591" s="32" t="n"/>
      <c r="J591" s="35">
        <f>IF(A591="","",MONTH(A591))</f>
        <v/>
      </c>
      <c r="K591" s="35">
        <f>IF(A591="","",YEAR(A591))</f>
        <v/>
      </c>
    </row>
    <row r="592">
      <c r="A592" s="38" t="n"/>
      <c r="B592" s="32" t="n"/>
      <c r="C592" s="31" t="n"/>
      <c r="D592" s="31" t="n"/>
      <c r="E592" s="31" t="n"/>
      <c r="F592" s="31" t="n"/>
      <c r="G592" s="36" t="n"/>
      <c r="H592" s="32" t="n"/>
      <c r="I592" s="32" t="n"/>
      <c r="J592" s="35">
        <f>IF(A592="","",MONTH(A592))</f>
        <v/>
      </c>
      <c r="K592" s="35">
        <f>IF(A592="","",YEAR(A592))</f>
        <v/>
      </c>
    </row>
    <row r="593">
      <c r="A593" s="38" t="n"/>
      <c r="B593" s="32" t="n"/>
      <c r="C593" s="31" t="n"/>
      <c r="D593" s="31" t="n"/>
      <c r="E593" s="31" t="n"/>
      <c r="F593" s="31" t="n"/>
      <c r="G593" s="36" t="n"/>
      <c r="H593" s="32" t="n"/>
      <c r="I593" s="32" t="n"/>
      <c r="J593" s="35">
        <f>IF(A593="","",MONTH(A593))</f>
        <v/>
      </c>
      <c r="K593" s="35">
        <f>IF(A593="","",YEAR(A593))</f>
        <v/>
      </c>
    </row>
    <row r="594">
      <c r="A594" s="38" t="n"/>
      <c r="B594" s="32" t="n"/>
      <c r="C594" s="31" t="n"/>
      <c r="D594" s="31" t="n"/>
      <c r="E594" s="31" t="n"/>
      <c r="F594" s="31" t="n"/>
      <c r="G594" s="36" t="n"/>
      <c r="H594" s="32" t="n"/>
      <c r="I594" s="32" t="n"/>
      <c r="J594" s="35">
        <f>IF(A594="","",MONTH(A594))</f>
        <v/>
      </c>
      <c r="K594" s="35">
        <f>IF(A594="","",YEAR(A594))</f>
        <v/>
      </c>
    </row>
    <row r="595">
      <c r="A595" s="38" t="n"/>
      <c r="B595" s="32" t="n"/>
      <c r="C595" s="31" t="n"/>
      <c r="D595" s="31" t="n"/>
      <c r="E595" s="31" t="n"/>
      <c r="F595" s="31" t="n"/>
      <c r="G595" s="36" t="n"/>
      <c r="H595" s="32" t="n"/>
      <c r="I595" s="32" t="n"/>
      <c r="J595" s="35">
        <f>IF(A595="","",MONTH(A595))</f>
        <v/>
      </c>
      <c r="K595" s="35">
        <f>IF(A595="","",YEAR(A595))</f>
        <v/>
      </c>
    </row>
    <row r="596">
      <c r="A596" s="38" t="n"/>
      <c r="B596" s="32" t="n"/>
      <c r="C596" s="31" t="n"/>
      <c r="D596" s="31" t="n"/>
      <c r="E596" s="31" t="n"/>
      <c r="F596" s="31" t="n"/>
      <c r="G596" s="36" t="n"/>
      <c r="H596" s="32" t="n"/>
      <c r="I596" s="32" t="n"/>
      <c r="J596" s="35">
        <f>IF(A596="","",MONTH(A596))</f>
        <v/>
      </c>
      <c r="K596" s="35">
        <f>IF(A596="","",YEAR(A596))</f>
        <v/>
      </c>
    </row>
    <row r="597">
      <c r="A597" s="38" t="n"/>
      <c r="B597" s="32" t="n"/>
      <c r="C597" s="31" t="n"/>
      <c r="D597" s="31" t="n"/>
      <c r="E597" s="31" t="n"/>
      <c r="F597" s="31" t="n"/>
      <c r="G597" s="36" t="n"/>
      <c r="H597" s="32" t="n"/>
      <c r="I597" s="32" t="n"/>
      <c r="J597" s="35">
        <f>IF(A597="","",MONTH(A597))</f>
        <v/>
      </c>
      <c r="K597" s="35">
        <f>IF(A597="","",YEAR(A597))</f>
        <v/>
      </c>
    </row>
    <row r="598">
      <c r="A598" s="38" t="n"/>
      <c r="B598" s="32" t="n"/>
      <c r="C598" s="31" t="n"/>
      <c r="D598" s="31" t="n"/>
      <c r="E598" s="31" t="n"/>
      <c r="F598" s="31" t="n"/>
      <c r="G598" s="36" t="n"/>
      <c r="H598" s="32" t="n"/>
      <c r="I598" s="32" t="n"/>
      <c r="J598" s="35">
        <f>IF(A598="","",MONTH(A598))</f>
        <v/>
      </c>
      <c r="K598" s="35">
        <f>IF(A598="","",YEAR(A598))</f>
        <v/>
      </c>
    </row>
    <row r="599">
      <c r="A599" s="38" t="n"/>
      <c r="B599" s="32" t="n"/>
      <c r="C599" s="31" t="n"/>
      <c r="D599" s="31" t="n"/>
      <c r="E599" s="31" t="n"/>
      <c r="F599" s="31" t="n"/>
      <c r="G599" s="36" t="n"/>
      <c r="H599" s="32" t="n"/>
      <c r="I599" s="32" t="n"/>
      <c r="J599" s="35">
        <f>IF(A599="","",MONTH(A599))</f>
        <v/>
      </c>
      <c r="K599" s="35">
        <f>IF(A599="","",YEAR(A599))</f>
        <v/>
      </c>
    </row>
    <row r="600">
      <c r="A600" s="38" t="n"/>
      <c r="B600" s="32" t="n"/>
      <c r="C600" s="31" t="n"/>
      <c r="D600" s="31" t="n"/>
      <c r="E600" s="31" t="n"/>
      <c r="F600" s="31" t="n"/>
      <c r="G600" s="36" t="n"/>
      <c r="H600" s="32" t="n"/>
      <c r="I600" s="32" t="n"/>
      <c r="J600" s="35">
        <f>IF(A600="","",MONTH(A600))</f>
        <v/>
      </c>
      <c r="K600" s="35">
        <f>IF(A600="","",YEAR(A600))</f>
        <v/>
      </c>
    </row>
    <row r="601">
      <c r="A601" s="38" t="n"/>
      <c r="B601" s="32" t="n"/>
      <c r="C601" s="31" t="n"/>
      <c r="D601" s="31" t="n"/>
      <c r="E601" s="31" t="n"/>
      <c r="F601" s="31" t="n"/>
      <c r="G601" s="36" t="n"/>
      <c r="H601" s="32" t="n"/>
      <c r="I601" s="32" t="n"/>
      <c r="J601" s="35">
        <f>IF(A601="","",MONTH(A601))</f>
        <v/>
      </c>
      <c r="K601" s="35">
        <f>IF(A601="","",YEAR(A601))</f>
        <v/>
      </c>
    </row>
    <row r="602">
      <c r="A602" s="38" t="n"/>
      <c r="B602" s="32" t="n"/>
      <c r="C602" s="31" t="n"/>
      <c r="D602" s="31" t="n"/>
      <c r="E602" s="31" t="n"/>
      <c r="F602" s="31" t="n"/>
      <c r="G602" s="36" t="n"/>
      <c r="H602" s="32" t="n"/>
      <c r="I602" s="32" t="n"/>
      <c r="J602" s="35">
        <f>IF(A602="","",MONTH(A602))</f>
        <v/>
      </c>
      <c r="K602" s="35">
        <f>IF(A602="","",YEAR(A602))</f>
        <v/>
      </c>
    </row>
    <row r="603">
      <c r="A603" s="38" t="n"/>
      <c r="B603" s="32" t="n"/>
      <c r="C603" s="31" t="n"/>
      <c r="D603" s="31" t="n"/>
      <c r="E603" s="31" t="n"/>
      <c r="F603" s="31" t="n"/>
      <c r="G603" s="36" t="n"/>
      <c r="H603" s="32" t="n"/>
      <c r="I603" s="32" t="n"/>
      <c r="J603" s="35">
        <f>IF(A603="","",MONTH(A603))</f>
        <v/>
      </c>
      <c r="K603" s="35">
        <f>IF(A603="","",YEAR(A603))</f>
        <v/>
      </c>
    </row>
    <row r="604">
      <c r="A604" s="38" t="n"/>
      <c r="B604" s="32" t="n"/>
      <c r="C604" s="31" t="n"/>
      <c r="D604" s="31" t="n"/>
      <c r="E604" s="31" t="n"/>
      <c r="F604" s="31" t="n"/>
      <c r="G604" s="36" t="n"/>
      <c r="H604" s="32" t="n"/>
      <c r="I604" s="32" t="n"/>
      <c r="J604" s="35">
        <f>IF(A604="","",MONTH(A604))</f>
        <v/>
      </c>
      <c r="K604" s="35">
        <f>IF(A604="","",YEAR(A604))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04"/>
  <mergeCells count="2">
    <mergeCell ref="A2:K2"/>
    <mergeCell ref="A1:K1"/>
  </mergeCells>
  <conditionalFormatting sqref="A5:K604">
    <cfRule type="expression" priority="1" dxfId="2">
      <formula>$B5="Entrada"</formula>
    </cfRule>
    <cfRule type="expression" priority="2" dxfId="3">
      <formula>AND($A5&lt;&gt;"",$I5="Não")</formula>
    </cfRule>
  </conditionalFormatting>
  <dataValidations count="7">
    <dataValidation sqref="B5:B604" showDropDown="0" showInputMessage="0" showErrorMessage="1" allowBlank="1" type="list">
      <formula1>"Entrada,Saída"</formula1>
    </dataValidation>
    <dataValidation sqref="C5:C604" showDropDown="0" showInputMessage="0" showErrorMessage="0" allowBlank="1" type="list">
      <formula1>=OFFSET(Config!$H$5,0,0,MAX(1,COUNTA(Config!$D$5:$D$16)+COUNTA(Config!$F$5:$F$20)),1)</formula1>
    </dataValidation>
    <dataValidation sqref="D5:D604" showDropDown="0" showInputMessage="0" showErrorMessage="0" allowBlank="1" type="list">
      <formula1>=OFFSET(Config!$J$5,0,0,MAX(1,COUNTA(Config!$J$5:$J$34)),1)</formula1>
    </dataValidation>
    <dataValidation sqref="H5:H604" showDropDown="0" showInputMessage="0" showErrorMessage="1" allowBlank="1" type="list">
      <formula1>"Pix,Transferência,Boleto,Cartão,Dinheiro"</formula1>
    </dataValidation>
    <dataValidation sqref="I5:I604" showDropDown="0" showInputMessage="0" showErrorMessage="1" allowBlank="1" type="list">
      <formula1>"Sim,Não"</formula1>
    </dataValidation>
    <dataValidation sqref="A5:A604" showDropDown="0" showInputMessage="0" showErrorMessage="0" allowBlank="1" type="date" operator="greaterThan">
      <formula1>1</formula1>
    </dataValidation>
    <dataValidation sqref="G5:G6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Caixa do escritório · Kit de Gestão para Advogados</dc:title>
  <dcterms:created xmlns:dcterms="http://purl.org/dc/terms/" xmlns:xsi="http://www.w3.org/2001/XMLSchema-instance" xsi:type="dcterms:W3CDTF">2026-09-14T18:37:07Z</dcterms:created>
  <dcterms:modified xmlns:dcterms="http://purl.org/dc/terms/" xmlns:xsi="http://www.w3.org/2001/XMLSchema-instance" xsi:type="dcterms:W3CDTF">2026-09-14T18:37:08Z</dcterms:modified>
</cp:coreProperties>
</file>