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Dados" sheetId="4" state="visible" r:id="rId4"/>
    <sheet xmlns:r="http://schemas.openxmlformats.org/officeDocument/2006/relationships" name="Histór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#,##0.0"/>
    <numFmt numFmtId="167" formatCode="&quot;R$&quot; #,##0;[Red]-&quot;R$&quot; #,##0"/>
    <numFmt numFmtId="168" formatCode="0.0%"/>
    <numFmt numFmtId="169" formatCode="+0.0%;-0.0%;0.0%"/>
    <numFmt numFmtId="170" formatCode="+0.0&quot; p.p.&quot;;-0.0&quot; p.p.&quot;;0.0&quot; p.p.&quot;"/>
  </numFmts>
  <fonts count="14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color rgb="003B1F5E"/>
      <sz val="10"/>
    </font>
    <font>
      <name val="Arial"/>
      <b val="1"/>
      <color rgb="003B1F5E"/>
      <sz val="9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5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</fills>
  <borders count="5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vertical="top"/>
    </xf>
    <xf numFmtId="0" fontId="13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3" fontId="1" fillId="4" borderId="0" applyAlignment="1" pivotButton="0" quotePrefix="0" xfId="0">
      <alignment horizontal="center"/>
    </xf>
    <xf numFmtId="166" fontId="1" fillId="4" borderId="0" applyAlignment="1" pivotButton="0" quotePrefix="0" xfId="0">
      <alignment horizontal="center"/>
    </xf>
    <xf numFmtId="167" fontId="1" fillId="4" borderId="0" applyAlignment="1" pivotButton="0" quotePrefix="0" xfId="0">
      <alignment horizontal="center"/>
    </xf>
    <xf numFmtId="0" fontId="8" fillId="0" borderId="0" pivotButton="0" quotePrefix="0" xfId="0"/>
    <xf numFmtId="9" fontId="1" fillId="4" borderId="0" applyAlignment="1" pivotButton="0" quotePrefix="0" xfId="0">
      <alignment horizontal="center"/>
    </xf>
    <xf numFmtId="168" fontId="1" fillId="4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9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0" borderId="1" pivotButton="0" quotePrefix="0" xfId="0"/>
    <xf numFmtId="3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9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170" fontId="4" fillId="0" borderId="1" applyAlignment="1" pivotButton="0" quotePrefix="0" xfId="0">
      <alignment horizontal="center"/>
    </xf>
    <xf numFmtId="167" fontId="4" fillId="0" borderId="1" applyAlignment="1" pivotButton="0" quotePrefix="0" xfId="0">
      <alignment horizontal="center"/>
    </xf>
    <xf numFmtId="168" fontId="4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4" fillId="0" borderId="0" pivotButton="0" quotePrefix="0" xfId="0"/>
    <xf numFmtId="165" fontId="4" fillId="2" borderId="1" applyProtection="1" pivotButton="0" quotePrefix="0" xfId="0">
      <protection locked="0" hidden="0"/>
    </xf>
    <xf numFmtId="0" fontId="7" fillId="0" borderId="1" pivotButton="0" quotePrefix="0" xfId="0"/>
    <xf numFmtId="3" fontId="4" fillId="2" borderId="1" applyAlignment="1" applyProtection="1" pivotButton="0" quotePrefix="0" xfId="0">
      <alignment horizontal="center"/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0" fontId="5" fillId="0" borderId="1" pivotButton="0" quotePrefix="0" xfId="0"/>
    <xf numFmtId="166" fontId="4" fillId="2" borderId="1" applyAlignment="1" applyProtection="1" pivotButton="0" quotePrefix="0" xfId="0">
      <alignment horizontal="center"/>
      <protection locked="0" hidden="0"/>
    </xf>
    <xf numFmtId="9" fontId="4" fillId="2" borderId="1" applyAlignment="1" applyProtection="1" pivotButton="0" quotePrefix="0" xfId="0">
      <alignment horizontal="center"/>
      <protection locked="0" hidden="0"/>
    </xf>
    <xf numFmtId="167" fontId="4" fillId="2" borderId="1" applyAlignment="1" applyProtection="1" pivotButton="0" quotePrefix="0" xfId="0">
      <alignment horizontal="center"/>
      <protection locked="0" hidden="0"/>
    </xf>
    <xf numFmtId="168" fontId="4" fillId="2" borderId="1" applyAlignment="1" applyProtection="1" pivotButton="0" quotePrefix="0" xfId="0">
      <alignment horizontal="center"/>
      <protection locked="0" hidden="0"/>
    </xf>
  </cellXfs>
  <cellStyles count="1">
    <cellStyle name="Normal" xfId="0" builtinId="0" hidden="0"/>
  </cellStyles>
  <dxfs count="7">
    <dxf>
      <font>
        <name val="Arial"/>
        <b val="1"/>
        <color rgb="007A1F1F"/>
        <sz val="16"/>
      </font>
      <fill>
        <patternFill patternType="solid">
          <fgColor rgb="00FBE4E4"/>
        </patternFill>
      </fill>
    </dxf>
    <dxf>
      <font>
        <name val="Arial"/>
        <b val="1"/>
        <color rgb="007A5200"/>
        <sz val="16"/>
      </font>
      <fill>
        <patternFill patternType="solid">
          <fgColor rgb="00FFF4CC"/>
        </patternFill>
      </fill>
    </dxf>
    <dxf>
      <font>
        <name val="Arial"/>
        <b val="1"/>
        <color rgb="00155E3C"/>
        <sz val="16"/>
      </font>
      <fill>
        <patternFill patternType="solid">
          <fgColor rgb="00DDF3E7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ont>
        <name val="Arial"/>
        <color rgb="007A5200"/>
        <sz val="10"/>
      </font>
      <fill>
        <patternFill patternType="solid">
          <fgColor rgb="00FFF4CC"/>
        </patternFill>
      </fill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ont>
        <name val="Arial"/>
        <b val="1"/>
        <color rgb="003B1F5E"/>
        <sz val="10"/>
      </font>
      <fill>
        <patternFill patternType="solid">
          <fgColor rgb="00FFC83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Caixa do mês: entrou, saiu, sobrou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'Histórico'!G4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solidFill>
                <a:srgbClr val="3B1F5E"/>
              </a:solidFill>
              <a:prstDash val="solid"/>
            </a:ln>
          </spPr>
          <cat>
            <numRef>
              <f>'Histórico'!$A$5:$A$16</f>
            </numRef>
          </cat>
          <val>
            <numRef>
              <f>'Histórico'!$G$5:$G$16</f>
            </numRef>
          </val>
        </ser>
        <ser>
          <idx val="1"/>
          <order val="1"/>
          <tx>
            <strRef>
              <f>'Histórico'!H4</f>
            </strRef>
          </tx>
          <spPr>
            <a:solidFill xmlns:a="http://schemas.openxmlformats.org/drawingml/2006/main">
              <a:srgbClr val="7A5AA8"/>
            </a:solidFill>
            <a:ln xmlns:a="http://schemas.openxmlformats.org/drawingml/2006/main">
              <a:solidFill>
                <a:srgbClr val="7A5AA8"/>
              </a:solidFill>
              <a:prstDash val="solid"/>
            </a:ln>
          </spPr>
          <cat>
            <numRef>
              <f>'Histórico'!$A$5:$A$16</f>
            </numRef>
          </cat>
          <val>
            <numRef>
              <f>'Histórico'!$H$5:$H$16</f>
            </numRef>
          </val>
        </ser>
        <ser>
          <idx val="2"/>
          <order val="2"/>
          <tx>
            <strRef>
              <f>'Histórico'!I4</f>
            </strRef>
          </tx>
          <spPr>
            <a:solidFill xmlns:a="http://schemas.openxmlformats.org/drawingml/2006/main">
              <a:srgbClr val="FFC83D"/>
            </a:solidFill>
            <a:ln xmlns:a="http://schemas.openxmlformats.org/drawingml/2006/main">
              <a:solidFill>
                <a:srgbClr val="FFC83D"/>
              </a:solidFill>
              <a:prstDash val="solid"/>
            </a:ln>
          </spPr>
          <cat>
            <numRef>
              <f>'Histórico'!$A$5:$A$16</f>
            </numRef>
          </cat>
          <val>
            <numRef>
              <f>'Histórico'!$I$5:$I$16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&quot;R$&quot; 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Recebíveis: a receber e vencido</a:t>
            </a:r>
          </a:p>
        </rich>
      </tx>
    </title>
    <plotArea>
      <lineChart>
        <grouping val="standard"/>
        <ser>
          <idx val="0"/>
          <order val="0"/>
          <tx>
            <strRef>
              <f>'Histórico'!J4</f>
            </strRef>
          </tx>
          <spPr>
            <a:ln xmlns:a="http://schemas.openxmlformats.org/drawingml/2006/main" w="28000">
              <a:solidFill>
                <a:srgbClr val="3B1F5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'Histórico'!$A$5:$A$16</f>
            </numRef>
          </cat>
          <val>
            <numRef>
              <f>'Histórico'!$J$5:$J$16</f>
            </numRef>
          </val>
          <smooth val="0"/>
        </ser>
        <ser>
          <idx val="1"/>
          <order val="1"/>
          <tx>
            <strRef>
              <f>'Histórico'!K4</f>
            </strRef>
          </tx>
          <spPr>
            <a:ln xmlns:a="http://schemas.openxmlformats.org/drawingml/2006/main" w="28000">
              <a:solidFill>
                <a:srgbClr val="C0392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'Histórico'!$A$5:$A$16</f>
            </numRef>
          </cat>
          <val>
            <numRef>
              <f>'Histórico'!$K$5:$K$16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&quot;R$&quot; 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37</row>
      <rowOff>0</rowOff>
    </from>
    <ext cx="79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Painel do Escritório</t>
        </is>
      </c>
    </row>
    <row r="2">
      <c r="A2" s="2" t="inlineStr">
        <is>
          <t>Kit de Gestão para Advogados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Reúne em uma tela os números que já estão nas outras planilhas do kit: prazos da semana e atrasados, horas do mês e faturáveis, o que entrou, saiu e sobrou, a receber e vencido, propostas abertas e casos ativos. Cada número ganha um semáforo contra o limite que você definir e a comparação com o mês anterior.</t>
        </is>
      </c>
    </row>
    <row r="5" ht="46" customHeight="1">
      <c r="A5" s="3" t="inlineStr">
        <is>
          <t>Toda sexta (10 minutos)</t>
        </is>
      </c>
      <c r="B5" s="4" t="inlineStr">
        <is>
          <t>Abra as planilhas 01 (prazos), 16 (horas), 09 (caixa), 13 (carteira), 14 (inadimplência) e 15 (propostas), copie os totais do Painel de cada uma para a coluna B da aba Dados. Pronto: o Painel se refaz. No exemplo, a sexta é 11/09/2026 e cada número é exatamente o que está no Painel da planilha de origem.</t>
        </is>
      </c>
    </row>
    <row r="6" ht="46" customHeight="1">
      <c r="A6" s="3" t="inlineStr">
        <is>
          <t>Limites e metas</t>
        </is>
      </c>
      <c r="B6" s="4" t="inlineStr">
        <is>
          <t>Na aba Dados, coluna C, escreva o limite de cada indicador (ex.: 0 prazos atrasados, 75% de horas faturáveis, inadimplência de 4%) e diga se maior ou menor é melhor. Linha sem limite fica informativa (A receber é a carteira contratada, inclui êxito esperado: não é problema).</t>
        </is>
      </c>
    </row>
    <row r="7" ht="46" customHeight="1">
      <c r="A7" s="3" t="inlineStr">
        <is>
          <t>Fim do mês</t>
        </is>
      </c>
      <c r="B7" s="4" t="inlineStr">
        <is>
          <t>Copie a coluna B da aba Dados para a linha do mês em Histórico. Os gráficos de caixa e de recebíveis usam essa aba; o Painel busca ali o mês anterior.</t>
        </is>
      </c>
    </row>
    <row r="8" ht="46" customHeight="1">
      <c r="A8" s="3" t="inlineStr">
        <is>
          <t>Config</t>
        </is>
      </c>
      <c r="B8" s="4" t="inlineStr">
        <is>
          <t>Escolha o mês do painel e troque a data de referência por =HOJE() (no exemplo ela está congelada em 14/09/2026). O título do Painel se ajusta.</t>
        </is>
      </c>
    </row>
    <row r="9" ht="46" customHeight="1">
      <c r="A9" s="3" t="inlineStr">
        <is>
          <t>Com a IA</t>
        </is>
      </c>
      <c r="B9" s="4" t="inlineStr">
        <is>
          <t>O Painel é a tela da rotina de sexta. Para o texto do mês (sócio, contador), use a planilha 20 · Resumo do mês e o prompt "Painel 01 · Explicar o mês ao sócio" da biblioteca.</t>
        </is>
      </c>
    </row>
    <row r="10" ht="46" customHeight="1">
      <c r="A10" s="3" t="inlineStr">
        <is>
          <t>Legenda</t>
        </is>
      </c>
      <c r="B10" s="4" t="inlineStr">
        <is>
          <t>Células amarelas: você preenche. Brancas: calculadas. Não é preciso mexer em nada fora do amarelo.</t>
        </is>
      </c>
    </row>
    <row r="11" ht="46" customHeight="1">
      <c r="A11" s="3" t="inlineStr">
        <is>
          <t>Proteção</t>
        </is>
      </c>
      <c r="B11" s="4" t="inlineStr">
        <is>
          <t>Fórmulas protegidas sem senha. Para editar: Revisar &gt; Desproteger planilha (Excel) ou Dados &gt; Proteger intervalos (Google Sheets).</t>
        </is>
      </c>
    </row>
    <row r="12" ht="46" customHeight="1">
      <c r="A12" s="3" t="inlineStr">
        <is>
          <t>Requisitos</t>
        </is>
      </c>
      <c r="B12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3" ht="46" customHeight="1">
      <c r="A13" s="3" t="inlineStr">
        <is>
          <t>Google Sheets</t>
        </is>
      </c>
      <c r="B13" s="4" t="inlineStr">
        <is>
          <t>Faça upload no Google Drive e abra com o Google Sheets. Fórmulas, listas, cores e gráficos funcionam.</t>
        </is>
      </c>
    </row>
    <row r="14" ht="46" customHeight="1">
      <c r="A14" s="3" t="inlineStr">
        <is>
          <t>Exemplos</t>
        </is>
      </c>
      <c r="B14" s="4" t="inlineStr">
        <is>
          <t>Ferraz &amp; Lima Advocacia é um escritório fictício. Clientes, processos, nomes e valores são inventados. Apague-os antes de começar.</t>
        </is>
      </c>
    </row>
    <row r="15" ht="46" customHeight="1">
      <c r="A15" s="3" t="inlineStr">
        <is>
          <t>Data de referência</t>
        </is>
      </c>
      <c r="B15" s="4" t="inlineStr">
        <is>
          <t>O exemplo está congelado em 14/09/2026, para todos os arquivos do kit mostrarem a mesma foto e os números fecharem entre eles. Ao começar a usar com os seus dados, troque a data de referência em Config por =HOJE(): daí em diante ela acompanha o dia.</t>
        </is>
      </c>
    </row>
    <row r="16" ht="46" customHeight="1">
      <c r="A16" s="3" t="inlineStr">
        <is>
          <t>Suporte</t>
        </is>
      </c>
      <c r="B16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4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5" t="str">
        <f>Config!B4&amp;" · Painel do escritório · "&amp;Config!B5&amp;" de "&amp;Config!B6</f>
        <v>Ferraz &amp; Lima Advocacia (exemplo fictício) · Painel do escritório · Setembro de 2026</v>
      </c>
    </row>
    <row r="2">
      <c r="A2" s="6" t="str">
        <f>"Nada para digitar aqui. Os números vêm da aba Dados (atualizada toda sexta) e o mês anterior vem do Histórico. Referência: "&amp;TEXT(Config!B7,"dd/mm/yyyy")&amp;"."</f>
        <v>Nada para digitar aqui. Os números vêm da aba Dados (atualizada toda sexta) e o mês anterior vem do Histórico. Referência: 14/09/2026.</v>
      </c>
    </row>
    <row r="4">
      <c r="A4" s="7" t="inlineStr">
        <is>
          <t>Prazos hoje + 7 dias</t>
        </is>
      </c>
      <c r="B4" s="8" t="n"/>
      <c r="C4" s="7" t="inlineStr">
        <is>
          <t>Prazos atrasados</t>
        </is>
      </c>
      <c r="D4" s="8" t="n"/>
      <c r="E4" s="7" t="inlineStr">
        <is>
          <t>Horas do mês</t>
        </is>
      </c>
      <c r="F4" s="8" t="n"/>
      <c r="G4" s="7" t="inlineStr">
        <is>
          <t>Horas faturáveis</t>
        </is>
      </c>
      <c r="H4" s="8" t="n"/>
      <c r="I4" s="7" t="inlineStr">
        <is>
          <t>Casos ativos</t>
        </is>
      </c>
      <c r="J4" s="8" t="n"/>
    </row>
    <row r="5" ht="30" customHeight="1">
      <c r="A5" s="9">
        <f>IF(Dados!$B$5="","—",Dados!$B$5)</f>
        <v>14</v>
      </c>
      <c r="B5" s="8" t="n"/>
      <c r="C5" s="9">
        <f>IF(Dados!$B$6="","—",Dados!$B$6)</f>
        <v>7</v>
      </c>
      <c r="D5" s="8" t="n"/>
      <c r="E5" s="10">
        <f>IF(Dados!$B$7="","—",Dados!$B$7)</f>
        <v>109.5</v>
      </c>
      <c r="F5" s="8" t="n"/>
      <c r="G5" s="10">
        <f>IF(Dados!$B$8="","—",Dados!$B$8)</f>
        <v>87</v>
      </c>
      <c r="H5" s="8" t="n"/>
      <c r="I5" s="9">
        <f>IF(Dados!$B$18="","—",Dados!$B$18)</f>
        <v>30</v>
      </c>
      <c r="J5" s="8" t="n"/>
    </row>
    <row r="7">
      <c r="A7" s="7" t="inlineStr">
        <is>
          <t>Entrou no mês</t>
        </is>
      </c>
      <c r="B7" s="8" t="n"/>
      <c r="C7" s="7" t="inlineStr">
        <is>
          <t>Saiu no mês</t>
        </is>
      </c>
      <c r="D7" s="8" t="n"/>
      <c r="E7" s="7" t="inlineStr">
        <is>
          <t>Sobrou no mês</t>
        </is>
      </c>
      <c r="F7" s="8" t="n"/>
      <c r="G7" s="7" t="inlineStr">
        <is>
          <t>A receber</t>
        </is>
      </c>
      <c r="H7" s="8" t="n"/>
      <c r="I7" s="7" t="inlineStr">
        <is>
          <t>Vencido</t>
        </is>
      </c>
      <c r="J7" s="8" t="n"/>
    </row>
    <row r="8" ht="30" customHeight="1">
      <c r="A8" s="11">
        <f>IF(Dados!$B$10="","—",Dados!$B$10)</f>
        <v>5220</v>
      </c>
      <c r="B8" s="8" t="n"/>
      <c r="C8" s="11">
        <f>IF(Dados!$B$11="","—",Dados!$B$11)</f>
        <v>5320</v>
      </c>
      <c r="D8" s="8" t="n"/>
      <c r="E8" s="11">
        <f>IF(Dados!$B$12="","—",Dados!$B$12)</f>
        <v>-100</v>
      </c>
      <c r="F8" s="8" t="n"/>
      <c r="G8" s="11">
        <f>IF(Dados!$B$13="","—",Dados!$B$13)</f>
        <v>111990</v>
      </c>
      <c r="H8" s="8" t="n"/>
      <c r="I8" s="11">
        <f>IF(Dados!$B$14="","—",Dados!$B$14)</f>
        <v>13080</v>
      </c>
      <c r="J8" s="8" t="n"/>
    </row>
    <row r="10">
      <c r="A10" s="7" t="inlineStr">
        <is>
          <t>Propostas abertas</t>
        </is>
      </c>
      <c r="B10" s="8" t="n"/>
      <c r="C10" s="7" t="inlineStr">
        <is>
          <t>Valor das propostas</t>
        </is>
      </c>
      <c r="D10" s="8" t="n"/>
      <c r="E10" s="7" t="inlineStr">
        <is>
          <t>% de horas faturáveis</t>
        </is>
      </c>
      <c r="F10" s="8" t="n"/>
      <c r="G10" s="7" t="inlineStr">
        <is>
          <t>Inadimplência</t>
        </is>
      </c>
      <c r="H10" s="8" t="n"/>
      <c r="I10" s="12" t="inlineStr">
        <is>
          <t>Cores dos cartões</t>
        </is>
      </c>
    </row>
    <row r="11" ht="30" customHeight="1">
      <c r="A11" s="9">
        <f>IF(Dados!$B$16="","—",Dados!$B$16)</f>
        <v>9</v>
      </c>
      <c r="B11" s="8" t="n"/>
      <c r="C11" s="11">
        <f>IF(Dados!$B$17="","—",Dados!$B$17)</f>
        <v>72900</v>
      </c>
      <c r="D11" s="8" t="n"/>
      <c r="E11" s="13">
        <f>IF(Dados!$B$9="","—",Dados!$B$9)</f>
        <v>0.794520547945205</v>
      </c>
      <c r="F11" s="8" t="n"/>
      <c r="G11" s="14">
        <f>IF(Dados!$B$15="","—",Dados!$B$15)</f>
        <v>0.045896347240254</v>
      </c>
      <c r="H11" s="8" t="n"/>
      <c r="I11" s="15" t="inlineStr">
        <is>
          <t>Verde: no alvo · Amarelo: perto do limite · Vermelho: fora · Lilás: informativo</t>
        </is>
      </c>
    </row>
    <row r="13">
      <c r="A13" s="16" t="inlineStr">
        <is>
          <t>Semáforos da semana e comparação com o mês anterior</t>
        </is>
      </c>
    </row>
    <row r="14" ht="26" customHeight="1">
      <c r="A14" s="17" t="inlineStr">
        <is>
          <t>Indicador</t>
        </is>
      </c>
      <c r="B14" s="18" t="n"/>
      <c r="C14" s="17" t="inlineStr">
        <is>
          <t>Esta sexta</t>
        </is>
      </c>
      <c r="D14" s="17" t="inlineStr">
        <is>
          <t>Limite ou meta</t>
        </is>
      </c>
      <c r="E14" s="17" t="inlineStr">
        <is>
          <t>Situação</t>
        </is>
      </c>
      <c r="F14" s="17" t="inlineStr">
        <is>
          <t>Mês anterior (Histórico)</t>
        </is>
      </c>
      <c r="G14" s="17" t="inlineStr">
        <is>
          <t>Variação</t>
        </is>
      </c>
    </row>
    <row r="15">
      <c r="A15" s="19" t="str">
        <f>Dados!A5</f>
        <v>Prazos de hoje e dos próximos 7 dias</v>
      </c>
      <c r="B15" s="18" t="n"/>
      <c r="C15" s="20">
        <f>IF(Dados!B5="","—",Dados!B5)</f>
        <v>14</v>
      </c>
      <c r="D15" s="20" t="str">
        <f>IF(Dados!C5="","—",Dados!C5)</f>
        <v>—</v>
      </c>
      <c r="E15" s="21" t="str">
        <f>Dados!F5</f>
        <v>Informativo</v>
      </c>
      <c r="F15" s="20" t="str">
        <f>IF(Config!$B$8&lt;=1,"—",IF(INDEX(Histórico!$B$5:$B$16,Config!$B$8-1)="","—",INDEX(Histórico!$B$5:$B$16,Config!$B$8-1)))</f>
        <v>—</v>
      </c>
      <c r="G15" s="22" t="str">
        <f>(IF(OR(C15="—",F15="—",F15=0),"—",(C15-F15)/ABS(F15)))</f>
        <v>—</v>
      </c>
    </row>
    <row r="16">
      <c r="A16" s="19" t="str">
        <f>Dados!A6</f>
        <v>Prazos atrasados</v>
      </c>
      <c r="B16" s="18" t="n"/>
      <c r="C16" s="20">
        <f>IF(Dados!B6="","—",Dados!B6)</f>
        <v>7</v>
      </c>
      <c r="D16" s="20">
        <f>IF(Dados!C6="","—",Dados!C6)</f>
        <v>0</v>
      </c>
      <c r="E16" s="21" t="str">
        <f>Dados!F6</f>
        <v>Fora</v>
      </c>
      <c r="F16" s="20" t="str">
        <f>IF(Config!$B$8&lt;=1,"—",IF(INDEX(Histórico!$C$5:$C$16,Config!$B$8-1)="","—",INDEX(Histórico!$C$5:$C$16,Config!$B$8-1)))</f>
        <v>—</v>
      </c>
      <c r="G16" s="22" t="str">
        <f>(IF(OR(C16="—",F16="—",F16=0),"—",(C16-F16)/ABS(F16)))</f>
        <v>—</v>
      </c>
    </row>
    <row r="17">
      <c r="A17" s="19" t="str">
        <f>Dados!A7</f>
        <v>Horas registradas no mês</v>
      </c>
      <c r="B17" s="18" t="n"/>
      <c r="C17" s="23">
        <f>IF(Dados!B7="","—",Dados!B7)</f>
        <v>109.5</v>
      </c>
      <c r="D17" s="23" t="str">
        <f>IF(Dados!C7="","—",Dados!C7)</f>
        <v>—</v>
      </c>
      <c r="E17" s="21" t="str">
        <f>Dados!F7</f>
        <v>Informativo</v>
      </c>
      <c r="F17" s="23">
        <f>IF(Config!$B$8&lt;=1,"—",IF(INDEX(Histórico!$D$5:$D$16,Config!$B$8-1)="","—",INDEX(Histórico!$D$5:$D$16,Config!$B$8-1)))</f>
        <v>304</v>
      </c>
      <c r="G17" s="22" t="str">
        <f>IF(Config!$B$10&lt;&gt;"Sim","no fechamento",IF(OR(C17="—",F17="—",F17=0),"—",(C17-F17)/ABS(F17)))</f>
        <v>no fechamento</v>
      </c>
    </row>
    <row r="18">
      <c r="A18" s="19" t="str">
        <f>Dados!A8</f>
        <v>Horas faturáveis no mês</v>
      </c>
      <c r="B18" s="18" t="n"/>
      <c r="C18" s="23">
        <f>IF(Dados!B8="","—",Dados!B8)</f>
        <v>87</v>
      </c>
      <c r="D18" s="23" t="str">
        <f>IF(Dados!C8="","—",Dados!C8)</f>
        <v>—</v>
      </c>
      <c r="E18" s="21" t="str">
        <f>Dados!F8</f>
        <v>Informativo</v>
      </c>
      <c r="F18" s="23">
        <f>IF(Config!$B$8&lt;=1,"—",IF(INDEX(Histórico!$E$5:$E$16,Config!$B$8-1)="","—",INDEX(Histórico!$E$5:$E$16,Config!$B$8-1)))</f>
        <v>248</v>
      </c>
      <c r="G18" s="22" t="str">
        <f>IF(Config!$B$10&lt;&gt;"Sim","no fechamento",IF(OR(C18="—",F18="—",F18=0),"—",(C18-F18)/ABS(F18)))</f>
        <v>no fechamento</v>
      </c>
    </row>
    <row r="19">
      <c r="A19" s="19" t="str">
        <f>Dados!A9</f>
        <v>% de horas faturáveis</v>
      </c>
      <c r="B19" s="18" t="n"/>
      <c r="C19" s="24">
        <f>IF(Dados!B9="","—",Dados!B9)</f>
        <v>0.794520547945205</v>
      </c>
      <c r="D19" s="24">
        <f>IF(Dados!C9="","—",Dados!C9)</f>
        <v>0.75</v>
      </c>
      <c r="E19" s="21" t="str">
        <f>Dados!F9</f>
        <v>No alvo</v>
      </c>
      <c r="F19" s="24">
        <f>IF(Config!$B$8&lt;=1,"—",IF(INDEX(Histórico!$F$5:$F$16,Config!$B$8-1)="","—",INDEX(Histórico!$F$5:$F$16,Config!$B$8-1)))</f>
        <v>0.815789473684211</v>
      </c>
      <c r="G19" s="25">
        <f>(IF(OR(C19="—",F19="—"),"—",(C19-F19)*100))</f>
        <v>-2.12689257390051</v>
      </c>
    </row>
    <row r="20">
      <c r="A20" s="19" t="str">
        <f>Dados!A10</f>
        <v>Entrou no mês (recebimentos)</v>
      </c>
      <c r="B20" s="18" t="n"/>
      <c r="C20" s="26">
        <f>IF(Dados!B10="","—",Dados!B10)</f>
        <v>5220</v>
      </c>
      <c r="D20" s="26" t="str">
        <f>IF(Dados!C10="","—",Dados!C10)</f>
        <v>—</v>
      </c>
      <c r="E20" s="21" t="str">
        <f>Dados!F10</f>
        <v>Informativo</v>
      </c>
      <c r="F20" s="26">
        <f>IF(Config!$B$8&lt;=1,"—",IF(INDEX(Histórico!$G$5:$G$16,Config!$B$8-1)="","—",INDEX(Histórico!$G$5:$G$16,Config!$B$8-1)))</f>
        <v>26900</v>
      </c>
      <c r="G20" s="22" t="str">
        <f>IF(Config!$B$10&lt;&gt;"Sim","no fechamento",IF(OR(C20="—",F20="—",F20=0),"—",(C20-F20)/ABS(F20)))</f>
        <v>no fechamento</v>
      </c>
    </row>
    <row r="21">
      <c r="A21" s="19" t="str">
        <f>Dados!A11</f>
        <v>Saiu no mês (tudo o que saiu do caixa)</v>
      </c>
      <c r="B21" s="18" t="n"/>
      <c r="C21" s="26">
        <f>IF(Dados!B11="","—",Dados!B11)</f>
        <v>5320</v>
      </c>
      <c r="D21" s="26" t="str">
        <f>IF(Dados!C11="","—",Dados!C11)</f>
        <v>—</v>
      </c>
      <c r="E21" s="21" t="str">
        <f>Dados!F11</f>
        <v>Informativo</v>
      </c>
      <c r="F21" s="26">
        <f>IF(Config!$B$8&lt;=1,"—",IF(INDEX(Histórico!$H$5:$H$16,Config!$B$8-1)="","—",INDEX(Histórico!$H$5:$H$16,Config!$B$8-1)))</f>
        <v>21897</v>
      </c>
      <c r="G21" s="22" t="str">
        <f>IF(Config!$B$10&lt;&gt;"Sim","no fechamento",IF(OR(C21="—",F21="—",F21=0),"—",(C21-F21)/ABS(F21)))</f>
        <v>no fechamento</v>
      </c>
    </row>
    <row r="22">
      <c r="A22" s="19" t="str">
        <f>Dados!A12</f>
        <v>Sobrou no mês</v>
      </c>
      <c r="B22" s="18" t="n"/>
      <c r="C22" s="26">
        <f>IF(Dados!B12="","—",Dados!B12)</f>
        <v>-100</v>
      </c>
      <c r="D22" s="26" t="str">
        <f>IF(Dados!C12="","—",Dados!C12)</f>
        <v>—</v>
      </c>
      <c r="E22" s="21" t="str">
        <f>Dados!F12</f>
        <v>Informativo</v>
      </c>
      <c r="F22" s="26">
        <f>IF(Config!$B$8&lt;=1,"—",IF(INDEX(Histórico!$I$5:$I$16,Config!$B$8-1)="","—",INDEX(Histórico!$I$5:$I$16,Config!$B$8-1)))</f>
        <v>5003</v>
      </c>
      <c r="G22" s="22" t="str">
        <f>IF(Config!$B$10&lt;&gt;"Sim","no fechamento",IF(OR(C22="—",F22="—",F22=0),"—",(C22-F22)/ABS(F22)))</f>
        <v>no fechamento</v>
      </c>
    </row>
    <row r="23">
      <c r="A23" s="19" t="str">
        <f>Dados!A13</f>
        <v>A receber (carteira; inclui êxito de casos ativos)</v>
      </c>
      <c r="B23" s="18" t="n"/>
      <c r="C23" s="26">
        <f>IF(Dados!B13="","—",Dados!B13)</f>
        <v>111990</v>
      </c>
      <c r="D23" s="26" t="str">
        <f>IF(Dados!C13="","—",Dados!C13)</f>
        <v>—</v>
      </c>
      <c r="E23" s="21" t="str">
        <f>Dados!F13</f>
        <v>Informativo</v>
      </c>
      <c r="F23" s="26">
        <f>IF(Config!$B$8&lt;=1,"—",IF(INDEX(Histórico!$J$5:$J$16,Config!$B$8-1)="","—",INDEX(Histórico!$J$5:$J$16,Config!$B$8-1)))</f>
        <v>117210</v>
      </c>
      <c r="G23" s="22">
        <f>(IF(OR(C23="—",F23="—",F23=0),"—",(C23-F23)/ABS(F23)))</f>
        <v>-0.0445354491937548</v>
      </c>
    </row>
    <row r="24">
      <c r="A24" s="19" t="str">
        <f>Dados!A14</f>
        <v>Vencido (parcelas em atraso)</v>
      </c>
      <c r="B24" s="18" t="n"/>
      <c r="C24" s="26">
        <f>IF(Dados!B14="","—",Dados!B14)</f>
        <v>13080</v>
      </c>
      <c r="D24" s="26">
        <f>IF(Dados!C14="","—",Dados!C14)</f>
        <v>10000</v>
      </c>
      <c r="E24" s="21" t="str">
        <f>Dados!F14</f>
        <v>Fora</v>
      </c>
      <c r="F24" s="26">
        <f>IF(Config!$B$8&lt;=1,"—",IF(INDEX(Histórico!$K$5:$K$16,Config!$B$8-1)="","—",INDEX(Histórico!$K$5:$K$16,Config!$B$8-1)))</f>
        <v>11100</v>
      </c>
      <c r="G24" s="22">
        <f>(IF(OR(C24="—",F24="—",F24=0),"—",(C24-F24)/ABS(F24)))</f>
        <v>0.178378378378378</v>
      </c>
    </row>
    <row r="25">
      <c r="A25" s="19" t="str">
        <f>Dados!A15</f>
        <v>Inadimplência (vencido ÷ (pago + vencido))</v>
      </c>
      <c r="B25" s="18" t="n"/>
      <c r="C25" s="27">
        <f>IF(Dados!B15="","—",Dados!B15)</f>
        <v>0.045896347240254</v>
      </c>
      <c r="D25" s="27">
        <f>IF(Dados!C15="","—",Dados!C15)</f>
        <v>0.04</v>
      </c>
      <c r="E25" s="21" t="str">
        <f>Dados!F15</f>
        <v>Fora</v>
      </c>
      <c r="F25" s="27">
        <f>IF(Config!$B$8&lt;=1,"—",IF(INDEX(Histórico!$L$5:$L$16,Config!$B$8-1)="","—",INDEX(Histórico!$L$5:$L$16,Config!$B$8-1)))</f>
        <v>0.0399582418373592</v>
      </c>
      <c r="G25" s="25">
        <f>(IF(OR(C25="—",F25="—"),"—",(C25-F25)*100))</f>
        <v>0.593810540289489</v>
      </c>
    </row>
    <row r="26">
      <c r="A26" s="19" t="str">
        <f>Dados!A16</f>
        <v>Propostas abertas (quantidade)</v>
      </c>
      <c r="B26" s="18" t="n"/>
      <c r="C26" s="20">
        <f>IF(Dados!B16="","—",Dados!B16)</f>
        <v>9</v>
      </c>
      <c r="D26" s="20" t="str">
        <f>IF(Dados!C16="","—",Dados!C16)</f>
        <v>—</v>
      </c>
      <c r="E26" s="21" t="str">
        <f>Dados!F16</f>
        <v>Informativo</v>
      </c>
      <c r="F26" s="20">
        <f>IF(Config!$B$8&lt;=1,"—",IF(INDEX(Histórico!$M$5:$M$16,Config!$B$8-1)="","—",INDEX(Histórico!$M$5:$M$16,Config!$B$8-1)))</f>
        <v>5</v>
      </c>
      <c r="G26" s="22">
        <f>(IF(OR(C26="—",F26="—",F26=0),"—",(C26-F26)/ABS(F26)))</f>
        <v>0.8</v>
      </c>
    </row>
    <row r="27">
      <c r="A27" s="19" t="str">
        <f>Dados!A17</f>
        <v>Propostas abertas (valor)</v>
      </c>
      <c r="B27" s="18" t="n"/>
      <c r="C27" s="26">
        <f>IF(Dados!B17="","—",Dados!B17)</f>
        <v>72900</v>
      </c>
      <c r="D27" s="26">
        <f>IF(Dados!C17="","—",Dados!C17)</f>
        <v>40000</v>
      </c>
      <c r="E27" s="21" t="str">
        <f>Dados!F17</f>
        <v>No alvo</v>
      </c>
      <c r="F27" s="26">
        <f>IF(Config!$B$8&lt;=1,"—",IF(INDEX(Histórico!$N$5:$N$16,Config!$B$8-1)="","—",INDEX(Histórico!$N$5:$N$16,Config!$B$8-1)))</f>
        <v>46900</v>
      </c>
      <c r="G27" s="22">
        <f>(IF(OR(C27="—",F27="—",F27=0),"—",(C27-F27)/ABS(F27)))</f>
        <v>0.554371002132196</v>
      </c>
    </row>
    <row r="28">
      <c r="A28" s="19" t="str">
        <f>Dados!A18</f>
        <v>Casos ativos</v>
      </c>
      <c r="B28" s="18" t="n"/>
      <c r="C28" s="20">
        <f>IF(Dados!B18="","—",Dados!B18)</f>
        <v>30</v>
      </c>
      <c r="D28" s="20">
        <f>IF(Dados!C18="","—",Dados!C18)</f>
        <v>30</v>
      </c>
      <c r="E28" s="21" t="str">
        <f>Dados!F18</f>
        <v>No alvo</v>
      </c>
      <c r="F28" s="20">
        <f>IF(Config!$B$8&lt;=1,"—",IF(INDEX(Histórico!$O$5:$O$16,Config!$B$8-1)="","—",INDEX(Histórico!$O$5:$O$16,Config!$B$8-1)))</f>
        <v>30</v>
      </c>
      <c r="G28" s="22">
        <f>(IF(OR(C28="—",F28="—",F28=0),"—",(C28-F28)/ABS(F28)))</f>
        <v>0</v>
      </c>
    </row>
    <row r="30" ht="30" customHeight="1">
      <c r="A30" s="15" t="inlineStr">
        <is>
          <t>Fora do alvo primeiro: prazos atrasados e vencido pedem ação na segunda-feira (planilhas 01 e 14). Variação de indicadores em % é em pontos percentuais (p.p.). No meio do mês, horas e caixa ainda estão parciais: a variação deles só aparece quando Config diz que o mês fechou. A planilha avisa; o controle é do escritório.</t>
        </is>
      </c>
    </row>
    <row r="31">
      <c r="A31" s="6" t="inlineStr">
        <is>
          <t>Para transformar esta tela em texto para o sócio ou o contador, use a planilha 20 · Resumo do mês e o prompt "Painel 01 · Explicar o mês ao sócio".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49">
    <mergeCell ref="A24:B24"/>
    <mergeCell ref="A15:B15"/>
    <mergeCell ref="A11:B11"/>
    <mergeCell ref="G11:H11"/>
    <mergeCell ref="C5:D5"/>
    <mergeCell ref="I11:J11"/>
    <mergeCell ref="E5:F5"/>
    <mergeCell ref="G8:H8"/>
    <mergeCell ref="E8:F8"/>
    <mergeCell ref="C4:D4"/>
    <mergeCell ref="A13:G13"/>
    <mergeCell ref="E4:F4"/>
    <mergeCell ref="A16:B16"/>
    <mergeCell ref="C10:D10"/>
    <mergeCell ref="A7:B7"/>
    <mergeCell ref="G7:H7"/>
    <mergeCell ref="E10:F10"/>
    <mergeCell ref="A25:B25"/>
    <mergeCell ref="I7:J7"/>
    <mergeCell ref="G10:H10"/>
    <mergeCell ref="A31:J31"/>
    <mergeCell ref="A30:J30"/>
    <mergeCell ref="A18:B18"/>
    <mergeCell ref="A27:B27"/>
    <mergeCell ref="A1:J1"/>
    <mergeCell ref="A21:B21"/>
    <mergeCell ref="A26:B26"/>
    <mergeCell ref="C11:D11"/>
    <mergeCell ref="E11:F11"/>
    <mergeCell ref="A5:B5"/>
    <mergeCell ref="G5:H5"/>
    <mergeCell ref="I5:J5"/>
    <mergeCell ref="A14:B14"/>
    <mergeCell ref="I8:J8"/>
    <mergeCell ref="A17:B17"/>
    <mergeCell ref="A23:B23"/>
    <mergeCell ref="A8:B8"/>
    <mergeCell ref="C8:D8"/>
    <mergeCell ref="A22:B22"/>
    <mergeCell ref="A4:B4"/>
    <mergeCell ref="G4:H4"/>
    <mergeCell ref="A20:B20"/>
    <mergeCell ref="I4:J4"/>
    <mergeCell ref="C7:D7"/>
    <mergeCell ref="E7:F7"/>
    <mergeCell ref="A19:B19"/>
    <mergeCell ref="A10:B10"/>
    <mergeCell ref="A28:B28"/>
    <mergeCell ref="A2:J2"/>
  </mergeCells>
  <conditionalFormatting sqref="A5">
    <cfRule type="expression" priority="1" dxfId="0">
      <formula>Dados!$F$5="Fora"</formula>
    </cfRule>
    <cfRule type="expression" priority="2" dxfId="1">
      <formula>Dados!$F$5="Perto"</formula>
    </cfRule>
    <cfRule type="expression" priority="3" dxfId="2">
      <formula>Dados!$F$5="No alvo"</formula>
    </cfRule>
  </conditionalFormatting>
  <conditionalFormatting sqref="C5">
    <cfRule type="expression" priority="4" dxfId="0">
      <formula>Dados!$F$6="Fora"</formula>
    </cfRule>
    <cfRule type="expression" priority="5" dxfId="1">
      <formula>Dados!$F$6="Perto"</formula>
    </cfRule>
    <cfRule type="expression" priority="6" dxfId="2">
      <formula>Dados!$F$6="No alvo"</formula>
    </cfRule>
  </conditionalFormatting>
  <conditionalFormatting sqref="E5">
    <cfRule type="expression" priority="7" dxfId="0">
      <formula>Dados!$F$7="Fora"</formula>
    </cfRule>
    <cfRule type="expression" priority="8" dxfId="1">
      <formula>Dados!$F$7="Perto"</formula>
    </cfRule>
    <cfRule type="expression" priority="9" dxfId="2">
      <formula>Dados!$F$7="No alvo"</formula>
    </cfRule>
  </conditionalFormatting>
  <conditionalFormatting sqref="G5">
    <cfRule type="expression" priority="10" dxfId="0">
      <formula>Dados!$F$8="Fora"</formula>
    </cfRule>
    <cfRule type="expression" priority="11" dxfId="1">
      <formula>Dados!$F$8="Perto"</formula>
    </cfRule>
    <cfRule type="expression" priority="12" dxfId="2">
      <formula>Dados!$F$8="No alvo"</formula>
    </cfRule>
  </conditionalFormatting>
  <conditionalFormatting sqref="I5">
    <cfRule type="expression" priority="13" dxfId="0">
      <formula>Dados!$F$18="Fora"</formula>
    </cfRule>
    <cfRule type="expression" priority="14" dxfId="1">
      <formula>Dados!$F$18="Perto"</formula>
    </cfRule>
    <cfRule type="expression" priority="15" dxfId="2">
      <formula>Dados!$F$18="No alvo"</formula>
    </cfRule>
  </conditionalFormatting>
  <conditionalFormatting sqref="A8">
    <cfRule type="expression" priority="16" dxfId="0">
      <formula>Dados!$F$10="Fora"</formula>
    </cfRule>
    <cfRule type="expression" priority="17" dxfId="1">
      <formula>Dados!$F$10="Perto"</formula>
    </cfRule>
    <cfRule type="expression" priority="18" dxfId="2">
      <formula>Dados!$F$10="No alvo"</formula>
    </cfRule>
  </conditionalFormatting>
  <conditionalFormatting sqref="C8">
    <cfRule type="expression" priority="19" dxfId="0">
      <formula>Dados!$F$11="Fora"</formula>
    </cfRule>
    <cfRule type="expression" priority="20" dxfId="1">
      <formula>Dados!$F$11="Perto"</formula>
    </cfRule>
    <cfRule type="expression" priority="21" dxfId="2">
      <formula>Dados!$F$11="No alvo"</formula>
    </cfRule>
  </conditionalFormatting>
  <conditionalFormatting sqref="E8">
    <cfRule type="expression" priority="22" dxfId="0">
      <formula>Dados!$F$12="Fora"</formula>
    </cfRule>
    <cfRule type="expression" priority="23" dxfId="1">
      <formula>Dados!$F$12="Perto"</formula>
    </cfRule>
    <cfRule type="expression" priority="24" dxfId="2">
      <formula>Dados!$F$12="No alvo"</formula>
    </cfRule>
  </conditionalFormatting>
  <conditionalFormatting sqref="G8">
    <cfRule type="expression" priority="25" dxfId="0">
      <formula>Dados!$F$13="Fora"</formula>
    </cfRule>
    <cfRule type="expression" priority="26" dxfId="1">
      <formula>Dados!$F$13="Perto"</formula>
    </cfRule>
    <cfRule type="expression" priority="27" dxfId="2">
      <formula>Dados!$F$13="No alvo"</formula>
    </cfRule>
  </conditionalFormatting>
  <conditionalFormatting sqref="I8">
    <cfRule type="expression" priority="28" dxfId="0">
      <formula>Dados!$F$14="Fora"</formula>
    </cfRule>
    <cfRule type="expression" priority="29" dxfId="1">
      <formula>Dados!$F$14="Perto"</formula>
    </cfRule>
    <cfRule type="expression" priority="30" dxfId="2">
      <formula>Dados!$F$14="No alvo"</formula>
    </cfRule>
  </conditionalFormatting>
  <conditionalFormatting sqref="A11">
    <cfRule type="expression" priority="31" dxfId="0">
      <formula>Dados!$F$16="Fora"</formula>
    </cfRule>
    <cfRule type="expression" priority="32" dxfId="1">
      <formula>Dados!$F$16="Perto"</formula>
    </cfRule>
    <cfRule type="expression" priority="33" dxfId="2">
      <formula>Dados!$F$16="No alvo"</formula>
    </cfRule>
  </conditionalFormatting>
  <conditionalFormatting sqref="C11">
    <cfRule type="expression" priority="34" dxfId="0">
      <formula>Dados!$F$17="Fora"</formula>
    </cfRule>
    <cfRule type="expression" priority="35" dxfId="1">
      <formula>Dados!$F$17="Perto"</formula>
    </cfRule>
    <cfRule type="expression" priority="36" dxfId="2">
      <formula>Dados!$F$17="No alvo"</formula>
    </cfRule>
  </conditionalFormatting>
  <conditionalFormatting sqref="E11">
    <cfRule type="expression" priority="37" dxfId="0">
      <formula>Dados!$F$9="Fora"</formula>
    </cfRule>
    <cfRule type="expression" priority="38" dxfId="1">
      <formula>Dados!$F$9="Perto"</formula>
    </cfRule>
    <cfRule type="expression" priority="39" dxfId="2">
      <formula>Dados!$F$9="No alvo"</formula>
    </cfRule>
  </conditionalFormatting>
  <conditionalFormatting sqref="G11">
    <cfRule type="expression" priority="40" dxfId="0">
      <formula>Dados!$F$15="Fora"</formula>
    </cfRule>
    <cfRule type="expression" priority="41" dxfId="1">
      <formula>Dados!$F$15="Perto"</formula>
    </cfRule>
    <cfRule type="expression" priority="42" dxfId="2">
      <formula>Dados!$F$15="No alvo"</formula>
    </cfRule>
  </conditionalFormatting>
  <conditionalFormatting sqref="E15:E28">
    <cfRule type="expression" priority="43" dxfId="3">
      <formula>E15="No alvo"</formula>
    </cfRule>
    <cfRule type="expression" priority="44" dxfId="4">
      <formula>E15="Perto"</formula>
    </cfRule>
    <cfRule type="expression" priority="45" dxfId="5">
      <formula>E15="Fora"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" customWidth="1" min="3" max="3"/>
    <col width="14" customWidth="1" min="4" max="4"/>
  </cols>
  <sheetData>
    <row r="1" ht="28" customHeight="1">
      <c r="A1" s="28" t="inlineStr">
        <is>
          <t>Configurações</t>
        </is>
      </c>
    </row>
    <row r="2">
      <c r="A2" s="29" t="inlineStr">
        <is>
          <t>Células amarelas: você preenche.</t>
        </is>
      </c>
    </row>
    <row r="4">
      <c r="A4" s="30" t="inlineStr">
        <is>
          <t>Escritório</t>
        </is>
      </c>
      <c r="B4" s="31" t="inlineStr">
        <is>
          <t>Ferraz &amp; Lima Advocacia (exemplo fictício)</t>
        </is>
      </c>
      <c r="D4" s="30" t="inlineStr">
        <is>
          <t>Meses</t>
        </is>
      </c>
    </row>
    <row r="5">
      <c r="A5" s="30" t="inlineStr">
        <is>
          <t>Mês do painel</t>
        </is>
      </c>
      <c r="B5" s="31" t="inlineStr">
        <is>
          <t>Setembro</t>
        </is>
      </c>
      <c r="D5" s="32" t="inlineStr">
        <is>
          <t>Janeiro</t>
        </is>
      </c>
    </row>
    <row r="6">
      <c r="A6" s="30" t="inlineStr">
        <is>
          <t>Ano</t>
        </is>
      </c>
      <c r="B6" s="31" t="n">
        <v>2026</v>
      </c>
      <c r="D6" s="32" t="inlineStr">
        <is>
          <t>Fevereiro</t>
        </is>
      </c>
    </row>
    <row r="7">
      <c r="A7" s="30" t="inlineStr">
        <is>
          <t>Data de referência (hoje)</t>
        </is>
      </c>
      <c r="B7" s="33" t="n">
        <v>46279</v>
      </c>
      <c r="D7" s="32" t="inlineStr">
        <is>
          <t>Março</t>
        </is>
      </c>
    </row>
    <row r="8">
      <c r="A8" s="30" t="inlineStr">
        <is>
          <t>Número do mês</t>
        </is>
      </c>
      <c r="B8" s="21">
        <f>MATCH(B5,$D$5:$D$16,0)</f>
        <v>9</v>
      </c>
      <c r="D8" s="32" t="inlineStr">
        <is>
          <t>Abril</t>
        </is>
      </c>
    </row>
    <row r="9">
      <c r="A9" s="30" t="inlineStr">
        <is>
          <t>Mês anterior</t>
        </is>
      </c>
      <c r="B9" s="21" t="str">
        <f>IF(B8&gt;1,INDEX($D$5:$D$16,B8-1),"")</f>
        <v>Agosto</v>
      </c>
      <c r="D9" s="32" t="inlineStr">
        <is>
          <t>Maio</t>
        </is>
      </c>
    </row>
    <row r="10">
      <c r="A10" s="30" t="inlineStr">
        <is>
          <t>Mês do painel já fechou? (Sim/Não)</t>
        </is>
      </c>
      <c r="B10" s="31" t="inlineStr">
        <is>
          <t>Não</t>
        </is>
      </c>
      <c r="D10" s="32" t="inlineStr">
        <is>
          <t>Junho</t>
        </is>
      </c>
    </row>
    <row r="11">
      <c r="A11" s="6" t="inlineStr">
        <is>
          <t>Use a mesma planilha o ano inteiro: troque o mês aqui e, no fim de cada mês, copie a linha de Dados para o Histórico. Enquanto o mês não fecha, horas e caixa são parciais e o Painel não os compara com o mês anterior (marque Sim no fechamento).</t>
        </is>
      </c>
      <c r="D11" s="32" t="inlineStr">
        <is>
          <t>Julho</t>
        </is>
      </c>
    </row>
    <row r="12">
      <c r="D12" s="32" t="inlineStr">
        <is>
          <t>Agosto</t>
        </is>
      </c>
    </row>
    <row r="13">
      <c r="D13" s="32" t="inlineStr">
        <is>
          <t>Setembro</t>
        </is>
      </c>
    </row>
    <row r="14">
      <c r="D14" s="32" t="inlineStr">
        <is>
          <t>Outubro</t>
        </is>
      </c>
    </row>
    <row r="15">
      <c r="D15" s="32" t="inlineStr">
        <is>
          <t>Novembro</t>
        </is>
      </c>
    </row>
    <row r="16">
      <c r="D16" s="32" t="inlineStr">
        <is>
          <t>Dezembro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E2"/>
    <mergeCell ref="A1:E1"/>
  </mergeCells>
  <dataValidations count="2">
    <dataValidation sqref="B10" showDropDown="0" showInputMessage="0" showErrorMessage="1" allowBlank="0" type="list">
      <formula1>"Sim,Não"</formula1>
    </dataValidation>
    <dataValidation sqref="B5" showDropDown="0" showInputMessage="0" showErrorMessage="1" allowBlank="0" type="list">
      <formula1>=Config!$D$5:$D$16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6" customWidth="1" min="4" max="4"/>
    <col width="52" customWidth="1" min="5" max="5"/>
    <col width="12" customWidth="1" min="6" max="6"/>
  </cols>
  <sheetData>
    <row r="1" ht="28" customHeight="1">
      <c r="A1" s="28" t="inlineStr">
        <is>
          <t>Dados da semana</t>
        </is>
      </c>
    </row>
    <row r="2">
      <c r="A2" s="29" t="inlineStr">
        <is>
          <t>Toda sexta, copie os totais das outras planilhas do kit para as células amarelas. Limites e metas também são seus. O resto é calculado.</t>
        </is>
      </c>
    </row>
    <row r="4" ht="26" customHeight="1">
      <c r="A4" s="17" t="inlineStr">
        <is>
          <t>Indicador</t>
        </is>
      </c>
      <c r="B4" s="17" t="inlineStr">
        <is>
          <t>Valor desta sexta</t>
        </is>
      </c>
      <c r="C4" s="17" t="inlineStr">
        <is>
          <t>Limite ou meta</t>
        </is>
      </c>
      <c r="D4" s="17" t="inlineStr">
        <is>
          <t>Sentido</t>
        </is>
      </c>
      <c r="E4" s="17" t="inlineStr">
        <is>
          <t>Copie de (planilha do kit)</t>
        </is>
      </c>
      <c r="F4" s="17" t="inlineStr">
        <is>
          <t>Situação</t>
        </is>
      </c>
    </row>
    <row r="5">
      <c r="A5" s="34" t="inlineStr">
        <is>
          <t>Prazos de hoje e dos próximos 7 dias</t>
        </is>
      </c>
      <c r="B5" s="35" t="n">
        <v>14</v>
      </c>
      <c r="C5" s="35" t="n"/>
      <c r="D5" s="36" t="inlineStr"/>
      <c r="E5" s="37" t="inlineStr">
        <is>
          <t>01 · Agenda de prazos (Painel: Hoje + Próximos 7 dias)</t>
        </is>
      </c>
      <c r="F5" s="21" t="str">
        <f>IF(OR(B5="",C5=""),"Informativo",IF(D5="Menor é melhor",IF(B5&lt;=C5,"No alvo",IF(B5&lt;=C5*1.1,"Perto","Fora")),IF(B5&gt;=C5,"No alvo",IF(B5&gt;=C5*0.9,"Perto","Fora"))))</f>
        <v>Informativo</v>
      </c>
    </row>
    <row r="6">
      <c r="A6" s="34" t="inlineStr">
        <is>
          <t>Prazos atrasados</t>
        </is>
      </c>
      <c r="B6" s="35" t="n">
        <v>7</v>
      </c>
      <c r="C6" s="35" t="n">
        <v>0</v>
      </c>
      <c r="D6" s="36" t="inlineStr">
        <is>
          <t>Menor é melhor</t>
        </is>
      </c>
      <c r="E6" s="37" t="inlineStr">
        <is>
          <t>01 · Agenda de prazos (Painel)</t>
        </is>
      </c>
      <c r="F6" s="21" t="str">
        <f>IF(OR(B6="",C6=""),"Informativo",IF(D6="Menor é melhor",IF(B6&lt;=C6,"No alvo",IF(B6&lt;=C6*1.1,"Perto","Fora")),IF(B6&gt;=C6,"No alvo",IF(B6&gt;=C6*0.9,"Perto","Fora"))))</f>
        <v>Fora</v>
      </c>
    </row>
    <row r="7">
      <c r="A7" s="34" t="inlineStr">
        <is>
          <t>Horas registradas no mês</t>
        </is>
      </c>
      <c r="B7" s="38" t="n">
        <v>109.5</v>
      </c>
      <c r="C7" s="38" t="n"/>
      <c r="D7" s="36" t="inlineStr"/>
      <c r="E7" s="37" t="inlineStr">
        <is>
          <t>16 · Horas por caso e por pessoa (Painel, Config = mês do painel)</t>
        </is>
      </c>
      <c r="F7" s="21" t="str">
        <f>IF(OR(B7="",C7=""),"Informativo",IF(D7="Menor é melhor",IF(B7&lt;=C7,"No alvo",IF(B7&lt;=C7*1.1,"Perto","Fora")),IF(B7&gt;=C7,"No alvo",IF(B7&gt;=C7*0.9,"Perto","Fora"))))</f>
        <v>Informativo</v>
      </c>
    </row>
    <row r="8">
      <c r="A8" s="34" t="inlineStr">
        <is>
          <t>Horas faturáveis no mês</t>
        </is>
      </c>
      <c r="B8" s="38" t="n">
        <v>87</v>
      </c>
      <c r="C8" s="38" t="n"/>
      <c r="D8" s="36" t="inlineStr"/>
      <c r="E8" s="37" t="inlineStr">
        <is>
          <t>16 · Horas por caso e por pessoa (Painel)</t>
        </is>
      </c>
      <c r="F8" s="21" t="str">
        <f>IF(OR(B8="",C8=""),"Informativo",IF(D8="Menor é melhor",IF(B8&lt;=C8,"No alvo",IF(B8&lt;=C8*1.1,"Perto","Fora")),IF(B8&gt;=C8,"No alvo",IF(B8&gt;=C8*0.9,"Perto","Fora"))))</f>
        <v>Informativo</v>
      </c>
    </row>
    <row r="9">
      <c r="A9" s="34" t="inlineStr">
        <is>
          <t>% de horas faturáveis</t>
        </is>
      </c>
      <c r="B9" s="24">
        <f>IF(OR(B7="",B7=0,B8=""),"",B8/B7)</f>
        <v>0.794520547945205</v>
      </c>
      <c r="C9" s="39" t="n">
        <v>0.75</v>
      </c>
      <c r="D9" s="36" t="inlineStr">
        <is>
          <t>Maior é melhor</t>
        </is>
      </c>
      <c r="E9" s="37" t="inlineStr">
        <is>
          <t>calculado aqui</t>
        </is>
      </c>
      <c r="F9" s="21" t="str">
        <f>IF(OR(B9="",C9=""),"Informativo",IF(D9="Menor é melhor",IF(B9&lt;=C9,"No alvo",IF(B9&lt;=C9*1.1,"Perto","Fora")),IF(B9&gt;=C9,"No alvo",IF(B9&gt;=C9*0.9,"Perto","Fora"))))</f>
        <v>No alvo</v>
      </c>
    </row>
    <row r="10">
      <c r="A10" s="34" t="inlineStr">
        <is>
          <t>Entrou no mês (recebimentos)</t>
        </is>
      </c>
      <c r="B10" s="40" t="n">
        <v>5220</v>
      </c>
      <c r="C10" s="40" t="n"/>
      <c r="D10" s="36" t="inlineStr"/>
      <c r="E10" s="37" t="inlineStr">
        <is>
          <t>09 · Caixa do escritório (Painel: Entrou no mês)</t>
        </is>
      </c>
      <c r="F10" s="21" t="str">
        <f>IF(OR(B10="",C10=""),"Informativo",IF(D10="Menor é melhor",IF(B10&lt;=C10,"No alvo",IF(B10&lt;=C10*1.1,"Perto","Fora")),IF(B10&gt;=C10,"No alvo",IF(B10&gt;=C10*0.9,"Perto","Fora"))))</f>
        <v>Informativo</v>
      </c>
    </row>
    <row r="11">
      <c r="A11" s="34" t="inlineStr">
        <is>
          <t>Saiu no mês (tudo o que saiu do caixa)</t>
        </is>
      </c>
      <c r="B11" s="40" t="n">
        <v>5320</v>
      </c>
      <c r="C11" s="40" t="n"/>
      <c r="D11" s="36" t="inlineStr"/>
      <c r="E11" s="37" t="inlineStr">
        <is>
          <t>09 · Caixa do escritório (Painel: Saiu no mês)</t>
        </is>
      </c>
      <c r="F11" s="21" t="str">
        <f>IF(OR(B11="",C11=""),"Informativo",IF(D11="Menor é melhor",IF(B11&lt;=C11,"No alvo",IF(B11&lt;=C11*1.1,"Perto","Fora")),IF(B11&gt;=C11,"No alvo",IF(B11&gt;=C11*0.9,"Perto","Fora"))))</f>
        <v>Informativo</v>
      </c>
    </row>
    <row r="12">
      <c r="A12" s="34" t="inlineStr">
        <is>
          <t>Sobrou no mês</t>
        </is>
      </c>
      <c r="B12" s="26">
        <f>IF(OR(B10="",B11=""),"",B10-B11)</f>
        <v>-100</v>
      </c>
      <c r="C12" s="40" t="n"/>
      <c r="D12" s="36" t="inlineStr"/>
      <c r="E12" s="37" t="inlineStr">
        <is>
          <t>calculado aqui</t>
        </is>
      </c>
      <c r="F12" s="21" t="str">
        <f>IF(OR(B12="",C12=""),"Informativo",IF(D12="Menor é melhor",IF(B12&lt;=C12,"No alvo",IF(B12&lt;=C12*1.1,"Perto","Fora")),IF(B12&gt;=C12,"No alvo",IF(B12&gt;=C12*0.9,"Perto","Fora"))))</f>
        <v>Informativo</v>
      </c>
    </row>
    <row r="13">
      <c r="A13" s="34" t="inlineStr">
        <is>
          <t>A receber (carteira; inclui êxito de casos ativos)</t>
        </is>
      </c>
      <c r="B13" s="40" t="n">
        <v>111990</v>
      </c>
      <c r="C13" s="40" t="n"/>
      <c r="D13" s="36" t="inlineStr"/>
      <c r="E13" s="37" t="inlineStr">
        <is>
          <t>13 · Carteira de clientes e casos (Painel: A receber)</t>
        </is>
      </c>
      <c r="F13" s="21" t="str">
        <f>IF(OR(B13="",C13=""),"Informativo",IF(D13="Menor é melhor",IF(B13&lt;=C13,"No alvo",IF(B13&lt;=C13*1.1,"Perto","Fora")),IF(B13&gt;=C13,"No alvo",IF(B13&gt;=C13*0.9,"Perto","Fora"))))</f>
        <v>Informativo</v>
      </c>
    </row>
    <row r="14">
      <c r="A14" s="34" t="inlineStr">
        <is>
          <t>Vencido (parcelas em atraso)</t>
        </is>
      </c>
      <c r="B14" s="40" t="n">
        <v>13080</v>
      </c>
      <c r="C14" s="40" t="n">
        <v>10000</v>
      </c>
      <c r="D14" s="36" t="inlineStr">
        <is>
          <t>Menor é melhor</t>
        </is>
      </c>
      <c r="E14" s="37" t="inlineStr">
        <is>
          <t>14 · Parcelas e inadimplência (Painel: Vencido)</t>
        </is>
      </c>
      <c r="F14" s="21" t="str">
        <f>IF(OR(B14="",C14=""),"Informativo",IF(D14="Menor é melhor",IF(B14&lt;=C14,"No alvo",IF(B14&lt;=C14*1.1,"Perto","Fora")),IF(B14&gt;=C14,"No alvo",IF(B14&gt;=C14*0.9,"Perto","Fora"))))</f>
        <v>Fora</v>
      </c>
    </row>
    <row r="15">
      <c r="A15" s="34" t="inlineStr">
        <is>
          <t>Inadimplência (vencido ÷ (pago + vencido))</t>
        </is>
      </c>
      <c r="B15" s="41" t="n">
        <v>0.04589634724025404</v>
      </c>
      <c r="C15" s="41" t="n">
        <v>0.04</v>
      </c>
      <c r="D15" s="36" t="inlineStr">
        <is>
          <t>Menor é melhor</t>
        </is>
      </c>
      <c r="E15" s="37" t="inlineStr">
        <is>
          <t>14 · Parcelas e inadimplência (Painel: Inadimplência)</t>
        </is>
      </c>
      <c r="F15" s="21" t="str">
        <f>IF(OR(B15="",C15=""),"Informativo",IF(D15="Menor é melhor",IF(B15&lt;=C15,"No alvo",IF(B15&lt;=C15*1.1,"Perto","Fora")),IF(B15&gt;=C15,"No alvo",IF(B15&gt;=C15*0.9,"Perto","Fora"))))</f>
        <v>Fora</v>
      </c>
    </row>
    <row r="16">
      <c r="A16" s="34" t="inlineStr">
        <is>
          <t>Propostas abertas (quantidade)</t>
        </is>
      </c>
      <c r="B16" s="35" t="n">
        <v>9</v>
      </c>
      <c r="C16" s="35" t="n"/>
      <c r="D16" s="36" t="inlineStr"/>
      <c r="E16" s="37" t="inlineStr">
        <is>
          <t>15 · Funil de propostas (Painel: soma do funil por etapa)</t>
        </is>
      </c>
      <c r="F16" s="21" t="str">
        <f>IF(OR(B16="",C16=""),"Informativo",IF(D16="Menor é melhor",IF(B16&lt;=C16,"No alvo",IF(B16&lt;=C16*1.1,"Perto","Fora")),IF(B16&gt;=C16,"No alvo",IF(B16&gt;=C16*0.9,"Perto","Fora"))))</f>
        <v>Informativo</v>
      </c>
    </row>
    <row r="17">
      <c r="A17" s="34" t="inlineStr">
        <is>
          <t>Propostas abertas (valor)</t>
        </is>
      </c>
      <c r="B17" s="40" t="n">
        <v>72900</v>
      </c>
      <c r="C17" s="40" t="n">
        <v>40000</v>
      </c>
      <c r="D17" s="36" t="inlineStr">
        <is>
          <t>Maior é melhor</t>
        </is>
      </c>
      <c r="E17" s="37" t="inlineStr">
        <is>
          <t>15 · Funil de propostas (Painel: Em aberto)</t>
        </is>
      </c>
      <c r="F17" s="21" t="str">
        <f>IF(OR(B17="",C17=""),"Informativo",IF(D17="Menor é melhor",IF(B17&lt;=C17,"No alvo",IF(B17&lt;=C17*1.1,"Perto","Fora")),IF(B17&gt;=C17,"No alvo",IF(B17&gt;=C17*0.9,"Perto","Fora"))))</f>
        <v>No alvo</v>
      </c>
    </row>
    <row r="18">
      <c r="A18" s="34" t="inlineStr">
        <is>
          <t>Casos ativos</t>
        </is>
      </c>
      <c r="B18" s="35" t="n">
        <v>30</v>
      </c>
      <c r="C18" s="35" t="n">
        <v>30</v>
      </c>
      <c r="D18" s="36" t="inlineStr">
        <is>
          <t>Maior é melhor</t>
        </is>
      </c>
      <c r="E18" s="37" t="inlineStr">
        <is>
          <t>13 · Carteira de clientes e casos (Painel: Casos ativos)</t>
        </is>
      </c>
      <c r="F18" s="21" t="str">
        <f>IF(OR(B18="",C18=""),"Informativo",IF(D18="Menor é melhor",IF(B18&lt;=C18,"No alvo",IF(B18&lt;=C18*1.1,"Perto","Fora")),IF(B18&gt;=C18,"No alvo",IF(B18&gt;=C18*0.9,"Perto","Fora"))))</f>
        <v>No alvo</v>
      </c>
    </row>
    <row r="20" ht="30" customHeight="1">
      <c r="A20" s="15" t="inlineStr">
        <is>
          <t>Linha sem limite fica "Informativo". "Perto" é até 10% do limite. Inadimplência = vencido ÷ (pago + vencido), a mesma conta da planilha 14. A receber é a carteira contratada (inclui êxito esperado de casos ativos): informativo, não é atraso. Os valores desta sexta valem para o mês escolhido em Config; no fim do mês, copie a coluna B para a linha do mês em Histórico.</t>
        </is>
      </c>
    </row>
    <row r="21" ht="30" customHeight="1">
      <c r="A21" s="15" t="inlineStr">
        <is>
          <t>As planilhas indicadas em "Copie de" são as do próprio kit. Se ainda não usa alguma, deixe a linha em branco: o painel mostra "—". No exemplo (sexta 11/09/2026) horas e caixa são do mês em andamento: metas mensais para eles ficam em branco até o fechamento.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4">
    <mergeCell ref="A20:F20"/>
    <mergeCell ref="A21:F21"/>
    <mergeCell ref="A2:G2"/>
    <mergeCell ref="A1:G1"/>
  </mergeCells>
  <conditionalFormatting sqref="F5:F18">
    <cfRule type="expression" priority="1" dxfId="3">
      <formula>F5="No alvo"</formula>
    </cfRule>
    <cfRule type="expression" priority="2" dxfId="4">
      <formula>F5="Perto"</formula>
    </cfRule>
    <cfRule type="expression" priority="3" dxfId="5">
      <formula>F5="Fora"</formula>
    </cfRule>
  </conditionalFormatting>
  <dataValidations count="1">
    <dataValidation sqref="D5:D18" showDropDown="0" showInputMessage="0" showErrorMessage="1" allowBlank="1" type="list">
      <formula1>"Maior é melhor,Menor é melhor"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8" customHeight="1">
      <c r="A1" s="28" t="inlineStr">
        <is>
          <t>Histórico mensal</t>
        </is>
      </c>
    </row>
    <row r="2">
      <c r="A2" s="29" t="inlineStr">
        <is>
          <t>No fim de cada mês, copie os valores da aba Dados para a linha do mês. Colunas brancas são calculadas; deixe em branco os meses que ainda não aconteceram.</t>
        </is>
      </c>
    </row>
    <row r="4" ht="32" customHeight="1">
      <c r="A4" s="17" t="inlineStr">
        <is>
          <t>Mês</t>
        </is>
      </c>
      <c r="B4" s="17" t="inlineStr">
        <is>
          <t>Prazos hoje + 7 dias</t>
        </is>
      </c>
      <c r="C4" s="17" t="inlineStr">
        <is>
          <t>Atrasados</t>
        </is>
      </c>
      <c r="D4" s="17" t="inlineStr">
        <is>
          <t>Horas do mês</t>
        </is>
      </c>
      <c r="E4" s="17" t="inlineStr">
        <is>
          <t>Faturáveis</t>
        </is>
      </c>
      <c r="F4" s="17" t="inlineStr">
        <is>
          <t>% faturável</t>
        </is>
      </c>
      <c r="G4" s="17" t="inlineStr">
        <is>
          <t>Entrou</t>
        </is>
      </c>
      <c r="H4" s="17" t="inlineStr">
        <is>
          <t>Saiu</t>
        </is>
      </c>
      <c r="I4" s="17" t="inlineStr">
        <is>
          <t>Sobrou</t>
        </is>
      </c>
      <c r="J4" s="17" t="inlineStr">
        <is>
          <t>A receber</t>
        </is>
      </c>
      <c r="K4" s="17" t="inlineStr">
        <is>
          <t>Vencido</t>
        </is>
      </c>
      <c r="L4" s="17" t="inlineStr">
        <is>
          <t>Inadimplência</t>
        </is>
      </c>
      <c r="M4" s="17" t="inlineStr">
        <is>
          <t>Propostas abertas</t>
        </is>
      </c>
      <c r="N4" s="17" t="inlineStr">
        <is>
          <t>Valor das propostas</t>
        </is>
      </c>
      <c r="O4" s="17" t="inlineStr">
        <is>
          <t>Casos ativos</t>
        </is>
      </c>
    </row>
    <row r="5">
      <c r="A5" s="34" t="inlineStr">
        <is>
          <t>Janeiro</t>
        </is>
      </c>
      <c r="B5" s="35" t="n"/>
      <c r="C5" s="35" t="n"/>
      <c r="D5" s="38" t="n"/>
      <c r="E5" s="38" t="n"/>
      <c r="F5" s="24">
        <f>IF(OR(D5="",D5=0,E5=""),"",E5/D5)</f>
        <v/>
      </c>
      <c r="G5" s="40" t="n">
        <v>21050</v>
      </c>
      <c r="H5" s="40" t="n">
        <v>20408</v>
      </c>
      <c r="I5" s="26">
        <f>IF(OR(G5="",H5=""),"",G5-H5)</f>
        <v>642</v>
      </c>
      <c r="J5" s="40" t="n">
        <v>117600</v>
      </c>
      <c r="K5" s="40" t="n">
        <v>1200</v>
      </c>
      <c r="L5" s="41" t="n">
        <v>0.01442307692307692</v>
      </c>
      <c r="M5" s="35" t="n">
        <v>0</v>
      </c>
      <c r="N5" s="40" t="n">
        <v>0</v>
      </c>
      <c r="O5" s="35" t="n">
        <v>17</v>
      </c>
    </row>
    <row r="6">
      <c r="A6" s="34" t="inlineStr">
        <is>
          <t>Fevereiro</t>
        </is>
      </c>
      <c r="B6" s="35" t="n"/>
      <c r="C6" s="35" t="n"/>
      <c r="D6" s="38" t="n"/>
      <c r="E6" s="38" t="n"/>
      <c r="F6" s="24">
        <f>IF(OR(D6="",D6=0,E6=""),"",E6/D6)</f>
        <v/>
      </c>
      <c r="G6" s="40" t="n">
        <v>23070</v>
      </c>
      <c r="H6" s="40" t="n">
        <v>21684</v>
      </c>
      <c r="I6" s="26">
        <f>IF(OR(G6="",H6=""),"",G6-H6)</f>
        <v>1386</v>
      </c>
      <c r="J6" s="40" t="n">
        <v>94530</v>
      </c>
      <c r="K6" s="40" t="n">
        <v>2000</v>
      </c>
      <c r="L6" s="41" t="n">
        <v>0.01867936863734006</v>
      </c>
      <c r="M6" s="35" t="n">
        <v>0</v>
      </c>
      <c r="N6" s="40" t="n">
        <v>0</v>
      </c>
      <c r="O6" s="35" t="n">
        <v>17</v>
      </c>
    </row>
    <row r="7">
      <c r="A7" s="34" t="inlineStr">
        <is>
          <t>Março</t>
        </is>
      </c>
      <c r="B7" s="35" t="n"/>
      <c r="C7" s="35" t="n"/>
      <c r="D7" s="38" t="n"/>
      <c r="E7" s="38" t="n"/>
      <c r="F7" s="24">
        <f>IF(OR(D7="",D7=0,E7=""),"",E7/D7)</f>
        <v/>
      </c>
      <c r="G7" s="40" t="n">
        <v>28590</v>
      </c>
      <c r="H7" s="40" t="n">
        <v>22276</v>
      </c>
      <c r="I7" s="26">
        <f>IF(OR(G7="",H7=""),"",G7-H7)</f>
        <v>6314</v>
      </c>
      <c r="J7" s="40" t="n">
        <v>83320</v>
      </c>
      <c r="K7" s="40" t="n">
        <v>2100</v>
      </c>
      <c r="L7" s="41" t="n">
        <v>0.01555786042376648</v>
      </c>
      <c r="M7" s="35" t="n">
        <v>0</v>
      </c>
      <c r="N7" s="40" t="n">
        <v>0</v>
      </c>
      <c r="O7" s="35" t="n">
        <v>17</v>
      </c>
    </row>
    <row r="8">
      <c r="A8" s="34" t="inlineStr">
        <is>
          <t>Abril</t>
        </is>
      </c>
      <c r="B8" s="35" t="n"/>
      <c r="C8" s="35" t="n"/>
      <c r="D8" s="38" t="n"/>
      <c r="E8" s="38" t="n"/>
      <c r="F8" s="24">
        <f>IF(OR(D8="",D8=0,E8=""),"",E8/D8)</f>
        <v/>
      </c>
      <c r="G8" s="40" t="n">
        <v>20240</v>
      </c>
      <c r="H8" s="40" t="n">
        <v>26638</v>
      </c>
      <c r="I8" s="26">
        <f>IF(OR(G8="",H8=""),"",G8-H8)</f>
        <v>-6398</v>
      </c>
      <c r="J8" s="40" t="n">
        <v>88560</v>
      </c>
      <c r="K8" s="40" t="n">
        <v>4200</v>
      </c>
      <c r="L8" s="41" t="n">
        <v>0.02677888293802601</v>
      </c>
      <c r="M8" s="35" t="n">
        <v>0</v>
      </c>
      <c r="N8" s="40" t="n">
        <v>0</v>
      </c>
      <c r="O8" s="35" t="n">
        <v>19</v>
      </c>
    </row>
    <row r="9">
      <c r="A9" s="34" t="inlineStr">
        <is>
          <t>Maio</t>
        </is>
      </c>
      <c r="B9" s="35" t="n"/>
      <c r="C9" s="35" t="n"/>
      <c r="D9" s="38" t="n"/>
      <c r="E9" s="38" t="n"/>
      <c r="F9" s="24">
        <f>IF(OR(D9="",D9=0,E9=""),"",E9/D9)</f>
        <v/>
      </c>
      <c r="G9" s="40" t="n">
        <v>31120</v>
      </c>
      <c r="H9" s="40" t="n">
        <v>21181</v>
      </c>
      <c r="I9" s="26">
        <f>IF(OR(G9="",H9=""),"",G9-H9)</f>
        <v>9939</v>
      </c>
      <c r="J9" s="40" t="n">
        <v>97640</v>
      </c>
      <c r="K9" s="40" t="n">
        <v>4200</v>
      </c>
      <c r="L9" s="41" t="n">
        <v>0.02234517982549479</v>
      </c>
      <c r="M9" s="35" t="n">
        <v>0</v>
      </c>
      <c r="N9" s="40" t="n">
        <v>0</v>
      </c>
      <c r="O9" s="35" t="n">
        <v>22</v>
      </c>
    </row>
    <row r="10">
      <c r="A10" s="34" t="inlineStr">
        <is>
          <t>Junho</t>
        </is>
      </c>
      <c r="B10" s="35" t="n"/>
      <c r="C10" s="35" t="n"/>
      <c r="D10" s="38" t="n"/>
      <c r="E10" s="38" t="n"/>
      <c r="F10" s="24">
        <f>IF(OR(D10="",D10=0,E10=""),"",E10/D10)</f>
        <v/>
      </c>
      <c r="G10" s="40" t="n">
        <v>27420</v>
      </c>
      <c r="H10" s="40" t="n">
        <v>23085</v>
      </c>
      <c r="I10" s="26">
        <f>IF(OR(G10="",H10=""),"",G10-H10)</f>
        <v>4335</v>
      </c>
      <c r="J10" s="40" t="n">
        <v>115320</v>
      </c>
      <c r="K10" s="40" t="n">
        <v>7500</v>
      </c>
      <c r="L10" s="41" t="n">
        <v>0.03429668922626669</v>
      </c>
      <c r="M10" s="35" t="n">
        <v>2</v>
      </c>
      <c r="N10" s="40" t="n">
        <v>11200</v>
      </c>
      <c r="O10" s="35" t="n">
        <v>25</v>
      </c>
    </row>
    <row r="11">
      <c r="A11" s="34" t="inlineStr">
        <is>
          <t>Julho</t>
        </is>
      </c>
      <c r="B11" s="35" t="n"/>
      <c r="C11" s="35" t="n"/>
      <c r="D11" s="38" t="n">
        <v>233.5</v>
      </c>
      <c r="E11" s="38" t="n">
        <v>179.5</v>
      </c>
      <c r="F11" s="24">
        <f>IF(OR(D11="",D11=0,E11=""),"",E11/D11)</f>
        <v>0.768736616702356</v>
      </c>
      <c r="G11" s="40" t="n">
        <v>29460</v>
      </c>
      <c r="H11" s="40" t="n">
        <v>28898</v>
      </c>
      <c r="I11" s="26">
        <f>IF(OR(G11="",H11=""),"",G11-H11)</f>
        <v>562</v>
      </c>
      <c r="J11" s="40" t="n">
        <v>117700</v>
      </c>
      <c r="K11" s="40" t="n">
        <v>7500</v>
      </c>
      <c r="L11" s="41" t="n">
        <v>0.0302907915993538</v>
      </c>
      <c r="M11" s="35" t="n">
        <v>2</v>
      </c>
      <c r="N11" s="40" t="n">
        <v>21600</v>
      </c>
      <c r="O11" s="35" t="n">
        <v>28</v>
      </c>
    </row>
    <row r="12">
      <c r="A12" s="34" t="inlineStr">
        <is>
          <t>Agosto</t>
        </is>
      </c>
      <c r="B12" s="35" t="n"/>
      <c r="C12" s="35" t="n"/>
      <c r="D12" s="38" t="n">
        <v>304</v>
      </c>
      <c r="E12" s="38" t="n">
        <v>248</v>
      </c>
      <c r="F12" s="24">
        <f>IF(OR(D12="",D12=0,E12=""),"",E12/D12)</f>
        <v>0.815789473684211</v>
      </c>
      <c r="G12" s="40" t="n">
        <v>26900</v>
      </c>
      <c r="H12" s="40" t="n">
        <v>21897</v>
      </c>
      <c r="I12" s="26">
        <f>IF(OR(G12="",H12=""),"",G12-H12)</f>
        <v>5003</v>
      </c>
      <c r="J12" s="40" t="n">
        <v>117210</v>
      </c>
      <c r="K12" s="40" t="n">
        <v>11100</v>
      </c>
      <c r="L12" s="41" t="n">
        <v>0.03995824183735915</v>
      </c>
      <c r="M12" s="35" t="n">
        <v>5</v>
      </c>
      <c r="N12" s="40" t="n">
        <v>46900</v>
      </c>
      <c r="O12" s="35" t="n">
        <v>30</v>
      </c>
    </row>
    <row r="13">
      <c r="A13" s="34" t="inlineStr">
        <is>
          <t>Setembro</t>
        </is>
      </c>
      <c r="B13" s="35" t="n">
        <v>14</v>
      </c>
      <c r="C13" s="35" t="n">
        <v>7</v>
      </c>
      <c r="D13" s="38" t="n">
        <v>109.5</v>
      </c>
      <c r="E13" s="38" t="n">
        <v>87</v>
      </c>
      <c r="F13" s="24">
        <f>IF(OR(D13="",D13=0,E13=""),"",E13/D13)</f>
        <v>0.794520547945205</v>
      </c>
      <c r="G13" s="40" t="n">
        <v>5220</v>
      </c>
      <c r="H13" s="40" t="n">
        <v>5320</v>
      </c>
      <c r="I13" s="26">
        <f>IF(OR(G13="",H13=""),"",G13-H13)</f>
        <v>-100</v>
      </c>
      <c r="J13" s="40" t="n">
        <v>111990</v>
      </c>
      <c r="K13" s="40" t="n">
        <v>13080</v>
      </c>
      <c r="L13" s="41" t="n">
        <v>0.04589634724025404</v>
      </c>
      <c r="M13" s="35" t="n">
        <v>9</v>
      </c>
      <c r="N13" s="40" t="n">
        <v>72900</v>
      </c>
      <c r="O13" s="35" t="n">
        <v>30</v>
      </c>
    </row>
    <row r="14">
      <c r="A14" s="34" t="inlineStr">
        <is>
          <t>Outubro</t>
        </is>
      </c>
      <c r="B14" s="35" t="n"/>
      <c r="C14" s="35" t="n"/>
      <c r="D14" s="38" t="n"/>
      <c r="E14" s="38" t="n"/>
      <c r="F14" s="24">
        <f>IF(OR(D14="",D14=0,E14=""),"",E14/D14)</f>
        <v/>
      </c>
      <c r="G14" s="40" t="n"/>
      <c r="H14" s="40" t="n"/>
      <c r="I14" s="26">
        <f>IF(OR(G14="",H14=""),"",G14-H14)</f>
        <v/>
      </c>
      <c r="J14" s="40" t="n"/>
      <c r="K14" s="40" t="n"/>
      <c r="L14" s="41" t="n"/>
      <c r="M14" s="35" t="n"/>
      <c r="N14" s="40" t="n"/>
      <c r="O14" s="35" t="n"/>
    </row>
    <row r="15">
      <c r="A15" s="34" t="inlineStr">
        <is>
          <t>Novembro</t>
        </is>
      </c>
      <c r="B15" s="35" t="n"/>
      <c r="C15" s="35" t="n"/>
      <c r="D15" s="38" t="n"/>
      <c r="E15" s="38" t="n"/>
      <c r="F15" s="24">
        <f>IF(OR(D15="",D15=0,E15=""),"",E15/D15)</f>
        <v/>
      </c>
      <c r="G15" s="40" t="n"/>
      <c r="H15" s="40" t="n"/>
      <c r="I15" s="26">
        <f>IF(OR(G15="",H15=""),"",G15-H15)</f>
        <v/>
      </c>
      <c r="J15" s="40" t="n"/>
      <c r="K15" s="40" t="n"/>
      <c r="L15" s="41" t="n"/>
      <c r="M15" s="35" t="n"/>
      <c r="N15" s="40" t="n"/>
      <c r="O15" s="35" t="n"/>
    </row>
    <row r="16">
      <c r="A16" s="34" t="inlineStr">
        <is>
          <t>Dezembro</t>
        </is>
      </c>
      <c r="B16" s="35" t="n"/>
      <c r="C16" s="35" t="n"/>
      <c r="D16" s="38" t="n"/>
      <c r="E16" s="38" t="n"/>
      <c r="F16" s="24">
        <f>IF(OR(D16="",D16=0,E16=""),"",E16/D16)</f>
        <v/>
      </c>
      <c r="G16" s="40" t="n"/>
      <c r="H16" s="40" t="n"/>
      <c r="I16" s="26">
        <f>IF(OR(G16="",H16=""),"",G16-H16)</f>
        <v/>
      </c>
      <c r="J16" s="40" t="n"/>
      <c r="K16" s="40" t="n"/>
      <c r="L16" s="41" t="n"/>
      <c r="M16" s="35" t="n"/>
      <c r="N16" s="40" t="n"/>
      <c r="O16" s="35" t="n"/>
    </row>
    <row r="18" ht="44" customHeight="1">
      <c r="A18" s="15" t="inlineStr">
        <is>
          <t>A linha do mês escolhido em Config fica destacada. Setembro repete os valores da aba Dados (mês em andamento, até 11/09). Entrou e Saiu = Painel mensal da planilha 09 (caixa real). Horas: o controle de horas (16) começou em julho; antes fica em branco. Prazos: a agenda (01) não guarda histórico; o escritório começou a anotar em setembro. Carteira, vencido, inadimplência, propostas e casos: o que o escritório copiou no fim de cada mês.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">
    <mergeCell ref="A1:O1"/>
    <mergeCell ref="A18:O18"/>
    <mergeCell ref="A2:O2"/>
  </mergeCells>
  <conditionalFormatting sqref="A5:A16">
    <cfRule type="expression" priority="1" dxfId="6">
      <formula>ROW()-4=Config!$B$8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Painel do Escritório · Kit de Gestão para Advogados</dc:title>
  <dcterms:created xmlns:dcterms="http://purl.org/dc/terms/" xmlns:xsi="http://www.w3.org/2001/XMLSchema-instance" xsi:type="dcterms:W3CDTF">2026-09-18T13:55:11Z</dcterms:created>
  <dcterms:modified xmlns:dcterms="http://purl.org/dc/terms/" xmlns:xsi="http://www.w3.org/2001/XMLSchema-instance" xsi:type="dcterms:W3CDTF">2026-09-18T13:55:11Z</dcterms:modified>
</cp:coreProperties>
</file>