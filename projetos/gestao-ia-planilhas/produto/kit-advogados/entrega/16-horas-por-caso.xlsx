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asos" sheetId="4" state="visible" r:id="rId4"/>
    <sheet xmlns:r="http://schemas.openxmlformats.org/officeDocument/2006/relationships" name="Lançamentos" sheetId="5" state="visible" r:id="rId5"/>
  </sheets>
  <definedNames>
    <definedName name="_xlnm._FilterDatabase" localSheetId="3" hidden="1">'Casos'!$A$4:$I$204</definedName>
    <definedName name="_xlnm._FilterDatabase" localSheetId="4" hidden="1">'Lançamentos'!$A$4:$J$604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R$&quot; #,##0;[Red]-&quot;R$&quot; #,##0"/>
    <numFmt numFmtId="165" formatCode="&quot;R$&quot; #,##0.00;[Red]-&quot;R$&quot; #,##0.00"/>
    <numFmt numFmtId="166" formatCode="0.0"/>
    <numFmt numFmtId="167" formatCode="dd/mm/yyyy"/>
    <numFmt numFmtId="168" formatCode="#,##0.0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13"/>
    </font>
    <font>
      <name val="Arial"/>
      <color rgb="00B0A6C4"/>
      <sz val="9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FC83D"/>
      </patternFill>
    </fill>
    <fill>
      <patternFill patternType="solid">
        <fgColor rgb="00FBE4E4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7" fillId="4" borderId="0" applyAlignment="1" pivotButton="0" quotePrefix="0" xfId="0">
      <alignment horizontal="center"/>
    </xf>
    <xf numFmtId="0" fontId="0" fillId="4" borderId="0" pivotButton="0" quotePrefix="0" xfId="0"/>
    <xf numFmtId="0" fontId="8" fillId="5" borderId="0" applyAlignment="1" pivotButton="0" quotePrefix="0" xfId="0">
      <alignment horizontal="center"/>
    </xf>
    <xf numFmtId="0" fontId="0" fillId="5" borderId="0" pivotButton="0" quotePrefix="0" xfId="0"/>
    <xf numFmtId="0" fontId="7" fillId="6" borderId="0" applyAlignment="1" pivotButton="0" quotePrefix="0" xfId="0">
      <alignment horizontal="center"/>
    </xf>
    <xf numFmtId="0" fontId="0" fillId="6" borderId="0" pivotButton="0" quotePrefix="0" xfId="0"/>
    <xf numFmtId="0" fontId="10" fillId="7" borderId="0" applyAlignment="1" pivotButton="0" quotePrefix="0" xfId="0">
      <alignment horizontal="center"/>
    </xf>
    <xf numFmtId="0" fontId="0" fillId="7" borderId="0" pivotButton="0" quotePrefix="0" xfId="0"/>
    <xf numFmtId="168" fontId="1" fillId="4" borderId="0" applyAlignment="1" pivotButton="0" quotePrefix="0" xfId="0">
      <alignment horizontal="center"/>
    </xf>
    <xf numFmtId="9" fontId="9" fillId="5" borderId="0" applyAlignment="1" pivotButton="0" quotePrefix="0" xfId="0">
      <alignment horizontal="center"/>
    </xf>
    <xf numFmtId="164" fontId="1" fillId="4" borderId="0" applyAlignment="1" pivotButton="0" quotePrefix="0" xfId="0">
      <alignment horizontal="center"/>
    </xf>
    <xf numFmtId="9" fontId="1" fillId="6" borderId="0" applyAlignment="1" pivotButton="0" quotePrefix="0" xfId="0">
      <alignment horizontal="center"/>
    </xf>
    <xf numFmtId="1" fontId="11" fillId="7" borderId="0" applyAlignment="1" pivotButton="0" quotePrefix="0" xfId="0">
      <alignment horizontal="center"/>
    </xf>
    <xf numFmtId="0" fontId="5" fillId="0" borderId="0" pivotButton="0" quotePrefix="0" xfId="0"/>
    <xf numFmtId="0" fontId="12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12" fillId="0" borderId="1" pivotButton="0" quotePrefix="0" xfId="0"/>
    <xf numFmtId="1" fontId="5" fillId="0" borderId="1" applyAlignment="1" pivotButton="0" quotePrefix="0" xfId="0">
      <alignment horizontal="center"/>
    </xf>
    <xf numFmtId="166" fontId="6" fillId="3" borderId="1" applyAlignment="1" pivotButton="0" quotePrefix="0" xfId="0">
      <alignment horizontal="center" vertical="center" wrapText="1"/>
    </xf>
    <xf numFmtId="9" fontId="6" fillId="3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4" fillId="0" borderId="0" pivotButton="0" quotePrefix="0" xfId="0"/>
    <xf numFmtId="164" fontId="4" fillId="2" borderId="1" applyProtection="1" pivotButton="0" quotePrefix="0" xfId="0">
      <protection locked="0" hidden="0"/>
    </xf>
    <xf numFmtId="164" fontId="4" fillId="2" borderId="1" applyAlignment="1" applyProtection="1" pivotButton="0" quotePrefix="0" xfId="0">
      <alignment horizontal="center"/>
      <protection locked="0" hidden="0"/>
    </xf>
    <xf numFmtId="0" fontId="5" fillId="0" borderId="0" applyAlignment="1" pivotButton="0" quotePrefix="0" xfId="0">
      <alignment vertical="top" wrapText="1"/>
    </xf>
    <xf numFmtId="1" fontId="4" fillId="2" borderId="1" applyAlignment="1" applyProtection="1" pivotButton="0" quotePrefix="0" xfId="0">
      <alignment horizontal="center"/>
      <protection locked="0" hidden="0"/>
    </xf>
    <xf numFmtId="166" fontId="4" fillId="2" borderId="1" applyAlignment="1" applyProtection="1" pivotButton="0" quotePrefix="0" xfId="0">
      <alignment horizontal="center"/>
      <protection locked="0" hidden="0"/>
    </xf>
    <xf numFmtId="167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6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b val="1"/>
        <color rgb="00C8402E"/>
        <sz val="10"/>
      </font>
    </dxf>
    <dxf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Horas faturáveis × meta, por pessoa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'Painel'!C22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'Painel'!$A$23:$A$32</f>
            </numRef>
          </cat>
          <val>
            <numRef>
              <f>'Painel'!$C$23:$C$32</f>
            </numRef>
          </val>
        </ser>
        <ser>
          <idx val="1"/>
          <order val="1"/>
          <tx>
            <strRef>
              <f>'Painel'!E22</f>
            </strRef>
          </tx>
          <spPr>
            <a:solidFill xmlns:a="http://schemas.openxmlformats.org/drawingml/2006/main">
              <a:srgbClr val="B89BE0"/>
            </a:solidFill>
            <a:ln xmlns:a="http://schemas.openxmlformats.org/drawingml/2006/main">
              <a:prstDash val="solid"/>
            </a:ln>
          </spPr>
          <cat>
            <numRef>
              <f>'Painel'!$A$23:$A$32</f>
            </numRef>
          </cat>
          <val>
            <numRef>
              <f>'Painel'!$E$23:$E$32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8</row>
      <rowOff>0</rowOff>
    </from>
    <ext cx="43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Horas por Caso e por Pessoa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Cada pessoa lança as horas por caso; ela transforma em custo pelo custo-hora, compara com as horas estimadas e o valor contratado, mostra a margem de cada caso com um semáforo ("consome mais do que paga") e a ocupação de cada pessoa no mês.</t>
        </is>
      </c>
    </row>
    <row r="5" ht="46" customHeight="1">
      <c r="A5" s="3" t="inlineStr">
        <is>
          <t>Passo 1</t>
        </is>
      </c>
      <c r="B5" s="4" t="inlineStr">
        <is>
          <t>Em Config, cadastre as pessoas com custo mensal e meta de horas faturáveis, os custos fixos do escritório (da planilha 05) e as atividades. O custo-hora é calculado.</t>
        </is>
      </c>
    </row>
    <row r="6" ht="46" customHeight="1">
      <c r="A6" s="3" t="inlineStr">
        <is>
          <t>Passo 2</t>
        </is>
      </c>
      <c r="B6" s="4" t="inlineStr">
        <is>
          <t>Em Casos, cole a lista da planilha 13 (Carteira) com valor contratado e horas estimadas. Se o caso já vinha de antes, anote as horas gastas até aqui. Trabalho interno (gestão, captação) entra como modalidade Interno.</t>
        </is>
      </c>
    </row>
    <row r="7" ht="46" customHeight="1">
      <c r="A7" s="3" t="inlineStr">
        <is>
          <t>Passo 3</t>
        </is>
      </c>
      <c r="B7" s="4" t="inlineStr">
        <is>
          <t>Em Lançamentos, uma linha por pessoa, por dia, por caso: data, pessoa, caso, atividade, horas e se é faturável. Dois minutos no fim do dia bastam.</t>
        </is>
      </c>
    </row>
    <row r="8" ht="46" customHeight="1">
      <c r="A8" s="3" t="inlineStr">
        <is>
          <t>Passo 4</t>
        </is>
      </c>
      <c r="B8" s="4" t="inlineStr">
        <is>
          <t>Em Painel, escolha o mês em Config. "Casos para olhar primeiro" mostra os que consomem mais do que pagam; "Por pessoa" mostra horas, % faturável e ocupação contra a meta; "Todos os casos" traz o semáforo completo.</t>
        </is>
      </c>
    </row>
    <row r="9" ht="46" customHeight="1">
      <c r="A9" s="3" t="inlineStr">
        <is>
          <t>Rotina</t>
        </is>
      </c>
      <c r="B9" s="4" t="inlineStr">
        <is>
          <t>Cada pessoa lança no fim do dia ou na sexta (10 minutos). Dia 1 do mês: olhar a margem por caso antes de precificar a próxima proposta (planilha 06).</t>
        </is>
      </c>
    </row>
    <row r="10" ht="46" customHeight="1">
      <c r="A10" s="3" t="inlineStr">
        <is>
          <t>Exemplo</t>
        </is>
      </c>
      <c r="B10" s="4" t="inlineStr">
        <is>
          <t>No exemplo o mês do painel é agosto de 2026, o último mês completo; setembro está lançado até o dia 14. Os lançamentos vão de julho a setembro; o que veio antes está em "horas gastas antes".</t>
        </is>
      </c>
    </row>
    <row r="11" ht="46" customHeight="1">
      <c r="A11" s="3" t="inlineStr">
        <is>
          <t>Com a IA</t>
        </is>
      </c>
      <c r="B11" s="4" t="inlineStr">
        <is>
          <t>Copie "Casos para olhar primeiro" e use o prompt "Revisar a proposta de honorários" ou "Explicar o mês ao sócio" da biblioteca. Para justificar horas a um cliente, copie os lançamentos do caso e peça um resumo por atividade.</t>
        </is>
      </c>
    </row>
    <row r="12" ht="46" customHeight="1">
      <c r="A12" s="3" t="inlineStr">
        <is>
          <t>Legenda</t>
        </is>
      </c>
      <c r="B12" s="4" t="inlineStr">
        <is>
          <t>Células amarelas: você preenche. Brancas: calculadas. Não é preciso mexer em nada fora do amarelo.</t>
        </is>
      </c>
    </row>
    <row r="13" ht="46" customHeight="1">
      <c r="A13" s="3" t="inlineStr">
        <is>
          <t>Proteção</t>
        </is>
      </c>
      <c r="B13" s="4" t="inlineStr">
        <is>
          <t>Fórmulas protegidas sem senha. Para editar: Revisar &gt; Desproteger planilha (Excel) ou Dados &gt; Proteger intervalos (Google Sheets).</t>
        </is>
      </c>
    </row>
    <row r="14" ht="46" customHeight="1">
      <c r="A14" s="3" t="inlineStr">
        <is>
          <t>Requisitos</t>
        </is>
      </c>
      <c r="B14" s="4" t="inlineStr">
        <is>
          <t>Excel 2019 ou mais novo, Microsoft 365 ou Google Sheets. No celular abre nos aplicativos; para preencher, use o computador.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 e gráficos funcionam.</t>
        </is>
      </c>
    </row>
    <row r="16" ht="46" customHeight="1">
      <c r="A16" s="3" t="inlineStr">
        <is>
          <t>Exemplos</t>
        </is>
      </c>
      <c r="B16" s="4" t="inlineStr">
        <is>
          <t>Ferraz &amp; Lima Advocacia é um escritório fictício. Clientes, processos, nomes e valores são inventados. Apague-os antes de começar. Datas de prazo do exemplo são relativas a hoje.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16" customWidth="1" min="9" max="9"/>
    <col width="14" customWidth="1" min="10" max="10"/>
    <col width="11" customWidth="1" min="11" max="11"/>
    <col width="24" customWidth="1" min="12" max="12"/>
    <col hidden="1" width="13" customWidth="1" min="13" max="13"/>
  </cols>
  <sheetData>
    <row r="1" ht="28" customHeight="1">
      <c r="A1" s="5">
        <f>Config!$B$4&amp;" · Horas por caso · "&amp;Config!$B$6&amp;" de "&amp;Config!$B$5</f>
        <v/>
      </c>
    </row>
    <row r="2">
      <c r="A2" s="6" t="inlineStr">
        <is>
          <t>Nada para digitar aqui. Escolha o mês em Config; tudo vem de Lançamentos e Casos.</t>
        </is>
      </c>
    </row>
    <row r="4">
      <c r="A4" s="7" t="inlineStr">
        <is>
          <t>Horas no mês</t>
        </is>
      </c>
      <c r="B4" s="8" t="n"/>
      <c r="C4" s="9" t="inlineStr">
        <is>
          <t>Faturáveis no mês</t>
        </is>
      </c>
      <c r="D4" s="10" t="n"/>
      <c r="E4" s="7" t="inlineStr">
        <is>
          <t>Custo das horas no mês</t>
        </is>
      </c>
      <c r="F4" s="8" t="n"/>
      <c r="G4" s="11" t="inlineStr">
        <is>
          <t>Ocupação da equipe</t>
        </is>
      </c>
      <c r="H4" s="12" t="n"/>
      <c r="I4" s="13" t="inlineStr">
        <is>
          <t>Consomem mais do que pagam</t>
        </is>
      </c>
      <c r="J4" s="14" t="n"/>
    </row>
    <row r="5" ht="30" customHeight="1">
      <c r="A5" s="15">
        <f>SUMIFS(Lançamentos!$E$5:$E$604,Lançamentos!$I$5:$I$604,Config!$B$7,Lançamentos!$J$5:$J$604,Config!$B$5)</f>
        <v/>
      </c>
      <c r="B5" s="8" t="n"/>
      <c r="C5" s="16">
        <f>IFERROR(SUMIFS(Lançamentos!$E$5:$E$604,Lançamentos!$I$5:$I$604,Config!$B$7,Lançamentos!$J$5:$J$604,Config!$B$5,Lançamentos!$F$5:$F$604,"Sim")/A5,0)</f>
        <v/>
      </c>
      <c r="D5" s="10" t="n"/>
      <c r="E5" s="17">
        <f>SUMIFS(Lançamentos!$H$5:$H$604,Lançamentos!$I$5:$I$604,Config!$B$7,Lançamentos!$J$5:$J$604,Config!$B$5)</f>
        <v/>
      </c>
      <c r="F5" s="8" t="n"/>
      <c r="G5" s="18">
        <f>IFERROR(SUMIFS(Lançamentos!$E$5:$E$604,Lançamentos!$I$5:$I$604,Config!$B$7,Lançamentos!$J$5:$J$604,Config!$B$5,Lançamentos!$F$5:$F$604,"Sim")/SUMIFS(Config!$C$12:$C$21,Config!$A$12:$A$21,"&lt;&gt;"),0)</f>
        <v/>
      </c>
      <c r="H5" s="12" t="n"/>
      <c r="I5" s="19">
        <f>COUNTIF($L$32:$L$91,"Consome mais do que paga")</f>
        <v/>
      </c>
      <c r="J5" s="14" t="n"/>
    </row>
    <row r="7">
      <c r="A7" s="20" t="inlineStr">
        <is>
          <t>Ocupação = horas faturáveis lançadas no mês ÷ soma das metas de horas faturáveis (Config). Custo das horas = horas × custo-hora de quem lançou.</t>
        </is>
      </c>
    </row>
    <row r="9">
      <c r="A9" s="21" t="inlineStr">
        <is>
          <t>Casos para olhar primeiro (todo o período)</t>
        </is>
      </c>
    </row>
    <row r="10">
      <c r="A10" s="20" t="inlineStr">
        <is>
          <t>Casos em que o custo das horas já chegou perto do valor contratado, passou dele ou estourou as horas estimadas. Ordem: custo ÷ contratado, do maior para o menor.</t>
        </is>
      </c>
    </row>
    <row r="11" ht="26" customHeight="1">
      <c r="A11" s="22" t="inlineStr">
        <is>
          <t>#</t>
        </is>
      </c>
      <c r="B11" s="22" t="inlineStr">
        <is>
          <t>Caso</t>
        </is>
      </c>
      <c r="C11" s="22" t="inlineStr">
        <is>
          <t>Cliente</t>
        </is>
      </c>
      <c r="D11" s="22" t="inlineStr">
        <is>
          <t>Responsável</t>
        </is>
      </c>
      <c r="E11" s="22" t="inlineStr">
        <is>
          <t>Horas estimadas</t>
        </is>
      </c>
      <c r="F11" s="22" t="inlineStr">
        <is>
          <t>Horas gastas</t>
        </is>
      </c>
      <c r="G11" s="22" t="inlineStr">
        <is>
          <t>Custo das horas</t>
        </is>
      </c>
      <c r="H11" s="22" t="inlineStr">
        <is>
          <t>Valor contratado</t>
        </is>
      </c>
      <c r="I11" s="22" t="inlineStr">
        <is>
          <t>Margem (R$)</t>
        </is>
      </c>
      <c r="J11" s="22" t="inlineStr">
        <is>
          <t>Situação</t>
        </is>
      </c>
    </row>
    <row r="12">
      <c r="A12" s="23" t="n">
        <v>1</v>
      </c>
      <c r="B12" s="24">
        <f>IFERROR(IF(LARGE($M$32:$M$91,1)&gt;0,INDEX($A$32:$A$91,MATCH(LARGE($M$32:$M$91,1),$M$32:$M$91,0)),""),"")</f>
        <v/>
      </c>
      <c r="C12" s="24">
        <f>IFERROR(IF(LARGE($M$32:$M$91,1)&gt;0,INDEX($B$32:$B$91,MATCH(LARGE($M$32:$M$91,1),$M$32:$M$91,0)),""),"")</f>
        <v/>
      </c>
      <c r="D12" s="23">
        <f>IFERROR(IF(LARGE($M$32:$M$91,1)&gt;0,INDEX($C$32:$C$91,MATCH(LARGE($M$32:$M$91,1),$M$32:$M$91,0)),""),"")</f>
        <v/>
      </c>
      <c r="E12" s="25">
        <f>IFERROR(IF(LARGE($M$32:$M$91,1)&gt;0,INDEX($E$32:$E$91,MATCH(LARGE($M$32:$M$91,1),$M$32:$M$91,0)),""),"")</f>
        <v/>
      </c>
      <c r="F12" s="26">
        <f>IFERROR(IF(LARGE($M$32:$M$91,1)&gt;0,INDEX($F$32:$F$91,MATCH(LARGE($M$32:$M$91,1),$M$32:$M$91,0)),""),"")</f>
        <v/>
      </c>
      <c r="G12" s="27">
        <f>IFERROR(IF(LARGE($M$32:$M$91,1)&gt;0,INDEX($H$32:$H$91,MATCH(LARGE($M$32:$M$91,1),$M$32:$M$91,0)),""),"")</f>
        <v/>
      </c>
      <c r="H12" s="27">
        <f>IFERROR(IF(LARGE($M$32:$M$91,1)&gt;0,INDEX($I$32:$I$91,MATCH(LARGE($M$32:$M$91,1),$M$32:$M$91,0)),""),"")</f>
        <v/>
      </c>
      <c r="I12" s="27">
        <f>IFERROR(IF(LARGE($M$32:$M$91,1)&gt;0,INDEX($J$32:$J$91,MATCH(LARGE($M$32:$M$91,1),$M$32:$M$91,0)),""),"")</f>
        <v/>
      </c>
      <c r="J12" s="23">
        <f>IFERROR(IF(LARGE($M$32:$M$91,1)&gt;0,INDEX($L$32:$L$91,MATCH(LARGE($M$32:$M$91,1),$M$32:$M$91,0)),""),"")</f>
        <v/>
      </c>
    </row>
    <row r="13">
      <c r="A13" s="23" t="n">
        <v>2</v>
      </c>
      <c r="B13" s="24">
        <f>IFERROR(IF(LARGE($M$32:$M$91,2)&gt;0,INDEX($A$32:$A$91,MATCH(LARGE($M$32:$M$91,2),$M$32:$M$91,0)),""),"")</f>
        <v/>
      </c>
      <c r="C13" s="24">
        <f>IFERROR(IF(LARGE($M$32:$M$91,2)&gt;0,INDEX($B$32:$B$91,MATCH(LARGE($M$32:$M$91,2),$M$32:$M$91,0)),""),"")</f>
        <v/>
      </c>
      <c r="D13" s="23">
        <f>IFERROR(IF(LARGE($M$32:$M$91,2)&gt;0,INDEX($C$32:$C$91,MATCH(LARGE($M$32:$M$91,2),$M$32:$M$91,0)),""),"")</f>
        <v/>
      </c>
      <c r="E13" s="25">
        <f>IFERROR(IF(LARGE($M$32:$M$91,2)&gt;0,INDEX($E$32:$E$91,MATCH(LARGE($M$32:$M$91,2),$M$32:$M$91,0)),""),"")</f>
        <v/>
      </c>
      <c r="F13" s="26">
        <f>IFERROR(IF(LARGE($M$32:$M$91,2)&gt;0,INDEX($F$32:$F$91,MATCH(LARGE($M$32:$M$91,2),$M$32:$M$91,0)),""),"")</f>
        <v/>
      </c>
      <c r="G13" s="27">
        <f>IFERROR(IF(LARGE($M$32:$M$91,2)&gt;0,INDEX($H$32:$H$91,MATCH(LARGE($M$32:$M$91,2),$M$32:$M$91,0)),""),"")</f>
        <v/>
      </c>
      <c r="H13" s="27">
        <f>IFERROR(IF(LARGE($M$32:$M$91,2)&gt;0,INDEX($I$32:$I$91,MATCH(LARGE($M$32:$M$91,2),$M$32:$M$91,0)),""),"")</f>
        <v/>
      </c>
      <c r="I13" s="27">
        <f>IFERROR(IF(LARGE($M$32:$M$91,2)&gt;0,INDEX($J$32:$J$91,MATCH(LARGE($M$32:$M$91,2),$M$32:$M$91,0)),""),"")</f>
        <v/>
      </c>
      <c r="J13" s="23">
        <f>IFERROR(IF(LARGE($M$32:$M$91,2)&gt;0,INDEX($L$32:$L$91,MATCH(LARGE($M$32:$M$91,2),$M$32:$M$91,0)),""),"")</f>
        <v/>
      </c>
    </row>
    <row r="14">
      <c r="A14" s="23" t="n">
        <v>3</v>
      </c>
      <c r="B14" s="24">
        <f>IFERROR(IF(LARGE($M$32:$M$91,3)&gt;0,INDEX($A$32:$A$91,MATCH(LARGE($M$32:$M$91,3),$M$32:$M$91,0)),""),"")</f>
        <v/>
      </c>
      <c r="C14" s="24">
        <f>IFERROR(IF(LARGE($M$32:$M$91,3)&gt;0,INDEX($B$32:$B$91,MATCH(LARGE($M$32:$M$91,3),$M$32:$M$91,0)),""),"")</f>
        <v/>
      </c>
      <c r="D14" s="23">
        <f>IFERROR(IF(LARGE($M$32:$M$91,3)&gt;0,INDEX($C$32:$C$91,MATCH(LARGE($M$32:$M$91,3),$M$32:$M$91,0)),""),"")</f>
        <v/>
      </c>
      <c r="E14" s="25">
        <f>IFERROR(IF(LARGE($M$32:$M$91,3)&gt;0,INDEX($E$32:$E$91,MATCH(LARGE($M$32:$M$91,3),$M$32:$M$91,0)),""),"")</f>
        <v/>
      </c>
      <c r="F14" s="26">
        <f>IFERROR(IF(LARGE($M$32:$M$91,3)&gt;0,INDEX($F$32:$F$91,MATCH(LARGE($M$32:$M$91,3),$M$32:$M$91,0)),""),"")</f>
        <v/>
      </c>
      <c r="G14" s="27">
        <f>IFERROR(IF(LARGE($M$32:$M$91,3)&gt;0,INDEX($H$32:$H$91,MATCH(LARGE($M$32:$M$91,3),$M$32:$M$91,0)),""),"")</f>
        <v/>
      </c>
      <c r="H14" s="27">
        <f>IFERROR(IF(LARGE($M$32:$M$91,3)&gt;0,INDEX($I$32:$I$91,MATCH(LARGE($M$32:$M$91,3),$M$32:$M$91,0)),""),"")</f>
        <v/>
      </c>
      <c r="I14" s="27">
        <f>IFERROR(IF(LARGE($M$32:$M$91,3)&gt;0,INDEX($J$32:$J$91,MATCH(LARGE($M$32:$M$91,3),$M$32:$M$91,0)),""),"")</f>
        <v/>
      </c>
      <c r="J14" s="23">
        <f>IFERROR(IF(LARGE($M$32:$M$91,3)&gt;0,INDEX($L$32:$L$91,MATCH(LARGE($M$32:$M$91,3),$M$32:$M$91,0)),""),"")</f>
        <v/>
      </c>
    </row>
    <row r="15">
      <c r="A15" s="23" t="n">
        <v>4</v>
      </c>
      <c r="B15" s="24">
        <f>IFERROR(IF(LARGE($M$32:$M$91,4)&gt;0,INDEX($A$32:$A$91,MATCH(LARGE($M$32:$M$91,4),$M$32:$M$91,0)),""),"")</f>
        <v/>
      </c>
      <c r="C15" s="24">
        <f>IFERROR(IF(LARGE($M$32:$M$91,4)&gt;0,INDEX($B$32:$B$91,MATCH(LARGE($M$32:$M$91,4),$M$32:$M$91,0)),""),"")</f>
        <v/>
      </c>
      <c r="D15" s="23">
        <f>IFERROR(IF(LARGE($M$32:$M$91,4)&gt;0,INDEX($C$32:$C$91,MATCH(LARGE($M$32:$M$91,4),$M$32:$M$91,0)),""),"")</f>
        <v/>
      </c>
      <c r="E15" s="25">
        <f>IFERROR(IF(LARGE($M$32:$M$91,4)&gt;0,INDEX($E$32:$E$91,MATCH(LARGE($M$32:$M$91,4),$M$32:$M$91,0)),""),"")</f>
        <v/>
      </c>
      <c r="F15" s="26">
        <f>IFERROR(IF(LARGE($M$32:$M$91,4)&gt;0,INDEX($F$32:$F$91,MATCH(LARGE($M$32:$M$91,4),$M$32:$M$91,0)),""),"")</f>
        <v/>
      </c>
      <c r="G15" s="27">
        <f>IFERROR(IF(LARGE($M$32:$M$91,4)&gt;0,INDEX($H$32:$H$91,MATCH(LARGE($M$32:$M$91,4),$M$32:$M$91,0)),""),"")</f>
        <v/>
      </c>
      <c r="H15" s="27">
        <f>IFERROR(IF(LARGE($M$32:$M$91,4)&gt;0,INDEX($I$32:$I$91,MATCH(LARGE($M$32:$M$91,4),$M$32:$M$91,0)),""),"")</f>
        <v/>
      </c>
      <c r="I15" s="27">
        <f>IFERROR(IF(LARGE($M$32:$M$91,4)&gt;0,INDEX($J$32:$J$91,MATCH(LARGE($M$32:$M$91,4),$M$32:$M$91,0)),""),"")</f>
        <v/>
      </c>
      <c r="J15" s="23">
        <f>IFERROR(IF(LARGE($M$32:$M$91,4)&gt;0,INDEX($L$32:$L$91,MATCH(LARGE($M$32:$M$91,4),$M$32:$M$91,0)),""),"")</f>
        <v/>
      </c>
    </row>
    <row r="16">
      <c r="A16" s="23" t="n">
        <v>5</v>
      </c>
      <c r="B16" s="24">
        <f>IFERROR(IF(LARGE($M$32:$M$91,5)&gt;0,INDEX($A$32:$A$91,MATCH(LARGE($M$32:$M$91,5),$M$32:$M$91,0)),""),"")</f>
        <v/>
      </c>
      <c r="C16" s="24">
        <f>IFERROR(IF(LARGE($M$32:$M$91,5)&gt;0,INDEX($B$32:$B$91,MATCH(LARGE($M$32:$M$91,5),$M$32:$M$91,0)),""),"")</f>
        <v/>
      </c>
      <c r="D16" s="23">
        <f>IFERROR(IF(LARGE($M$32:$M$91,5)&gt;0,INDEX($C$32:$C$91,MATCH(LARGE($M$32:$M$91,5),$M$32:$M$91,0)),""),"")</f>
        <v/>
      </c>
      <c r="E16" s="25">
        <f>IFERROR(IF(LARGE($M$32:$M$91,5)&gt;0,INDEX($E$32:$E$91,MATCH(LARGE($M$32:$M$91,5),$M$32:$M$91,0)),""),"")</f>
        <v/>
      </c>
      <c r="F16" s="26">
        <f>IFERROR(IF(LARGE($M$32:$M$91,5)&gt;0,INDEX($F$32:$F$91,MATCH(LARGE($M$32:$M$91,5),$M$32:$M$91,0)),""),"")</f>
        <v/>
      </c>
      <c r="G16" s="27">
        <f>IFERROR(IF(LARGE($M$32:$M$91,5)&gt;0,INDEX($H$32:$H$91,MATCH(LARGE($M$32:$M$91,5),$M$32:$M$91,0)),""),"")</f>
        <v/>
      </c>
      <c r="H16" s="27">
        <f>IFERROR(IF(LARGE($M$32:$M$91,5)&gt;0,INDEX($I$32:$I$91,MATCH(LARGE($M$32:$M$91,5),$M$32:$M$91,0)),""),"")</f>
        <v/>
      </c>
      <c r="I16" s="27">
        <f>IFERROR(IF(LARGE($M$32:$M$91,5)&gt;0,INDEX($J$32:$J$91,MATCH(LARGE($M$32:$M$91,5),$M$32:$M$91,0)),""),"")</f>
        <v/>
      </c>
      <c r="J16" s="23">
        <f>IFERROR(IF(LARGE($M$32:$M$91,5)&gt;0,INDEX($L$32:$L$91,MATCH(LARGE($M$32:$M$91,5),$M$32:$M$91,0)),""),"")</f>
        <v/>
      </c>
    </row>
    <row r="17">
      <c r="A17" s="23" t="n">
        <v>6</v>
      </c>
      <c r="B17" s="24">
        <f>IFERROR(IF(LARGE($M$32:$M$91,6)&gt;0,INDEX($A$32:$A$91,MATCH(LARGE($M$32:$M$91,6),$M$32:$M$91,0)),""),"")</f>
        <v/>
      </c>
      <c r="C17" s="24">
        <f>IFERROR(IF(LARGE($M$32:$M$91,6)&gt;0,INDEX($B$32:$B$91,MATCH(LARGE($M$32:$M$91,6),$M$32:$M$91,0)),""),"")</f>
        <v/>
      </c>
      <c r="D17" s="23">
        <f>IFERROR(IF(LARGE($M$32:$M$91,6)&gt;0,INDEX($C$32:$C$91,MATCH(LARGE($M$32:$M$91,6),$M$32:$M$91,0)),""),"")</f>
        <v/>
      </c>
      <c r="E17" s="25">
        <f>IFERROR(IF(LARGE($M$32:$M$91,6)&gt;0,INDEX($E$32:$E$91,MATCH(LARGE($M$32:$M$91,6),$M$32:$M$91,0)),""),"")</f>
        <v/>
      </c>
      <c r="F17" s="26">
        <f>IFERROR(IF(LARGE($M$32:$M$91,6)&gt;0,INDEX($F$32:$F$91,MATCH(LARGE($M$32:$M$91,6),$M$32:$M$91,0)),""),"")</f>
        <v/>
      </c>
      <c r="G17" s="27">
        <f>IFERROR(IF(LARGE($M$32:$M$91,6)&gt;0,INDEX($H$32:$H$91,MATCH(LARGE($M$32:$M$91,6),$M$32:$M$91,0)),""),"")</f>
        <v/>
      </c>
      <c r="H17" s="27">
        <f>IFERROR(IF(LARGE($M$32:$M$91,6)&gt;0,INDEX($I$32:$I$91,MATCH(LARGE($M$32:$M$91,6),$M$32:$M$91,0)),""),"")</f>
        <v/>
      </c>
      <c r="I17" s="27">
        <f>IFERROR(IF(LARGE($M$32:$M$91,6)&gt;0,INDEX($J$32:$J$91,MATCH(LARGE($M$32:$M$91,6),$M$32:$M$91,0)),""),"")</f>
        <v/>
      </c>
      <c r="J17" s="23">
        <f>IFERROR(IF(LARGE($M$32:$M$91,6)&gt;0,INDEX($L$32:$L$91,MATCH(LARGE($M$32:$M$91,6),$M$32:$M$91,0)),""),"")</f>
        <v/>
      </c>
    </row>
    <row r="18">
      <c r="A18" s="23" t="n">
        <v>7</v>
      </c>
      <c r="B18" s="24">
        <f>IFERROR(IF(LARGE($M$32:$M$91,7)&gt;0,INDEX($A$32:$A$91,MATCH(LARGE($M$32:$M$91,7),$M$32:$M$91,0)),""),"")</f>
        <v/>
      </c>
      <c r="C18" s="24">
        <f>IFERROR(IF(LARGE($M$32:$M$91,7)&gt;0,INDEX($B$32:$B$91,MATCH(LARGE($M$32:$M$91,7),$M$32:$M$91,0)),""),"")</f>
        <v/>
      </c>
      <c r="D18" s="23">
        <f>IFERROR(IF(LARGE($M$32:$M$91,7)&gt;0,INDEX($C$32:$C$91,MATCH(LARGE($M$32:$M$91,7),$M$32:$M$91,0)),""),"")</f>
        <v/>
      </c>
      <c r="E18" s="25">
        <f>IFERROR(IF(LARGE($M$32:$M$91,7)&gt;0,INDEX($E$32:$E$91,MATCH(LARGE($M$32:$M$91,7),$M$32:$M$91,0)),""),"")</f>
        <v/>
      </c>
      <c r="F18" s="26">
        <f>IFERROR(IF(LARGE($M$32:$M$91,7)&gt;0,INDEX($F$32:$F$91,MATCH(LARGE($M$32:$M$91,7),$M$32:$M$91,0)),""),"")</f>
        <v/>
      </c>
      <c r="G18" s="27">
        <f>IFERROR(IF(LARGE($M$32:$M$91,7)&gt;0,INDEX($H$32:$H$91,MATCH(LARGE($M$32:$M$91,7),$M$32:$M$91,0)),""),"")</f>
        <v/>
      </c>
      <c r="H18" s="27">
        <f>IFERROR(IF(LARGE($M$32:$M$91,7)&gt;0,INDEX($I$32:$I$91,MATCH(LARGE($M$32:$M$91,7),$M$32:$M$91,0)),""),"")</f>
        <v/>
      </c>
      <c r="I18" s="27">
        <f>IFERROR(IF(LARGE($M$32:$M$91,7)&gt;0,INDEX($J$32:$J$91,MATCH(LARGE($M$32:$M$91,7),$M$32:$M$91,0)),""),"")</f>
        <v/>
      </c>
      <c r="J18" s="23">
        <f>IFERROR(IF(LARGE($M$32:$M$91,7)&gt;0,INDEX($L$32:$L$91,MATCH(LARGE($M$32:$M$91,7),$M$32:$M$91,0)),""),"")</f>
        <v/>
      </c>
    </row>
    <row r="19">
      <c r="A19" s="23" t="n">
        <v>8</v>
      </c>
      <c r="B19" s="24">
        <f>IFERROR(IF(LARGE($M$32:$M$91,8)&gt;0,INDEX($A$32:$A$91,MATCH(LARGE($M$32:$M$91,8),$M$32:$M$91,0)),""),"")</f>
        <v/>
      </c>
      <c r="C19" s="24">
        <f>IFERROR(IF(LARGE($M$32:$M$91,8)&gt;0,INDEX($B$32:$B$91,MATCH(LARGE($M$32:$M$91,8),$M$32:$M$91,0)),""),"")</f>
        <v/>
      </c>
      <c r="D19" s="23">
        <f>IFERROR(IF(LARGE($M$32:$M$91,8)&gt;0,INDEX($C$32:$C$91,MATCH(LARGE($M$32:$M$91,8),$M$32:$M$91,0)),""),"")</f>
        <v/>
      </c>
      <c r="E19" s="25">
        <f>IFERROR(IF(LARGE($M$32:$M$91,8)&gt;0,INDEX($E$32:$E$91,MATCH(LARGE($M$32:$M$91,8),$M$32:$M$91,0)),""),"")</f>
        <v/>
      </c>
      <c r="F19" s="26">
        <f>IFERROR(IF(LARGE($M$32:$M$91,8)&gt;0,INDEX($F$32:$F$91,MATCH(LARGE($M$32:$M$91,8),$M$32:$M$91,0)),""),"")</f>
        <v/>
      </c>
      <c r="G19" s="27">
        <f>IFERROR(IF(LARGE($M$32:$M$91,8)&gt;0,INDEX($H$32:$H$91,MATCH(LARGE($M$32:$M$91,8),$M$32:$M$91,0)),""),"")</f>
        <v/>
      </c>
      <c r="H19" s="27">
        <f>IFERROR(IF(LARGE($M$32:$M$91,8)&gt;0,INDEX($I$32:$I$91,MATCH(LARGE($M$32:$M$91,8),$M$32:$M$91,0)),""),"")</f>
        <v/>
      </c>
      <c r="I19" s="27">
        <f>IFERROR(IF(LARGE($M$32:$M$91,8)&gt;0,INDEX($J$32:$J$91,MATCH(LARGE($M$32:$M$91,8),$M$32:$M$91,0)),""),"")</f>
        <v/>
      </c>
      <c r="J19" s="23">
        <f>IFERROR(IF(LARGE($M$32:$M$91,8)&gt;0,INDEX($L$32:$L$91,MATCH(LARGE($M$32:$M$91,8),$M$32:$M$91,0)),""),"")</f>
        <v/>
      </c>
    </row>
    <row r="21">
      <c r="A21" s="21">
        <f>"Por pessoa em "&amp;Config!$B$6</f>
        <v/>
      </c>
    </row>
    <row r="22" ht="26" customHeight="1">
      <c r="A22" s="22" t="inlineStr">
        <is>
          <t>Pessoa</t>
        </is>
      </c>
      <c r="B22" s="22" t="inlineStr">
        <is>
          <t>Horas lançadas</t>
        </is>
      </c>
      <c r="C22" s="22" t="inlineStr">
        <is>
          <t>Faturáveis</t>
        </is>
      </c>
      <c r="D22" s="22" t="inlineStr">
        <is>
          <t>% faturável</t>
        </is>
      </c>
      <c r="E22" s="22" t="inlineStr">
        <is>
          <t>Meta faturável/mês</t>
        </is>
      </c>
      <c r="F22" s="22" t="inlineStr">
        <is>
          <t>% da meta</t>
        </is>
      </c>
      <c r="G22" s="22" t="inlineStr">
        <is>
          <t>Custo no mês (R$)</t>
        </is>
      </c>
      <c r="H22" s="22" t="inlineStr">
        <is>
          <t>Custo-hora (R$)</t>
        </is>
      </c>
    </row>
    <row r="23">
      <c r="A23" s="24">
        <f>IF(Config!$A$12="","",Config!$A$12)</f>
        <v/>
      </c>
      <c r="B23" s="26">
        <f>IF(Config!$A$12="","",SUMIFS(Lançamentos!$E$5:$E$604,Lançamentos!$B$5:$B$604,Config!$A$12,Lançamentos!$I$5:$I$604,Config!$B$7,Lançamentos!$J$5:$J$604,Config!$B$5))</f>
        <v/>
      </c>
      <c r="C23" s="26">
        <f>IF(Config!$A$12="","",SUMIFS(Lançamentos!$E$5:$E$604,Lançamentos!$B$5:$B$604,Config!$A$12,Lançamentos!$I$5:$I$604,Config!$B$7,Lançamentos!$J$5:$J$604,Config!$B$5,Lançamentos!$F$5:$F$604,"Sim"))</f>
        <v/>
      </c>
      <c r="D23" s="28">
        <f>IF(OR(Config!$A$12="",B23=0),"",C23/B23)</f>
        <v/>
      </c>
      <c r="E23" s="25">
        <f>IF(Config!$A$12="","",Config!$C$12)</f>
        <v/>
      </c>
      <c r="F23" s="28">
        <f>IF(OR(Config!$A$12="",E23=0,E23=""),"",C23/E23)</f>
        <v/>
      </c>
      <c r="G23" s="27">
        <f>IF(Config!$A$12="","",SUMIFS(Lançamentos!$H$5:$H$604,Lançamentos!$B$5:$B$604,Config!$A$12,Lançamentos!$I$5:$I$604,Config!$B$7,Lançamentos!$J$5:$J$604,Config!$B$5))</f>
        <v/>
      </c>
      <c r="H23" s="29">
        <f>IF(Config!$A$12="","",Config!$D$12)</f>
        <v/>
      </c>
    </row>
    <row r="24">
      <c r="A24" s="24">
        <f>IF(Config!$A$13="","",Config!$A$13)</f>
        <v/>
      </c>
      <c r="B24" s="26">
        <f>IF(Config!$A$13="","",SUMIFS(Lançamentos!$E$5:$E$604,Lançamentos!$B$5:$B$604,Config!$A$13,Lançamentos!$I$5:$I$604,Config!$B$7,Lançamentos!$J$5:$J$604,Config!$B$5))</f>
        <v/>
      </c>
      <c r="C24" s="26">
        <f>IF(Config!$A$13="","",SUMIFS(Lançamentos!$E$5:$E$604,Lançamentos!$B$5:$B$604,Config!$A$13,Lançamentos!$I$5:$I$604,Config!$B$7,Lançamentos!$J$5:$J$604,Config!$B$5,Lançamentos!$F$5:$F$604,"Sim"))</f>
        <v/>
      </c>
      <c r="D24" s="28">
        <f>IF(OR(Config!$A$13="",B24=0),"",C24/B24)</f>
        <v/>
      </c>
      <c r="E24" s="25">
        <f>IF(Config!$A$13="","",Config!$C$13)</f>
        <v/>
      </c>
      <c r="F24" s="28">
        <f>IF(OR(Config!$A$13="",E24=0,E24=""),"",C24/E24)</f>
        <v/>
      </c>
      <c r="G24" s="27">
        <f>IF(Config!$A$13="","",SUMIFS(Lançamentos!$H$5:$H$604,Lançamentos!$B$5:$B$604,Config!$A$13,Lançamentos!$I$5:$I$604,Config!$B$7,Lançamentos!$J$5:$J$604,Config!$B$5))</f>
        <v/>
      </c>
      <c r="H24" s="29">
        <f>IF(Config!$A$13="","",Config!$D$13)</f>
        <v/>
      </c>
    </row>
    <row r="25">
      <c r="A25" s="24">
        <f>IF(Config!$A$14="","",Config!$A$14)</f>
        <v/>
      </c>
      <c r="B25" s="26">
        <f>IF(Config!$A$14="","",SUMIFS(Lançamentos!$E$5:$E$604,Lançamentos!$B$5:$B$604,Config!$A$14,Lançamentos!$I$5:$I$604,Config!$B$7,Lançamentos!$J$5:$J$604,Config!$B$5))</f>
        <v/>
      </c>
      <c r="C25" s="26">
        <f>IF(Config!$A$14="","",SUMIFS(Lançamentos!$E$5:$E$604,Lançamentos!$B$5:$B$604,Config!$A$14,Lançamentos!$I$5:$I$604,Config!$B$7,Lançamentos!$J$5:$J$604,Config!$B$5,Lançamentos!$F$5:$F$604,"Sim"))</f>
        <v/>
      </c>
      <c r="D25" s="28">
        <f>IF(OR(Config!$A$14="",B25=0),"",C25/B25)</f>
        <v/>
      </c>
      <c r="E25" s="25">
        <f>IF(Config!$A$14="","",Config!$C$14)</f>
        <v/>
      </c>
      <c r="F25" s="28">
        <f>IF(OR(Config!$A$14="",E25=0,E25=""),"",C25/E25)</f>
        <v/>
      </c>
      <c r="G25" s="27">
        <f>IF(Config!$A$14="","",SUMIFS(Lançamentos!$H$5:$H$604,Lançamentos!$B$5:$B$604,Config!$A$14,Lançamentos!$I$5:$I$604,Config!$B$7,Lançamentos!$J$5:$J$604,Config!$B$5))</f>
        <v/>
      </c>
      <c r="H25" s="29">
        <f>IF(Config!$A$14="","",Config!$D$14)</f>
        <v/>
      </c>
    </row>
    <row r="26">
      <c r="A26" s="24">
        <f>IF(Config!$A$15="","",Config!$A$15)</f>
        <v/>
      </c>
      <c r="B26" s="26">
        <f>IF(Config!$A$15="","",SUMIFS(Lançamentos!$E$5:$E$604,Lançamentos!$B$5:$B$604,Config!$A$15,Lançamentos!$I$5:$I$604,Config!$B$7,Lançamentos!$J$5:$J$604,Config!$B$5))</f>
        <v/>
      </c>
      <c r="C26" s="26">
        <f>IF(Config!$A$15="","",SUMIFS(Lançamentos!$E$5:$E$604,Lançamentos!$B$5:$B$604,Config!$A$15,Lançamentos!$I$5:$I$604,Config!$B$7,Lançamentos!$J$5:$J$604,Config!$B$5,Lançamentos!$F$5:$F$604,"Sim"))</f>
        <v/>
      </c>
      <c r="D26" s="28">
        <f>IF(OR(Config!$A$15="",B26=0),"",C26/B26)</f>
        <v/>
      </c>
      <c r="E26" s="25">
        <f>IF(Config!$A$15="","",Config!$C$15)</f>
        <v/>
      </c>
      <c r="F26" s="28">
        <f>IF(OR(Config!$A$15="",E26=0,E26=""),"",C26/E26)</f>
        <v/>
      </c>
      <c r="G26" s="27">
        <f>IF(Config!$A$15="","",SUMIFS(Lançamentos!$H$5:$H$604,Lançamentos!$B$5:$B$604,Config!$A$15,Lançamentos!$I$5:$I$604,Config!$B$7,Lançamentos!$J$5:$J$604,Config!$B$5))</f>
        <v/>
      </c>
      <c r="H26" s="29">
        <f>IF(Config!$A$15="","",Config!$D$15)</f>
        <v/>
      </c>
    </row>
    <row r="27">
      <c r="A27" s="24">
        <f>IF(Config!$A$16="","",Config!$A$16)</f>
        <v/>
      </c>
      <c r="B27" s="26">
        <f>IF(Config!$A$16="","",SUMIFS(Lançamentos!$E$5:$E$604,Lançamentos!$B$5:$B$604,Config!$A$16,Lançamentos!$I$5:$I$604,Config!$B$7,Lançamentos!$J$5:$J$604,Config!$B$5))</f>
        <v/>
      </c>
      <c r="C27" s="26">
        <f>IF(Config!$A$16="","",SUMIFS(Lançamentos!$E$5:$E$604,Lançamentos!$B$5:$B$604,Config!$A$16,Lançamentos!$I$5:$I$604,Config!$B$7,Lançamentos!$J$5:$J$604,Config!$B$5,Lançamentos!$F$5:$F$604,"Sim"))</f>
        <v/>
      </c>
      <c r="D27" s="28">
        <f>IF(OR(Config!$A$16="",B27=0),"",C27/B27)</f>
        <v/>
      </c>
      <c r="E27" s="25">
        <f>IF(Config!$A$16="","",Config!$C$16)</f>
        <v/>
      </c>
      <c r="F27" s="28">
        <f>IF(OR(Config!$A$16="",E27=0,E27=""),"",C27/E27)</f>
        <v/>
      </c>
      <c r="G27" s="27">
        <f>IF(Config!$A$16="","",SUMIFS(Lançamentos!$H$5:$H$604,Lançamentos!$B$5:$B$604,Config!$A$16,Lançamentos!$I$5:$I$604,Config!$B$7,Lançamentos!$J$5:$J$604,Config!$B$5))</f>
        <v/>
      </c>
      <c r="H27" s="29">
        <f>IF(Config!$A$16="","",Config!$D$16)</f>
        <v/>
      </c>
    </row>
    <row r="28">
      <c r="A28" s="24">
        <f>IF(Config!$A$17="","",Config!$A$17)</f>
        <v/>
      </c>
      <c r="B28" s="26">
        <f>IF(Config!$A$17="","",SUMIFS(Lançamentos!$E$5:$E$604,Lançamentos!$B$5:$B$604,Config!$A$17,Lançamentos!$I$5:$I$604,Config!$B$7,Lançamentos!$J$5:$J$604,Config!$B$5))</f>
        <v/>
      </c>
      <c r="C28" s="26">
        <f>IF(Config!$A$17="","",SUMIFS(Lançamentos!$E$5:$E$604,Lançamentos!$B$5:$B$604,Config!$A$17,Lançamentos!$I$5:$I$604,Config!$B$7,Lançamentos!$J$5:$J$604,Config!$B$5,Lançamentos!$F$5:$F$604,"Sim"))</f>
        <v/>
      </c>
      <c r="D28" s="28">
        <f>IF(OR(Config!$A$17="",B28=0),"",C28/B28)</f>
        <v/>
      </c>
      <c r="E28" s="25">
        <f>IF(Config!$A$17="","",Config!$C$17)</f>
        <v/>
      </c>
      <c r="F28" s="28">
        <f>IF(OR(Config!$A$17="",E28=0,E28=""),"",C28/E28)</f>
        <v/>
      </c>
      <c r="G28" s="27">
        <f>IF(Config!$A$17="","",SUMIFS(Lançamentos!$H$5:$H$604,Lançamentos!$B$5:$B$604,Config!$A$17,Lançamentos!$I$5:$I$604,Config!$B$7,Lançamentos!$J$5:$J$604,Config!$B$5))</f>
        <v/>
      </c>
      <c r="H28" s="29">
        <f>IF(Config!$A$17="","",Config!$D$17)</f>
        <v/>
      </c>
    </row>
    <row r="29">
      <c r="A29" s="24">
        <f>IF(Config!$A$18="","",Config!$A$18)</f>
        <v/>
      </c>
      <c r="B29" s="26">
        <f>IF(Config!$A$18="","",SUMIFS(Lançamentos!$E$5:$E$604,Lançamentos!$B$5:$B$604,Config!$A$18,Lançamentos!$I$5:$I$604,Config!$B$7,Lançamentos!$J$5:$J$604,Config!$B$5))</f>
        <v/>
      </c>
      <c r="C29" s="26">
        <f>IF(Config!$A$18="","",SUMIFS(Lançamentos!$E$5:$E$604,Lançamentos!$B$5:$B$604,Config!$A$18,Lançamentos!$I$5:$I$604,Config!$B$7,Lançamentos!$J$5:$J$604,Config!$B$5,Lançamentos!$F$5:$F$604,"Sim"))</f>
        <v/>
      </c>
      <c r="D29" s="28">
        <f>IF(OR(Config!$A$18="",B29=0),"",C29/B29)</f>
        <v/>
      </c>
      <c r="E29" s="25">
        <f>IF(Config!$A$18="","",Config!$C$18)</f>
        <v/>
      </c>
      <c r="F29" s="28">
        <f>IF(OR(Config!$A$18="",E29=0,E29=""),"",C29/E29)</f>
        <v/>
      </c>
      <c r="G29" s="27">
        <f>IF(Config!$A$18="","",SUMIFS(Lançamentos!$H$5:$H$604,Lançamentos!$B$5:$B$604,Config!$A$18,Lançamentos!$I$5:$I$604,Config!$B$7,Lançamentos!$J$5:$J$604,Config!$B$5))</f>
        <v/>
      </c>
      <c r="H29" s="29">
        <f>IF(Config!$A$18="","",Config!$D$18)</f>
        <v/>
      </c>
    </row>
    <row r="30">
      <c r="A30" s="30" t="inlineStr">
        <is>
          <t>Todos os casos (todo o período)</t>
        </is>
      </c>
      <c r="B30" s="26">
        <f>IF(Config!$A$19="","",SUMIFS(Lançamentos!$E$5:$E$604,Lançamentos!$B$5:$B$604,Config!$A$19,Lançamentos!$I$5:$I$604,Config!$B$7,Lançamentos!$J$5:$J$604,Config!$B$5))</f>
        <v/>
      </c>
      <c r="C30" s="26">
        <f>IF(Config!$A$19="","",SUMIFS(Lançamentos!$E$5:$E$604,Lançamentos!$B$5:$B$604,Config!$A$19,Lançamentos!$I$5:$I$604,Config!$B$7,Lançamentos!$J$5:$J$604,Config!$B$5,Lançamentos!$F$5:$F$604,"Sim"))</f>
        <v/>
      </c>
      <c r="D30" s="28">
        <f>IF(OR(Config!$A$19="",B30=0),"",C30/B30)</f>
        <v/>
      </c>
      <c r="E30" s="31" t="inlineStr">
        <is>
          <t>Mostra os 60 primeiros casos da aba Casos; horas gastas = horas de antes + lançadas aqui.</t>
        </is>
      </c>
      <c r="F30" s="28">
        <f>IF(OR(Config!$A$19="",E30=0,E30=""),"",C30/E30)</f>
        <v/>
      </c>
      <c r="G30" s="27">
        <f>IF(Config!$A$19="","",SUMIFS(Lançamentos!$H$5:$H$604,Lançamentos!$B$5:$B$604,Config!$A$19,Lançamentos!$I$5:$I$604,Config!$B$7,Lançamentos!$J$5:$J$604,Config!$B$5))</f>
        <v/>
      </c>
      <c r="H30" s="29">
        <f>IF(Config!$A$19="","",Config!$D$19)</f>
        <v/>
      </c>
    </row>
    <row r="31" ht="26" customHeight="1">
      <c r="A31" s="22" t="inlineStr">
        <is>
          <t>Caso</t>
        </is>
      </c>
      <c r="B31" s="32" t="inlineStr">
        <is>
          <t>Cliente</t>
        </is>
      </c>
      <c r="C31" s="32" t="inlineStr">
        <is>
          <t>Responsável</t>
        </is>
      </c>
      <c r="D31" s="33" t="inlineStr">
        <is>
          <t>Modalidade</t>
        </is>
      </c>
      <c r="E31" s="34" t="inlineStr">
        <is>
          <t>Horas estimadas</t>
        </is>
      </c>
      <c r="F31" s="33" t="inlineStr">
        <is>
          <t>Horas gastas</t>
        </is>
      </c>
      <c r="G31" s="35" t="inlineStr">
        <is>
          <t>% das estimadas</t>
        </is>
      </c>
      <c r="H31" s="36" t="inlineStr">
        <is>
          <t>Custo das horas (R$)</t>
        </is>
      </c>
      <c r="I31" s="22" t="inlineStr">
        <is>
          <t>Valor contratado (R$)</t>
        </is>
      </c>
      <c r="J31" s="22" t="inlineStr">
        <is>
          <t>Margem (R$)</t>
        </is>
      </c>
      <c r="K31" s="22" t="inlineStr">
        <is>
          <t>Margem (%)</t>
        </is>
      </c>
      <c r="L31" s="22" t="inlineStr">
        <is>
          <t>Situação</t>
        </is>
      </c>
    </row>
    <row r="32">
      <c r="A32" s="24">
        <f>IF(Casos!$A$5="","",Casos!$A$5)</f>
        <v/>
      </c>
      <c r="B32" s="26">
        <f>IF(Casos!$A$5="","",Casos!$B$5)</f>
        <v/>
      </c>
      <c r="C32" s="26">
        <f>IF(Casos!$A$5="","",Casos!$D$5)</f>
        <v/>
      </c>
      <c r="D32" s="28">
        <f>IF(Casos!$A$5="","",Casos!$E$5)</f>
        <v/>
      </c>
      <c r="E32" s="25">
        <f>IF(Casos!$A$5="","",N(Casos!$G$5))</f>
        <v/>
      </c>
      <c r="F32" s="26">
        <f>IF(Casos!$A$5="","",N(Casos!$H$5)+SUMIFS(Lançamentos!$E$5:$E$604,Lançamentos!$C$5:$C$604,Casos!$A$5))</f>
        <v/>
      </c>
      <c r="G32" s="28">
        <f>IF(OR(Casos!$A$5="",E32=0),"",F32/E32)</f>
        <v/>
      </c>
      <c r="H32" s="27">
        <f>IF(Casos!$A$5="","",N(Casos!$H$5)*Config!$B$23+SUMIFS(Lançamentos!$H$5:$H$604,Lançamentos!$C$5:$C$604,Casos!$A$5))</f>
        <v/>
      </c>
      <c r="I32" s="27">
        <f>IF(Casos!$A$5="","",N(Casos!$F$5))</f>
        <v/>
      </c>
      <c r="J32" s="27">
        <f>IF(OR(Casos!$A$5="",D32="Interno"),"",I32-H32)</f>
        <v/>
      </c>
      <c r="K32" s="28">
        <f>IF(OR(Casos!$A$5="",D32="Interno",I32=0),"",J32/I32)</f>
        <v/>
      </c>
      <c r="L32" s="23">
        <f>IF(Casos!$A$5="","",IF(D32="Interno","Interno",IF(F32=0,"Sem horas",IF(H32&gt;I32,"Consome mais do que paga",IF(AND(G32&lt;&gt;"",G32&gt;1),"Estourou as horas",IF(AND(K32&lt;&gt;"",K32&lt;0.2),"Margem baixa",IF(AND(G32&lt;&gt;"",G32&gt;0.85),"Perto do limite","Saudável")))))))</f>
        <v/>
      </c>
      <c r="M32" s="37">
        <f>IF(OR(L32="Consome mais do que paga",L32="Margem baixa",L32="Estourou as horas"),IFERROR(H32/I32,9)+ROW()/1000000,0)</f>
        <v/>
      </c>
    </row>
    <row r="33">
      <c r="A33" s="24">
        <f>IF(Casos!$A$6="","",Casos!$A$6)</f>
        <v/>
      </c>
      <c r="B33" s="24">
        <f>IF(Casos!$A$6="","",Casos!$B$6)</f>
        <v/>
      </c>
      <c r="C33" s="23">
        <f>IF(Casos!$A$6="","",Casos!$D$6)</f>
        <v/>
      </c>
      <c r="D33" s="23">
        <f>IF(Casos!$A$6="","",Casos!$E$6)</f>
        <v/>
      </c>
      <c r="E33" s="25">
        <f>IF(Casos!$A$6="","",N(Casos!$G$6))</f>
        <v/>
      </c>
      <c r="F33" s="26">
        <f>IF(Casos!$A$6="","",N(Casos!$H$6)+SUMIFS(Lançamentos!$E$5:$E$604,Lançamentos!$C$5:$C$604,Casos!$A$6))</f>
        <v/>
      </c>
      <c r="G33" s="28">
        <f>IF(OR(Casos!$A$6="",E33=0),"",F33/E33)</f>
        <v/>
      </c>
      <c r="H33" s="27">
        <f>IF(Casos!$A$6="","",N(Casos!$H$6)*Config!$B$23+SUMIFS(Lançamentos!$H$5:$H$604,Lançamentos!$C$5:$C$604,Casos!$A$6))</f>
        <v/>
      </c>
      <c r="I33" s="27">
        <f>IF(Casos!$A$6="","",N(Casos!$F$6))</f>
        <v/>
      </c>
      <c r="J33" s="27">
        <f>IF(OR(Casos!$A$6="",D33="Interno"),"",I33-H33)</f>
        <v/>
      </c>
      <c r="K33" s="28">
        <f>IF(OR(Casos!$A$6="",D33="Interno",I33=0),"",J33/I33)</f>
        <v/>
      </c>
      <c r="L33" s="23">
        <f>IF(Casos!$A$6="","",IF(D33="Interno","Interno",IF(F33=0,"Sem horas",IF(H33&gt;I33,"Consome mais do que paga",IF(AND(G33&lt;&gt;"",G33&gt;1),"Estourou as horas",IF(AND(K33&lt;&gt;"",K33&lt;0.2),"Margem baixa",IF(AND(G33&lt;&gt;"",G33&gt;0.85),"Perto do limite","Saudável")))))))</f>
        <v/>
      </c>
      <c r="M33" s="37">
        <f>IF(OR(L33="Consome mais do que paga",L33="Margem baixa",L33="Estourou as horas"),IFERROR(H33/I33,9)+ROW()/1000000,0)</f>
        <v/>
      </c>
    </row>
    <row r="34">
      <c r="A34" s="24">
        <f>IF(Casos!$A$7="","",Casos!$A$7)</f>
        <v/>
      </c>
      <c r="B34" s="24">
        <f>IF(Casos!$A$7="","",Casos!$B$7)</f>
        <v/>
      </c>
      <c r="C34" s="23">
        <f>IF(Casos!$A$7="","",Casos!$D$7)</f>
        <v/>
      </c>
      <c r="D34" s="23">
        <f>IF(Casos!$A$7="","",Casos!$E$7)</f>
        <v/>
      </c>
      <c r="E34" s="25">
        <f>IF(Casos!$A$7="","",N(Casos!$G$7))</f>
        <v/>
      </c>
      <c r="F34" s="26">
        <f>IF(Casos!$A$7="","",N(Casos!$H$7)+SUMIFS(Lançamentos!$E$5:$E$604,Lançamentos!$C$5:$C$604,Casos!$A$7))</f>
        <v/>
      </c>
      <c r="G34" s="28">
        <f>IF(OR(Casos!$A$7="",E34=0),"",F34/E34)</f>
        <v/>
      </c>
      <c r="H34" s="27">
        <f>IF(Casos!$A$7="","",N(Casos!$H$7)*Config!$B$23+SUMIFS(Lançamentos!$H$5:$H$604,Lançamentos!$C$5:$C$604,Casos!$A$7))</f>
        <v/>
      </c>
      <c r="I34" s="27">
        <f>IF(Casos!$A$7="","",N(Casos!$F$7))</f>
        <v/>
      </c>
      <c r="J34" s="27">
        <f>IF(OR(Casos!$A$7="",D34="Interno"),"",I34-H34)</f>
        <v/>
      </c>
      <c r="K34" s="28">
        <f>IF(OR(Casos!$A$7="",D34="Interno",I34=0),"",J34/I34)</f>
        <v/>
      </c>
      <c r="L34" s="23">
        <f>IF(Casos!$A$7="","",IF(D34="Interno","Interno",IF(F34=0,"Sem horas",IF(H34&gt;I34,"Consome mais do que paga",IF(AND(G34&lt;&gt;"",G34&gt;1),"Estourou as horas",IF(AND(K34&lt;&gt;"",K34&lt;0.2),"Margem baixa",IF(AND(G34&lt;&gt;"",G34&gt;0.85),"Perto do limite","Saudável")))))))</f>
        <v/>
      </c>
      <c r="M34" s="37">
        <f>IF(OR(L34="Consome mais do que paga",L34="Margem baixa",L34="Estourou as horas"),IFERROR(H34/I34,9)+ROW()/1000000,0)</f>
        <v/>
      </c>
    </row>
    <row r="35">
      <c r="A35" s="24">
        <f>IF(Casos!$A$8="","",Casos!$A$8)</f>
        <v/>
      </c>
      <c r="B35" s="24">
        <f>IF(Casos!$A$8="","",Casos!$B$8)</f>
        <v/>
      </c>
      <c r="C35" s="23">
        <f>IF(Casos!$A$8="","",Casos!$D$8)</f>
        <v/>
      </c>
      <c r="D35" s="23">
        <f>IF(Casos!$A$8="","",Casos!$E$8)</f>
        <v/>
      </c>
      <c r="E35" s="25">
        <f>IF(Casos!$A$8="","",N(Casos!$G$8))</f>
        <v/>
      </c>
      <c r="F35" s="26">
        <f>IF(Casos!$A$8="","",N(Casos!$H$8)+SUMIFS(Lançamentos!$E$5:$E$604,Lançamentos!$C$5:$C$604,Casos!$A$8))</f>
        <v/>
      </c>
      <c r="G35" s="28">
        <f>IF(OR(Casos!$A$8="",E35=0),"",F35/E35)</f>
        <v/>
      </c>
      <c r="H35" s="27">
        <f>IF(Casos!$A$8="","",N(Casos!$H$8)*Config!$B$23+SUMIFS(Lançamentos!$H$5:$H$604,Lançamentos!$C$5:$C$604,Casos!$A$8))</f>
        <v/>
      </c>
      <c r="I35" s="27">
        <f>IF(Casos!$A$8="","",N(Casos!$F$8))</f>
        <v/>
      </c>
      <c r="J35" s="27">
        <f>IF(OR(Casos!$A$8="",D35="Interno"),"",I35-H35)</f>
        <v/>
      </c>
      <c r="K35" s="28">
        <f>IF(OR(Casos!$A$8="",D35="Interno",I35=0),"",J35/I35)</f>
        <v/>
      </c>
      <c r="L35" s="23">
        <f>IF(Casos!$A$8="","",IF(D35="Interno","Interno",IF(F35=0,"Sem horas",IF(H35&gt;I35,"Consome mais do que paga",IF(AND(G35&lt;&gt;"",G35&gt;1),"Estourou as horas",IF(AND(K35&lt;&gt;"",K35&lt;0.2),"Margem baixa",IF(AND(G35&lt;&gt;"",G35&gt;0.85),"Perto do limite","Saudável")))))))</f>
        <v/>
      </c>
      <c r="M35" s="37">
        <f>IF(OR(L35="Consome mais do que paga",L35="Margem baixa",L35="Estourou as horas"),IFERROR(H35/I35,9)+ROW()/1000000,0)</f>
        <v/>
      </c>
    </row>
    <row r="36">
      <c r="A36" s="24">
        <f>IF(Casos!$A$9="","",Casos!$A$9)</f>
        <v/>
      </c>
      <c r="B36" s="24">
        <f>IF(Casos!$A$9="","",Casos!$B$9)</f>
        <v/>
      </c>
      <c r="C36" s="23">
        <f>IF(Casos!$A$9="","",Casos!$D$9)</f>
        <v/>
      </c>
      <c r="D36" s="23">
        <f>IF(Casos!$A$9="","",Casos!$E$9)</f>
        <v/>
      </c>
      <c r="E36" s="25">
        <f>IF(Casos!$A$9="","",N(Casos!$G$9))</f>
        <v/>
      </c>
      <c r="F36" s="26">
        <f>IF(Casos!$A$9="","",N(Casos!$H$9)+SUMIFS(Lançamentos!$E$5:$E$604,Lançamentos!$C$5:$C$604,Casos!$A$9))</f>
        <v/>
      </c>
      <c r="G36" s="28">
        <f>IF(OR(Casos!$A$9="",E36=0),"",F36/E36)</f>
        <v/>
      </c>
      <c r="H36" s="27">
        <f>IF(Casos!$A$9="","",N(Casos!$H$9)*Config!$B$23+SUMIFS(Lançamentos!$H$5:$H$604,Lançamentos!$C$5:$C$604,Casos!$A$9))</f>
        <v/>
      </c>
      <c r="I36" s="27">
        <f>IF(Casos!$A$9="","",N(Casos!$F$9))</f>
        <v/>
      </c>
      <c r="J36" s="27">
        <f>IF(OR(Casos!$A$9="",D36="Interno"),"",I36-H36)</f>
        <v/>
      </c>
      <c r="K36" s="28">
        <f>IF(OR(Casos!$A$9="",D36="Interno",I36=0),"",J36/I36)</f>
        <v/>
      </c>
      <c r="L36" s="23">
        <f>IF(Casos!$A$9="","",IF(D36="Interno","Interno",IF(F36=0,"Sem horas",IF(H36&gt;I36,"Consome mais do que paga",IF(AND(G36&lt;&gt;"",G36&gt;1),"Estourou as horas",IF(AND(K36&lt;&gt;"",K36&lt;0.2),"Margem baixa",IF(AND(G36&lt;&gt;"",G36&gt;0.85),"Perto do limite","Saudável")))))))</f>
        <v/>
      </c>
      <c r="M36" s="37">
        <f>IF(OR(L36="Consome mais do que paga",L36="Margem baixa",L36="Estourou as horas"),IFERROR(H36/I36,9)+ROW()/1000000,0)</f>
        <v/>
      </c>
    </row>
    <row r="37">
      <c r="A37" s="24">
        <f>IF(Casos!$A$10="","",Casos!$A$10)</f>
        <v/>
      </c>
      <c r="B37" s="24">
        <f>IF(Casos!$A$10="","",Casos!$B$10)</f>
        <v/>
      </c>
      <c r="C37" s="23">
        <f>IF(Casos!$A$10="","",Casos!$D$10)</f>
        <v/>
      </c>
      <c r="D37" s="23">
        <f>IF(Casos!$A$10="","",Casos!$E$10)</f>
        <v/>
      </c>
      <c r="E37" s="25">
        <f>IF(Casos!$A$10="","",N(Casos!$G$10))</f>
        <v/>
      </c>
      <c r="F37" s="26">
        <f>IF(Casos!$A$10="","",N(Casos!$H$10)+SUMIFS(Lançamentos!$E$5:$E$604,Lançamentos!$C$5:$C$604,Casos!$A$10))</f>
        <v/>
      </c>
      <c r="G37" s="28">
        <f>IF(OR(Casos!$A$10="",E37=0),"",F37/E37)</f>
        <v/>
      </c>
      <c r="H37" s="27">
        <f>IF(Casos!$A$10="","",N(Casos!$H$10)*Config!$B$23+SUMIFS(Lançamentos!$H$5:$H$604,Lançamentos!$C$5:$C$604,Casos!$A$10))</f>
        <v/>
      </c>
      <c r="I37" s="27">
        <f>IF(Casos!$A$10="","",N(Casos!$F$10))</f>
        <v/>
      </c>
      <c r="J37" s="27">
        <f>IF(OR(Casos!$A$10="",D37="Interno"),"",I37-H37)</f>
        <v/>
      </c>
      <c r="K37" s="28">
        <f>IF(OR(Casos!$A$10="",D37="Interno",I37=0),"",J37/I37)</f>
        <v/>
      </c>
      <c r="L37" s="23">
        <f>IF(Casos!$A$10="","",IF(D37="Interno","Interno",IF(F37=0,"Sem horas",IF(H37&gt;I37,"Consome mais do que paga",IF(AND(G37&lt;&gt;"",G37&gt;1),"Estourou as horas",IF(AND(K37&lt;&gt;"",K37&lt;0.2),"Margem baixa",IF(AND(G37&lt;&gt;"",G37&gt;0.85),"Perto do limite","Saudável")))))))</f>
        <v/>
      </c>
      <c r="M37" s="37">
        <f>IF(OR(L37="Consome mais do que paga",L37="Margem baixa",L37="Estourou as horas"),IFERROR(H37/I37,9)+ROW()/1000000,0)</f>
        <v/>
      </c>
    </row>
    <row r="38">
      <c r="A38" s="24">
        <f>IF(Casos!$A$11="","",Casos!$A$11)</f>
        <v/>
      </c>
      <c r="B38" s="24">
        <f>IF(Casos!$A$11="","",Casos!$B$11)</f>
        <v/>
      </c>
      <c r="C38" s="23">
        <f>IF(Casos!$A$11="","",Casos!$D$11)</f>
        <v/>
      </c>
      <c r="D38" s="23">
        <f>IF(Casos!$A$11="","",Casos!$E$11)</f>
        <v/>
      </c>
      <c r="E38" s="25">
        <f>IF(Casos!$A$11="","",N(Casos!$G$11))</f>
        <v/>
      </c>
      <c r="F38" s="26">
        <f>IF(Casos!$A$11="","",N(Casos!$H$11)+SUMIFS(Lançamentos!$E$5:$E$604,Lançamentos!$C$5:$C$604,Casos!$A$11))</f>
        <v/>
      </c>
      <c r="G38" s="28">
        <f>IF(OR(Casos!$A$11="",E38=0),"",F38/E38)</f>
        <v/>
      </c>
      <c r="H38" s="27">
        <f>IF(Casos!$A$11="","",N(Casos!$H$11)*Config!$B$23+SUMIFS(Lançamentos!$H$5:$H$604,Lançamentos!$C$5:$C$604,Casos!$A$11))</f>
        <v/>
      </c>
      <c r="I38" s="27">
        <f>IF(Casos!$A$11="","",N(Casos!$F$11))</f>
        <v/>
      </c>
      <c r="J38" s="27">
        <f>IF(OR(Casos!$A$11="",D38="Interno"),"",I38-H38)</f>
        <v/>
      </c>
      <c r="K38" s="28">
        <f>IF(OR(Casos!$A$11="",D38="Interno",I38=0),"",J38/I38)</f>
        <v/>
      </c>
      <c r="L38" s="23">
        <f>IF(Casos!$A$11="","",IF(D38="Interno","Interno",IF(F38=0,"Sem horas",IF(H38&gt;I38,"Consome mais do que paga",IF(AND(G38&lt;&gt;"",G38&gt;1),"Estourou as horas",IF(AND(K38&lt;&gt;"",K38&lt;0.2),"Margem baixa",IF(AND(G38&lt;&gt;"",G38&gt;0.85),"Perto do limite","Saudável")))))))</f>
        <v/>
      </c>
      <c r="M38" s="37">
        <f>IF(OR(L38="Consome mais do que paga",L38="Margem baixa",L38="Estourou as horas"),IFERROR(H38/I38,9)+ROW()/1000000,0)</f>
        <v/>
      </c>
    </row>
    <row r="39">
      <c r="A39" s="24">
        <f>IF(Casos!$A$12="","",Casos!$A$12)</f>
        <v/>
      </c>
      <c r="B39" s="24">
        <f>IF(Casos!$A$12="","",Casos!$B$12)</f>
        <v/>
      </c>
      <c r="C39" s="23">
        <f>IF(Casos!$A$12="","",Casos!$D$12)</f>
        <v/>
      </c>
      <c r="D39" s="23">
        <f>IF(Casos!$A$12="","",Casos!$E$12)</f>
        <v/>
      </c>
      <c r="E39" s="25">
        <f>IF(Casos!$A$12="","",N(Casos!$G$12))</f>
        <v/>
      </c>
      <c r="F39" s="26">
        <f>IF(Casos!$A$12="","",N(Casos!$H$12)+SUMIFS(Lançamentos!$E$5:$E$604,Lançamentos!$C$5:$C$604,Casos!$A$12))</f>
        <v/>
      </c>
      <c r="G39" s="28">
        <f>IF(OR(Casos!$A$12="",E39=0),"",F39/E39)</f>
        <v/>
      </c>
      <c r="H39" s="27">
        <f>IF(Casos!$A$12="","",N(Casos!$H$12)*Config!$B$23+SUMIFS(Lançamentos!$H$5:$H$604,Lançamentos!$C$5:$C$604,Casos!$A$12))</f>
        <v/>
      </c>
      <c r="I39" s="27">
        <f>IF(Casos!$A$12="","",N(Casos!$F$12))</f>
        <v/>
      </c>
      <c r="J39" s="27">
        <f>IF(OR(Casos!$A$12="",D39="Interno"),"",I39-H39)</f>
        <v/>
      </c>
      <c r="K39" s="28">
        <f>IF(OR(Casos!$A$12="",D39="Interno",I39=0),"",J39/I39)</f>
        <v/>
      </c>
      <c r="L39" s="23">
        <f>IF(Casos!$A$12="","",IF(D39="Interno","Interno",IF(F39=0,"Sem horas",IF(H39&gt;I39,"Consome mais do que paga",IF(AND(G39&lt;&gt;"",G39&gt;1),"Estourou as horas",IF(AND(K39&lt;&gt;"",K39&lt;0.2),"Margem baixa",IF(AND(G39&lt;&gt;"",G39&gt;0.85),"Perto do limite","Saudável")))))))</f>
        <v/>
      </c>
      <c r="M39" s="37">
        <f>IF(OR(L39="Consome mais do que paga",L39="Margem baixa",L39="Estourou as horas"),IFERROR(H39/I39,9)+ROW()/1000000,0)</f>
        <v/>
      </c>
    </row>
    <row r="40">
      <c r="A40" s="24">
        <f>IF(Casos!$A$13="","",Casos!$A$13)</f>
        <v/>
      </c>
      <c r="B40" s="24">
        <f>IF(Casos!$A$13="","",Casos!$B$13)</f>
        <v/>
      </c>
      <c r="C40" s="23">
        <f>IF(Casos!$A$13="","",Casos!$D$13)</f>
        <v/>
      </c>
      <c r="D40" s="23">
        <f>IF(Casos!$A$13="","",Casos!$E$13)</f>
        <v/>
      </c>
      <c r="E40" s="25">
        <f>IF(Casos!$A$13="","",N(Casos!$G$13))</f>
        <v/>
      </c>
      <c r="F40" s="26">
        <f>IF(Casos!$A$13="","",N(Casos!$H$13)+SUMIFS(Lançamentos!$E$5:$E$604,Lançamentos!$C$5:$C$604,Casos!$A$13))</f>
        <v/>
      </c>
      <c r="G40" s="28">
        <f>IF(OR(Casos!$A$13="",E40=0),"",F40/E40)</f>
        <v/>
      </c>
      <c r="H40" s="27">
        <f>IF(Casos!$A$13="","",N(Casos!$H$13)*Config!$B$23+SUMIFS(Lançamentos!$H$5:$H$604,Lançamentos!$C$5:$C$604,Casos!$A$13))</f>
        <v/>
      </c>
      <c r="I40" s="27">
        <f>IF(Casos!$A$13="","",N(Casos!$F$13))</f>
        <v/>
      </c>
      <c r="J40" s="27">
        <f>IF(OR(Casos!$A$13="",D40="Interno"),"",I40-H40)</f>
        <v/>
      </c>
      <c r="K40" s="28">
        <f>IF(OR(Casos!$A$13="",D40="Interno",I40=0),"",J40/I40)</f>
        <v/>
      </c>
      <c r="L40" s="23">
        <f>IF(Casos!$A$13="","",IF(D40="Interno","Interno",IF(F40=0,"Sem horas",IF(H40&gt;I40,"Consome mais do que paga",IF(AND(G40&lt;&gt;"",G40&gt;1),"Estourou as horas",IF(AND(K40&lt;&gt;"",K40&lt;0.2),"Margem baixa",IF(AND(G40&lt;&gt;"",G40&gt;0.85),"Perto do limite","Saudável")))))))</f>
        <v/>
      </c>
      <c r="M40" s="37">
        <f>IF(OR(L40="Consome mais do que paga",L40="Margem baixa",L40="Estourou as horas"),IFERROR(H40/I40,9)+ROW()/1000000,0)</f>
        <v/>
      </c>
    </row>
    <row r="41">
      <c r="A41" s="24">
        <f>IF(Casos!$A$14="","",Casos!$A$14)</f>
        <v/>
      </c>
      <c r="B41" s="24">
        <f>IF(Casos!$A$14="","",Casos!$B$14)</f>
        <v/>
      </c>
      <c r="C41" s="23">
        <f>IF(Casos!$A$14="","",Casos!$D$14)</f>
        <v/>
      </c>
      <c r="D41" s="23">
        <f>IF(Casos!$A$14="","",Casos!$E$14)</f>
        <v/>
      </c>
      <c r="E41" s="25">
        <f>IF(Casos!$A$14="","",N(Casos!$G$14))</f>
        <v/>
      </c>
      <c r="F41" s="26">
        <f>IF(Casos!$A$14="","",N(Casos!$H$14)+SUMIFS(Lançamentos!$E$5:$E$604,Lançamentos!$C$5:$C$604,Casos!$A$14))</f>
        <v/>
      </c>
      <c r="G41" s="28">
        <f>IF(OR(Casos!$A$14="",E41=0),"",F41/E41)</f>
        <v/>
      </c>
      <c r="H41" s="27">
        <f>IF(Casos!$A$14="","",N(Casos!$H$14)*Config!$B$23+SUMIFS(Lançamentos!$H$5:$H$604,Lançamentos!$C$5:$C$604,Casos!$A$14))</f>
        <v/>
      </c>
      <c r="I41" s="27">
        <f>IF(Casos!$A$14="","",N(Casos!$F$14))</f>
        <v/>
      </c>
      <c r="J41" s="27">
        <f>IF(OR(Casos!$A$14="",D41="Interno"),"",I41-H41)</f>
        <v/>
      </c>
      <c r="K41" s="28">
        <f>IF(OR(Casos!$A$14="",D41="Interno",I41=0),"",J41/I41)</f>
        <v/>
      </c>
      <c r="L41" s="23">
        <f>IF(Casos!$A$14="","",IF(D41="Interno","Interno",IF(F41=0,"Sem horas",IF(H41&gt;I41,"Consome mais do que paga",IF(AND(G41&lt;&gt;"",G41&gt;1),"Estourou as horas",IF(AND(K41&lt;&gt;"",K41&lt;0.2),"Margem baixa",IF(AND(G41&lt;&gt;"",G41&gt;0.85),"Perto do limite","Saudável")))))))</f>
        <v/>
      </c>
      <c r="M41" s="37">
        <f>IF(OR(L41="Consome mais do que paga",L41="Margem baixa",L41="Estourou as horas"),IFERROR(H41/I41,9)+ROW()/1000000,0)</f>
        <v/>
      </c>
    </row>
    <row r="42">
      <c r="A42" s="24">
        <f>IF(Casos!$A$15="","",Casos!$A$15)</f>
        <v/>
      </c>
      <c r="B42" s="24">
        <f>IF(Casos!$A$15="","",Casos!$B$15)</f>
        <v/>
      </c>
      <c r="C42" s="23">
        <f>IF(Casos!$A$15="","",Casos!$D$15)</f>
        <v/>
      </c>
      <c r="D42" s="23">
        <f>IF(Casos!$A$15="","",Casos!$E$15)</f>
        <v/>
      </c>
      <c r="E42" s="25">
        <f>IF(Casos!$A$15="","",N(Casos!$G$15))</f>
        <v/>
      </c>
      <c r="F42" s="26">
        <f>IF(Casos!$A$15="","",N(Casos!$H$15)+SUMIFS(Lançamentos!$E$5:$E$604,Lançamentos!$C$5:$C$604,Casos!$A$15))</f>
        <v/>
      </c>
      <c r="G42" s="28">
        <f>IF(OR(Casos!$A$15="",E42=0),"",F42/E42)</f>
        <v/>
      </c>
      <c r="H42" s="27">
        <f>IF(Casos!$A$15="","",N(Casos!$H$15)*Config!$B$23+SUMIFS(Lançamentos!$H$5:$H$604,Lançamentos!$C$5:$C$604,Casos!$A$15))</f>
        <v/>
      </c>
      <c r="I42" s="27">
        <f>IF(Casos!$A$15="","",N(Casos!$F$15))</f>
        <v/>
      </c>
      <c r="J42" s="27">
        <f>IF(OR(Casos!$A$15="",D42="Interno"),"",I42-H42)</f>
        <v/>
      </c>
      <c r="K42" s="28">
        <f>IF(OR(Casos!$A$15="",D42="Interno",I42=0),"",J42/I42)</f>
        <v/>
      </c>
      <c r="L42" s="23">
        <f>IF(Casos!$A$15="","",IF(D42="Interno","Interno",IF(F42=0,"Sem horas",IF(H42&gt;I42,"Consome mais do que paga",IF(AND(G42&lt;&gt;"",G42&gt;1),"Estourou as horas",IF(AND(K42&lt;&gt;"",K42&lt;0.2),"Margem baixa",IF(AND(G42&lt;&gt;"",G42&gt;0.85),"Perto do limite","Saudável")))))))</f>
        <v/>
      </c>
      <c r="M42" s="37">
        <f>IF(OR(L42="Consome mais do que paga",L42="Margem baixa",L42="Estourou as horas"),IFERROR(H42/I42,9)+ROW()/1000000,0)</f>
        <v/>
      </c>
    </row>
    <row r="43">
      <c r="A43" s="24">
        <f>IF(Casos!$A$16="","",Casos!$A$16)</f>
        <v/>
      </c>
      <c r="B43" s="24">
        <f>IF(Casos!$A$16="","",Casos!$B$16)</f>
        <v/>
      </c>
      <c r="C43" s="23">
        <f>IF(Casos!$A$16="","",Casos!$D$16)</f>
        <v/>
      </c>
      <c r="D43" s="23">
        <f>IF(Casos!$A$16="","",Casos!$E$16)</f>
        <v/>
      </c>
      <c r="E43" s="25">
        <f>IF(Casos!$A$16="","",N(Casos!$G$16))</f>
        <v/>
      </c>
      <c r="F43" s="26">
        <f>IF(Casos!$A$16="","",N(Casos!$H$16)+SUMIFS(Lançamentos!$E$5:$E$604,Lançamentos!$C$5:$C$604,Casos!$A$16))</f>
        <v/>
      </c>
      <c r="G43" s="28">
        <f>IF(OR(Casos!$A$16="",E43=0),"",F43/E43)</f>
        <v/>
      </c>
      <c r="H43" s="27">
        <f>IF(Casos!$A$16="","",N(Casos!$H$16)*Config!$B$23+SUMIFS(Lançamentos!$H$5:$H$604,Lançamentos!$C$5:$C$604,Casos!$A$16))</f>
        <v/>
      </c>
      <c r="I43" s="27">
        <f>IF(Casos!$A$16="","",N(Casos!$F$16))</f>
        <v/>
      </c>
      <c r="J43" s="27">
        <f>IF(OR(Casos!$A$16="",D43="Interno"),"",I43-H43)</f>
        <v/>
      </c>
      <c r="K43" s="28">
        <f>IF(OR(Casos!$A$16="",D43="Interno",I43=0),"",J43/I43)</f>
        <v/>
      </c>
      <c r="L43" s="23">
        <f>IF(Casos!$A$16="","",IF(D43="Interno","Interno",IF(F43=0,"Sem horas",IF(H43&gt;I43,"Consome mais do que paga",IF(AND(G43&lt;&gt;"",G43&gt;1),"Estourou as horas",IF(AND(K43&lt;&gt;"",K43&lt;0.2),"Margem baixa",IF(AND(G43&lt;&gt;"",G43&gt;0.85),"Perto do limite","Saudável")))))))</f>
        <v/>
      </c>
      <c r="M43" s="37">
        <f>IF(OR(L43="Consome mais do que paga",L43="Margem baixa",L43="Estourou as horas"),IFERROR(H43/I43,9)+ROW()/1000000,0)</f>
        <v/>
      </c>
    </row>
    <row r="44">
      <c r="A44" s="24">
        <f>IF(Casos!$A$17="","",Casos!$A$17)</f>
        <v/>
      </c>
      <c r="B44" s="24">
        <f>IF(Casos!$A$17="","",Casos!$B$17)</f>
        <v/>
      </c>
      <c r="C44" s="23">
        <f>IF(Casos!$A$17="","",Casos!$D$17)</f>
        <v/>
      </c>
      <c r="D44" s="23">
        <f>IF(Casos!$A$17="","",Casos!$E$17)</f>
        <v/>
      </c>
      <c r="E44" s="25">
        <f>IF(Casos!$A$17="","",N(Casos!$G$17))</f>
        <v/>
      </c>
      <c r="F44" s="26">
        <f>IF(Casos!$A$17="","",N(Casos!$H$17)+SUMIFS(Lançamentos!$E$5:$E$604,Lançamentos!$C$5:$C$604,Casos!$A$17))</f>
        <v/>
      </c>
      <c r="G44" s="28">
        <f>IF(OR(Casos!$A$17="",E44=0),"",F44/E44)</f>
        <v/>
      </c>
      <c r="H44" s="27">
        <f>IF(Casos!$A$17="","",N(Casos!$H$17)*Config!$B$23+SUMIFS(Lançamentos!$H$5:$H$604,Lançamentos!$C$5:$C$604,Casos!$A$17))</f>
        <v/>
      </c>
      <c r="I44" s="27">
        <f>IF(Casos!$A$17="","",N(Casos!$F$17))</f>
        <v/>
      </c>
      <c r="J44" s="27">
        <f>IF(OR(Casos!$A$17="",D44="Interno"),"",I44-H44)</f>
        <v/>
      </c>
      <c r="K44" s="28">
        <f>IF(OR(Casos!$A$17="",D44="Interno",I44=0),"",J44/I44)</f>
        <v/>
      </c>
      <c r="L44" s="23">
        <f>IF(Casos!$A$17="","",IF(D44="Interno","Interno",IF(F44=0,"Sem horas",IF(H44&gt;I44,"Consome mais do que paga",IF(AND(G44&lt;&gt;"",G44&gt;1),"Estourou as horas",IF(AND(K44&lt;&gt;"",K44&lt;0.2),"Margem baixa",IF(AND(G44&lt;&gt;"",G44&gt;0.85),"Perto do limite","Saudável")))))))</f>
        <v/>
      </c>
      <c r="M44" s="37">
        <f>IF(OR(L44="Consome mais do que paga",L44="Margem baixa",L44="Estourou as horas"),IFERROR(H44/I44,9)+ROW()/1000000,0)</f>
        <v/>
      </c>
    </row>
    <row r="45">
      <c r="A45" s="24">
        <f>IF(Casos!$A$18="","",Casos!$A$18)</f>
        <v/>
      </c>
      <c r="B45" s="24">
        <f>IF(Casos!$A$18="","",Casos!$B$18)</f>
        <v/>
      </c>
      <c r="C45" s="23">
        <f>IF(Casos!$A$18="","",Casos!$D$18)</f>
        <v/>
      </c>
      <c r="D45" s="23">
        <f>IF(Casos!$A$18="","",Casos!$E$18)</f>
        <v/>
      </c>
      <c r="E45" s="25">
        <f>IF(Casos!$A$18="","",N(Casos!$G$18))</f>
        <v/>
      </c>
      <c r="F45" s="26">
        <f>IF(Casos!$A$18="","",N(Casos!$H$18)+SUMIFS(Lançamentos!$E$5:$E$604,Lançamentos!$C$5:$C$604,Casos!$A$18))</f>
        <v/>
      </c>
      <c r="G45" s="28">
        <f>IF(OR(Casos!$A$18="",E45=0),"",F45/E45)</f>
        <v/>
      </c>
      <c r="H45" s="27">
        <f>IF(Casos!$A$18="","",N(Casos!$H$18)*Config!$B$23+SUMIFS(Lançamentos!$H$5:$H$604,Lançamentos!$C$5:$C$604,Casos!$A$18))</f>
        <v/>
      </c>
      <c r="I45" s="27">
        <f>IF(Casos!$A$18="","",N(Casos!$F$18))</f>
        <v/>
      </c>
      <c r="J45" s="27">
        <f>IF(OR(Casos!$A$18="",D45="Interno"),"",I45-H45)</f>
        <v/>
      </c>
      <c r="K45" s="28">
        <f>IF(OR(Casos!$A$18="",D45="Interno",I45=0),"",J45/I45)</f>
        <v/>
      </c>
      <c r="L45" s="23">
        <f>IF(Casos!$A$18="","",IF(D45="Interno","Interno",IF(F45=0,"Sem horas",IF(H45&gt;I45,"Consome mais do que paga",IF(AND(G45&lt;&gt;"",G45&gt;1),"Estourou as horas",IF(AND(K45&lt;&gt;"",K45&lt;0.2),"Margem baixa",IF(AND(G45&lt;&gt;"",G45&gt;0.85),"Perto do limite","Saudável")))))))</f>
        <v/>
      </c>
      <c r="M45" s="37">
        <f>IF(OR(L45="Consome mais do que paga",L45="Margem baixa",L45="Estourou as horas"),IFERROR(H45/I45,9)+ROW()/1000000,0)</f>
        <v/>
      </c>
    </row>
    <row r="46">
      <c r="A46" s="24">
        <f>IF(Casos!$A$19="","",Casos!$A$19)</f>
        <v/>
      </c>
      <c r="B46" s="24">
        <f>IF(Casos!$A$19="","",Casos!$B$19)</f>
        <v/>
      </c>
      <c r="C46" s="23">
        <f>IF(Casos!$A$19="","",Casos!$D$19)</f>
        <v/>
      </c>
      <c r="D46" s="23">
        <f>IF(Casos!$A$19="","",Casos!$E$19)</f>
        <v/>
      </c>
      <c r="E46" s="25">
        <f>IF(Casos!$A$19="","",N(Casos!$G$19))</f>
        <v/>
      </c>
      <c r="F46" s="26">
        <f>IF(Casos!$A$19="","",N(Casos!$H$19)+SUMIFS(Lançamentos!$E$5:$E$604,Lançamentos!$C$5:$C$604,Casos!$A$19))</f>
        <v/>
      </c>
      <c r="G46" s="28">
        <f>IF(OR(Casos!$A$19="",E46=0),"",F46/E46)</f>
        <v/>
      </c>
      <c r="H46" s="27">
        <f>IF(Casos!$A$19="","",N(Casos!$H$19)*Config!$B$23+SUMIFS(Lançamentos!$H$5:$H$604,Lançamentos!$C$5:$C$604,Casos!$A$19))</f>
        <v/>
      </c>
      <c r="I46" s="27">
        <f>IF(Casos!$A$19="","",N(Casos!$F$19))</f>
        <v/>
      </c>
      <c r="J46" s="27">
        <f>IF(OR(Casos!$A$19="",D46="Interno"),"",I46-H46)</f>
        <v/>
      </c>
      <c r="K46" s="28">
        <f>IF(OR(Casos!$A$19="",D46="Interno",I46=0),"",J46/I46)</f>
        <v/>
      </c>
      <c r="L46" s="23">
        <f>IF(Casos!$A$19="","",IF(D46="Interno","Interno",IF(F46=0,"Sem horas",IF(H46&gt;I46,"Consome mais do que paga",IF(AND(G46&lt;&gt;"",G46&gt;1),"Estourou as horas",IF(AND(K46&lt;&gt;"",K46&lt;0.2),"Margem baixa",IF(AND(G46&lt;&gt;"",G46&gt;0.85),"Perto do limite","Saudável")))))))</f>
        <v/>
      </c>
      <c r="M46" s="37">
        <f>IF(OR(L46="Consome mais do que paga",L46="Margem baixa",L46="Estourou as horas"),IFERROR(H46/I46,9)+ROW()/1000000,0)</f>
        <v/>
      </c>
    </row>
    <row r="47">
      <c r="A47" s="24">
        <f>IF(Casos!$A$20="","",Casos!$A$20)</f>
        <v/>
      </c>
      <c r="B47" s="24">
        <f>IF(Casos!$A$20="","",Casos!$B$20)</f>
        <v/>
      </c>
      <c r="C47" s="23">
        <f>IF(Casos!$A$20="","",Casos!$D$20)</f>
        <v/>
      </c>
      <c r="D47" s="23">
        <f>IF(Casos!$A$20="","",Casos!$E$20)</f>
        <v/>
      </c>
      <c r="E47" s="25">
        <f>IF(Casos!$A$20="","",N(Casos!$G$20))</f>
        <v/>
      </c>
      <c r="F47" s="26">
        <f>IF(Casos!$A$20="","",N(Casos!$H$20)+SUMIFS(Lançamentos!$E$5:$E$604,Lançamentos!$C$5:$C$604,Casos!$A$20))</f>
        <v/>
      </c>
      <c r="G47" s="28">
        <f>IF(OR(Casos!$A$20="",E47=0),"",F47/E47)</f>
        <v/>
      </c>
      <c r="H47" s="27">
        <f>IF(Casos!$A$20="","",N(Casos!$H$20)*Config!$B$23+SUMIFS(Lançamentos!$H$5:$H$604,Lançamentos!$C$5:$C$604,Casos!$A$20))</f>
        <v/>
      </c>
      <c r="I47" s="27">
        <f>IF(Casos!$A$20="","",N(Casos!$F$20))</f>
        <v/>
      </c>
      <c r="J47" s="27">
        <f>IF(OR(Casos!$A$20="",D47="Interno"),"",I47-H47)</f>
        <v/>
      </c>
      <c r="K47" s="28">
        <f>IF(OR(Casos!$A$20="",D47="Interno",I47=0),"",J47/I47)</f>
        <v/>
      </c>
      <c r="L47" s="23">
        <f>IF(Casos!$A$20="","",IF(D47="Interno","Interno",IF(F47=0,"Sem horas",IF(H47&gt;I47,"Consome mais do que paga",IF(AND(G47&lt;&gt;"",G47&gt;1),"Estourou as horas",IF(AND(K47&lt;&gt;"",K47&lt;0.2),"Margem baixa",IF(AND(G47&lt;&gt;"",G47&gt;0.85),"Perto do limite","Saudável")))))))</f>
        <v/>
      </c>
      <c r="M47" s="37">
        <f>IF(OR(L47="Consome mais do que paga",L47="Margem baixa",L47="Estourou as horas"),IFERROR(H47/I47,9)+ROW()/1000000,0)</f>
        <v/>
      </c>
    </row>
    <row r="48">
      <c r="A48" s="24">
        <f>IF(Casos!$A$21="","",Casos!$A$21)</f>
        <v/>
      </c>
      <c r="B48" s="24">
        <f>IF(Casos!$A$21="","",Casos!$B$21)</f>
        <v/>
      </c>
      <c r="C48" s="23">
        <f>IF(Casos!$A$21="","",Casos!$D$21)</f>
        <v/>
      </c>
      <c r="D48" s="23">
        <f>IF(Casos!$A$21="","",Casos!$E$21)</f>
        <v/>
      </c>
      <c r="E48" s="25">
        <f>IF(Casos!$A$21="","",N(Casos!$G$21))</f>
        <v/>
      </c>
      <c r="F48" s="26">
        <f>IF(Casos!$A$21="","",N(Casos!$H$21)+SUMIFS(Lançamentos!$E$5:$E$604,Lançamentos!$C$5:$C$604,Casos!$A$21))</f>
        <v/>
      </c>
      <c r="G48" s="28">
        <f>IF(OR(Casos!$A$21="",E48=0),"",F48/E48)</f>
        <v/>
      </c>
      <c r="H48" s="27">
        <f>IF(Casos!$A$21="","",N(Casos!$H$21)*Config!$B$23+SUMIFS(Lançamentos!$H$5:$H$604,Lançamentos!$C$5:$C$604,Casos!$A$21))</f>
        <v/>
      </c>
      <c r="I48" s="27">
        <f>IF(Casos!$A$21="","",N(Casos!$F$21))</f>
        <v/>
      </c>
      <c r="J48" s="27">
        <f>IF(OR(Casos!$A$21="",D48="Interno"),"",I48-H48)</f>
        <v/>
      </c>
      <c r="K48" s="28">
        <f>IF(OR(Casos!$A$21="",D48="Interno",I48=0),"",J48/I48)</f>
        <v/>
      </c>
      <c r="L48" s="23">
        <f>IF(Casos!$A$21="","",IF(D48="Interno","Interno",IF(F48=0,"Sem horas",IF(H48&gt;I48,"Consome mais do que paga",IF(AND(G48&lt;&gt;"",G48&gt;1),"Estourou as horas",IF(AND(K48&lt;&gt;"",K48&lt;0.2),"Margem baixa",IF(AND(G48&lt;&gt;"",G48&gt;0.85),"Perto do limite","Saudável")))))))</f>
        <v/>
      </c>
      <c r="M48" s="37">
        <f>IF(OR(L48="Consome mais do que paga",L48="Margem baixa",L48="Estourou as horas"),IFERROR(H48/I48,9)+ROW()/1000000,0)</f>
        <v/>
      </c>
    </row>
    <row r="49">
      <c r="A49" s="24">
        <f>IF(Casos!$A$22="","",Casos!$A$22)</f>
        <v/>
      </c>
      <c r="B49" s="24">
        <f>IF(Casos!$A$22="","",Casos!$B$22)</f>
        <v/>
      </c>
      <c r="C49" s="23">
        <f>IF(Casos!$A$22="","",Casos!$D$22)</f>
        <v/>
      </c>
      <c r="D49" s="23">
        <f>IF(Casos!$A$22="","",Casos!$E$22)</f>
        <v/>
      </c>
      <c r="E49" s="25">
        <f>IF(Casos!$A$22="","",N(Casos!$G$22))</f>
        <v/>
      </c>
      <c r="F49" s="26">
        <f>IF(Casos!$A$22="","",N(Casos!$H$22)+SUMIFS(Lançamentos!$E$5:$E$604,Lançamentos!$C$5:$C$604,Casos!$A$22))</f>
        <v/>
      </c>
      <c r="G49" s="28">
        <f>IF(OR(Casos!$A$22="",E49=0),"",F49/E49)</f>
        <v/>
      </c>
      <c r="H49" s="27">
        <f>IF(Casos!$A$22="","",N(Casos!$H$22)*Config!$B$23+SUMIFS(Lançamentos!$H$5:$H$604,Lançamentos!$C$5:$C$604,Casos!$A$22))</f>
        <v/>
      </c>
      <c r="I49" s="27">
        <f>IF(Casos!$A$22="","",N(Casos!$F$22))</f>
        <v/>
      </c>
      <c r="J49" s="27">
        <f>IF(OR(Casos!$A$22="",D49="Interno"),"",I49-H49)</f>
        <v/>
      </c>
      <c r="K49" s="28">
        <f>IF(OR(Casos!$A$22="",D49="Interno",I49=0),"",J49/I49)</f>
        <v/>
      </c>
      <c r="L49" s="23">
        <f>IF(Casos!$A$22="","",IF(D49="Interno","Interno",IF(F49=0,"Sem horas",IF(H49&gt;I49,"Consome mais do que paga",IF(AND(G49&lt;&gt;"",G49&gt;1),"Estourou as horas",IF(AND(K49&lt;&gt;"",K49&lt;0.2),"Margem baixa",IF(AND(G49&lt;&gt;"",G49&gt;0.85),"Perto do limite","Saudável")))))))</f>
        <v/>
      </c>
      <c r="M49" s="37">
        <f>IF(OR(L49="Consome mais do que paga",L49="Margem baixa",L49="Estourou as horas"),IFERROR(H49/I49,9)+ROW()/1000000,0)</f>
        <v/>
      </c>
    </row>
    <row r="50">
      <c r="A50" s="24">
        <f>IF(Casos!$A$23="","",Casos!$A$23)</f>
        <v/>
      </c>
      <c r="B50" s="24">
        <f>IF(Casos!$A$23="","",Casos!$B$23)</f>
        <v/>
      </c>
      <c r="C50" s="23">
        <f>IF(Casos!$A$23="","",Casos!$D$23)</f>
        <v/>
      </c>
      <c r="D50" s="23">
        <f>IF(Casos!$A$23="","",Casos!$E$23)</f>
        <v/>
      </c>
      <c r="E50" s="25">
        <f>IF(Casos!$A$23="","",N(Casos!$G$23))</f>
        <v/>
      </c>
      <c r="F50" s="26">
        <f>IF(Casos!$A$23="","",N(Casos!$H$23)+SUMIFS(Lançamentos!$E$5:$E$604,Lançamentos!$C$5:$C$604,Casos!$A$23))</f>
        <v/>
      </c>
      <c r="G50" s="28">
        <f>IF(OR(Casos!$A$23="",E50=0),"",F50/E50)</f>
        <v/>
      </c>
      <c r="H50" s="27">
        <f>IF(Casos!$A$23="","",N(Casos!$H$23)*Config!$B$23+SUMIFS(Lançamentos!$H$5:$H$604,Lançamentos!$C$5:$C$604,Casos!$A$23))</f>
        <v/>
      </c>
      <c r="I50" s="27">
        <f>IF(Casos!$A$23="","",N(Casos!$F$23))</f>
        <v/>
      </c>
      <c r="J50" s="27">
        <f>IF(OR(Casos!$A$23="",D50="Interno"),"",I50-H50)</f>
        <v/>
      </c>
      <c r="K50" s="28">
        <f>IF(OR(Casos!$A$23="",D50="Interno",I50=0),"",J50/I50)</f>
        <v/>
      </c>
      <c r="L50" s="23">
        <f>IF(Casos!$A$23="","",IF(D50="Interno","Interno",IF(F50=0,"Sem horas",IF(H50&gt;I50,"Consome mais do que paga",IF(AND(G50&lt;&gt;"",G50&gt;1),"Estourou as horas",IF(AND(K50&lt;&gt;"",K50&lt;0.2),"Margem baixa",IF(AND(G50&lt;&gt;"",G50&gt;0.85),"Perto do limite","Saudável")))))))</f>
        <v/>
      </c>
      <c r="M50" s="37">
        <f>IF(OR(L50="Consome mais do que paga",L50="Margem baixa",L50="Estourou as horas"),IFERROR(H50/I50,9)+ROW()/1000000,0)</f>
        <v/>
      </c>
    </row>
    <row r="51">
      <c r="A51" s="24">
        <f>IF(Casos!$A$24="","",Casos!$A$24)</f>
        <v/>
      </c>
      <c r="B51" s="24">
        <f>IF(Casos!$A$24="","",Casos!$B$24)</f>
        <v/>
      </c>
      <c r="C51" s="23">
        <f>IF(Casos!$A$24="","",Casos!$D$24)</f>
        <v/>
      </c>
      <c r="D51" s="23">
        <f>IF(Casos!$A$24="","",Casos!$E$24)</f>
        <v/>
      </c>
      <c r="E51" s="25">
        <f>IF(Casos!$A$24="","",N(Casos!$G$24))</f>
        <v/>
      </c>
      <c r="F51" s="26">
        <f>IF(Casos!$A$24="","",N(Casos!$H$24)+SUMIFS(Lançamentos!$E$5:$E$604,Lançamentos!$C$5:$C$604,Casos!$A$24))</f>
        <v/>
      </c>
      <c r="G51" s="28">
        <f>IF(OR(Casos!$A$24="",E51=0),"",F51/E51)</f>
        <v/>
      </c>
      <c r="H51" s="27">
        <f>IF(Casos!$A$24="","",N(Casos!$H$24)*Config!$B$23+SUMIFS(Lançamentos!$H$5:$H$604,Lançamentos!$C$5:$C$604,Casos!$A$24))</f>
        <v/>
      </c>
      <c r="I51" s="27">
        <f>IF(Casos!$A$24="","",N(Casos!$F$24))</f>
        <v/>
      </c>
      <c r="J51" s="27">
        <f>IF(OR(Casos!$A$24="",D51="Interno"),"",I51-H51)</f>
        <v/>
      </c>
      <c r="K51" s="28">
        <f>IF(OR(Casos!$A$24="",D51="Interno",I51=0),"",J51/I51)</f>
        <v/>
      </c>
      <c r="L51" s="23">
        <f>IF(Casos!$A$24="","",IF(D51="Interno","Interno",IF(F51=0,"Sem horas",IF(H51&gt;I51,"Consome mais do que paga",IF(AND(G51&lt;&gt;"",G51&gt;1),"Estourou as horas",IF(AND(K51&lt;&gt;"",K51&lt;0.2),"Margem baixa",IF(AND(G51&lt;&gt;"",G51&gt;0.85),"Perto do limite","Saudável")))))))</f>
        <v/>
      </c>
      <c r="M51" s="37">
        <f>IF(OR(L51="Consome mais do que paga",L51="Margem baixa",L51="Estourou as horas"),IFERROR(H51/I51,9)+ROW()/1000000,0)</f>
        <v/>
      </c>
    </row>
    <row r="52">
      <c r="A52" s="24">
        <f>IF(Casos!$A$25="","",Casos!$A$25)</f>
        <v/>
      </c>
      <c r="B52" s="24">
        <f>IF(Casos!$A$25="","",Casos!$B$25)</f>
        <v/>
      </c>
      <c r="C52" s="23">
        <f>IF(Casos!$A$25="","",Casos!$D$25)</f>
        <v/>
      </c>
      <c r="D52" s="23">
        <f>IF(Casos!$A$25="","",Casos!$E$25)</f>
        <v/>
      </c>
      <c r="E52" s="25">
        <f>IF(Casos!$A$25="","",N(Casos!$G$25))</f>
        <v/>
      </c>
      <c r="F52" s="26">
        <f>IF(Casos!$A$25="","",N(Casos!$H$25)+SUMIFS(Lançamentos!$E$5:$E$604,Lançamentos!$C$5:$C$604,Casos!$A$25))</f>
        <v/>
      </c>
      <c r="G52" s="28">
        <f>IF(OR(Casos!$A$25="",E52=0),"",F52/E52)</f>
        <v/>
      </c>
      <c r="H52" s="27">
        <f>IF(Casos!$A$25="","",N(Casos!$H$25)*Config!$B$23+SUMIFS(Lançamentos!$H$5:$H$604,Lançamentos!$C$5:$C$604,Casos!$A$25))</f>
        <v/>
      </c>
      <c r="I52" s="27">
        <f>IF(Casos!$A$25="","",N(Casos!$F$25))</f>
        <v/>
      </c>
      <c r="J52" s="27">
        <f>IF(OR(Casos!$A$25="",D52="Interno"),"",I52-H52)</f>
        <v/>
      </c>
      <c r="K52" s="28">
        <f>IF(OR(Casos!$A$25="",D52="Interno",I52=0),"",J52/I52)</f>
        <v/>
      </c>
      <c r="L52" s="23">
        <f>IF(Casos!$A$25="","",IF(D52="Interno","Interno",IF(F52=0,"Sem horas",IF(H52&gt;I52,"Consome mais do que paga",IF(AND(G52&lt;&gt;"",G52&gt;1),"Estourou as horas",IF(AND(K52&lt;&gt;"",K52&lt;0.2),"Margem baixa",IF(AND(G52&lt;&gt;"",G52&gt;0.85),"Perto do limite","Saudável")))))))</f>
        <v/>
      </c>
      <c r="M52" s="37">
        <f>IF(OR(L52="Consome mais do que paga",L52="Margem baixa",L52="Estourou as horas"),IFERROR(H52/I52,9)+ROW()/1000000,0)</f>
        <v/>
      </c>
    </row>
    <row r="53">
      <c r="A53" s="24">
        <f>IF(Casos!$A$26="","",Casos!$A$26)</f>
        <v/>
      </c>
      <c r="B53" s="24">
        <f>IF(Casos!$A$26="","",Casos!$B$26)</f>
        <v/>
      </c>
      <c r="C53" s="23">
        <f>IF(Casos!$A$26="","",Casos!$D$26)</f>
        <v/>
      </c>
      <c r="D53" s="23">
        <f>IF(Casos!$A$26="","",Casos!$E$26)</f>
        <v/>
      </c>
      <c r="E53" s="25">
        <f>IF(Casos!$A$26="","",N(Casos!$G$26))</f>
        <v/>
      </c>
      <c r="F53" s="26">
        <f>IF(Casos!$A$26="","",N(Casos!$H$26)+SUMIFS(Lançamentos!$E$5:$E$604,Lançamentos!$C$5:$C$604,Casos!$A$26))</f>
        <v/>
      </c>
      <c r="G53" s="28">
        <f>IF(OR(Casos!$A$26="",E53=0),"",F53/E53)</f>
        <v/>
      </c>
      <c r="H53" s="27">
        <f>IF(Casos!$A$26="","",N(Casos!$H$26)*Config!$B$23+SUMIFS(Lançamentos!$H$5:$H$604,Lançamentos!$C$5:$C$604,Casos!$A$26))</f>
        <v/>
      </c>
      <c r="I53" s="27">
        <f>IF(Casos!$A$26="","",N(Casos!$F$26))</f>
        <v/>
      </c>
      <c r="J53" s="27">
        <f>IF(OR(Casos!$A$26="",D53="Interno"),"",I53-H53)</f>
        <v/>
      </c>
      <c r="K53" s="28">
        <f>IF(OR(Casos!$A$26="",D53="Interno",I53=0),"",J53/I53)</f>
        <v/>
      </c>
      <c r="L53" s="23">
        <f>IF(Casos!$A$26="","",IF(D53="Interno","Interno",IF(F53=0,"Sem horas",IF(H53&gt;I53,"Consome mais do que paga",IF(AND(G53&lt;&gt;"",G53&gt;1),"Estourou as horas",IF(AND(K53&lt;&gt;"",K53&lt;0.2),"Margem baixa",IF(AND(G53&lt;&gt;"",G53&gt;0.85),"Perto do limite","Saudável")))))))</f>
        <v/>
      </c>
      <c r="M53" s="37">
        <f>IF(OR(L53="Consome mais do que paga",L53="Margem baixa",L53="Estourou as horas"),IFERROR(H53/I53,9)+ROW()/1000000,0)</f>
        <v/>
      </c>
    </row>
    <row r="54">
      <c r="A54" s="24">
        <f>IF(Casos!$A$27="","",Casos!$A$27)</f>
        <v/>
      </c>
      <c r="B54" s="24">
        <f>IF(Casos!$A$27="","",Casos!$B$27)</f>
        <v/>
      </c>
      <c r="C54" s="23">
        <f>IF(Casos!$A$27="","",Casos!$D$27)</f>
        <v/>
      </c>
      <c r="D54" s="23">
        <f>IF(Casos!$A$27="","",Casos!$E$27)</f>
        <v/>
      </c>
      <c r="E54" s="25">
        <f>IF(Casos!$A$27="","",N(Casos!$G$27))</f>
        <v/>
      </c>
      <c r="F54" s="26">
        <f>IF(Casos!$A$27="","",N(Casos!$H$27)+SUMIFS(Lançamentos!$E$5:$E$604,Lançamentos!$C$5:$C$604,Casos!$A$27))</f>
        <v/>
      </c>
      <c r="G54" s="28">
        <f>IF(OR(Casos!$A$27="",E54=0),"",F54/E54)</f>
        <v/>
      </c>
      <c r="H54" s="27">
        <f>IF(Casos!$A$27="","",N(Casos!$H$27)*Config!$B$23+SUMIFS(Lançamentos!$H$5:$H$604,Lançamentos!$C$5:$C$604,Casos!$A$27))</f>
        <v/>
      </c>
      <c r="I54" s="27">
        <f>IF(Casos!$A$27="","",N(Casos!$F$27))</f>
        <v/>
      </c>
      <c r="J54" s="27">
        <f>IF(OR(Casos!$A$27="",D54="Interno"),"",I54-H54)</f>
        <v/>
      </c>
      <c r="K54" s="28">
        <f>IF(OR(Casos!$A$27="",D54="Interno",I54=0),"",J54/I54)</f>
        <v/>
      </c>
      <c r="L54" s="23">
        <f>IF(Casos!$A$27="","",IF(D54="Interno","Interno",IF(F54=0,"Sem horas",IF(H54&gt;I54,"Consome mais do que paga",IF(AND(G54&lt;&gt;"",G54&gt;1),"Estourou as horas",IF(AND(K54&lt;&gt;"",K54&lt;0.2),"Margem baixa",IF(AND(G54&lt;&gt;"",G54&gt;0.85),"Perto do limite","Saudável")))))))</f>
        <v/>
      </c>
      <c r="M54" s="37">
        <f>IF(OR(L54="Consome mais do que paga",L54="Margem baixa",L54="Estourou as horas"),IFERROR(H54/I54,9)+ROW()/1000000,0)</f>
        <v/>
      </c>
    </row>
    <row r="55">
      <c r="A55" s="24">
        <f>IF(Casos!$A$28="","",Casos!$A$28)</f>
        <v/>
      </c>
      <c r="B55" s="24">
        <f>IF(Casos!$A$28="","",Casos!$B$28)</f>
        <v/>
      </c>
      <c r="C55" s="23">
        <f>IF(Casos!$A$28="","",Casos!$D$28)</f>
        <v/>
      </c>
      <c r="D55" s="23">
        <f>IF(Casos!$A$28="","",Casos!$E$28)</f>
        <v/>
      </c>
      <c r="E55" s="25">
        <f>IF(Casos!$A$28="","",N(Casos!$G$28))</f>
        <v/>
      </c>
      <c r="F55" s="26">
        <f>IF(Casos!$A$28="","",N(Casos!$H$28)+SUMIFS(Lançamentos!$E$5:$E$604,Lançamentos!$C$5:$C$604,Casos!$A$28))</f>
        <v/>
      </c>
      <c r="G55" s="28">
        <f>IF(OR(Casos!$A$28="",E55=0),"",F55/E55)</f>
        <v/>
      </c>
      <c r="H55" s="27">
        <f>IF(Casos!$A$28="","",N(Casos!$H$28)*Config!$B$23+SUMIFS(Lançamentos!$H$5:$H$604,Lançamentos!$C$5:$C$604,Casos!$A$28))</f>
        <v/>
      </c>
      <c r="I55" s="27">
        <f>IF(Casos!$A$28="","",N(Casos!$F$28))</f>
        <v/>
      </c>
      <c r="J55" s="27">
        <f>IF(OR(Casos!$A$28="",D55="Interno"),"",I55-H55)</f>
        <v/>
      </c>
      <c r="K55" s="28">
        <f>IF(OR(Casos!$A$28="",D55="Interno",I55=0),"",J55/I55)</f>
        <v/>
      </c>
      <c r="L55" s="23">
        <f>IF(Casos!$A$28="","",IF(D55="Interno","Interno",IF(F55=0,"Sem horas",IF(H55&gt;I55,"Consome mais do que paga",IF(AND(G55&lt;&gt;"",G55&gt;1),"Estourou as horas",IF(AND(K55&lt;&gt;"",K55&lt;0.2),"Margem baixa",IF(AND(G55&lt;&gt;"",G55&gt;0.85),"Perto do limite","Saudável")))))))</f>
        <v/>
      </c>
      <c r="M55" s="37">
        <f>IF(OR(L55="Consome mais do que paga",L55="Margem baixa",L55="Estourou as horas"),IFERROR(H55/I55,9)+ROW()/1000000,0)</f>
        <v/>
      </c>
    </row>
    <row r="56">
      <c r="A56" s="24">
        <f>IF(Casos!$A$29="","",Casos!$A$29)</f>
        <v/>
      </c>
      <c r="B56" s="24">
        <f>IF(Casos!$A$29="","",Casos!$B$29)</f>
        <v/>
      </c>
      <c r="C56" s="23">
        <f>IF(Casos!$A$29="","",Casos!$D$29)</f>
        <v/>
      </c>
      <c r="D56" s="23">
        <f>IF(Casos!$A$29="","",Casos!$E$29)</f>
        <v/>
      </c>
      <c r="E56" s="25">
        <f>IF(Casos!$A$29="","",N(Casos!$G$29))</f>
        <v/>
      </c>
      <c r="F56" s="26">
        <f>IF(Casos!$A$29="","",N(Casos!$H$29)+SUMIFS(Lançamentos!$E$5:$E$604,Lançamentos!$C$5:$C$604,Casos!$A$29))</f>
        <v/>
      </c>
      <c r="G56" s="28">
        <f>IF(OR(Casos!$A$29="",E56=0),"",F56/E56)</f>
        <v/>
      </c>
      <c r="H56" s="27">
        <f>IF(Casos!$A$29="","",N(Casos!$H$29)*Config!$B$23+SUMIFS(Lançamentos!$H$5:$H$604,Lançamentos!$C$5:$C$604,Casos!$A$29))</f>
        <v/>
      </c>
      <c r="I56" s="27">
        <f>IF(Casos!$A$29="","",N(Casos!$F$29))</f>
        <v/>
      </c>
      <c r="J56" s="27">
        <f>IF(OR(Casos!$A$29="",D56="Interno"),"",I56-H56)</f>
        <v/>
      </c>
      <c r="K56" s="28">
        <f>IF(OR(Casos!$A$29="",D56="Interno",I56=0),"",J56/I56)</f>
        <v/>
      </c>
      <c r="L56" s="23">
        <f>IF(Casos!$A$29="","",IF(D56="Interno","Interno",IF(F56=0,"Sem horas",IF(H56&gt;I56,"Consome mais do que paga",IF(AND(G56&lt;&gt;"",G56&gt;1),"Estourou as horas",IF(AND(K56&lt;&gt;"",K56&lt;0.2),"Margem baixa",IF(AND(G56&lt;&gt;"",G56&gt;0.85),"Perto do limite","Saudável")))))))</f>
        <v/>
      </c>
      <c r="M56" s="37">
        <f>IF(OR(L56="Consome mais do que paga",L56="Margem baixa",L56="Estourou as horas"),IFERROR(H56/I56,9)+ROW()/1000000,0)</f>
        <v/>
      </c>
    </row>
    <row r="57">
      <c r="A57" s="24">
        <f>IF(Casos!$A$30="","",Casos!$A$30)</f>
        <v/>
      </c>
      <c r="B57" s="24">
        <f>IF(Casos!$A$30="","",Casos!$B$30)</f>
        <v/>
      </c>
      <c r="C57" s="23">
        <f>IF(Casos!$A$30="","",Casos!$D$30)</f>
        <v/>
      </c>
      <c r="D57" s="23">
        <f>IF(Casos!$A$30="","",Casos!$E$30)</f>
        <v/>
      </c>
      <c r="E57" s="25">
        <f>IF(Casos!$A$30="","",N(Casos!$G$30))</f>
        <v/>
      </c>
      <c r="F57" s="26">
        <f>IF(Casos!$A$30="","",N(Casos!$H$30)+SUMIFS(Lançamentos!$E$5:$E$604,Lançamentos!$C$5:$C$604,Casos!$A$30))</f>
        <v/>
      </c>
      <c r="G57" s="28">
        <f>IF(OR(Casos!$A$30="",E57=0),"",F57/E57)</f>
        <v/>
      </c>
      <c r="H57" s="27">
        <f>IF(Casos!$A$30="","",N(Casos!$H$30)*Config!$B$23+SUMIFS(Lançamentos!$H$5:$H$604,Lançamentos!$C$5:$C$604,Casos!$A$30))</f>
        <v/>
      </c>
      <c r="I57" s="27">
        <f>IF(Casos!$A$30="","",N(Casos!$F$30))</f>
        <v/>
      </c>
      <c r="J57" s="27">
        <f>IF(OR(Casos!$A$30="",D57="Interno"),"",I57-H57)</f>
        <v/>
      </c>
      <c r="K57" s="28">
        <f>IF(OR(Casos!$A$30="",D57="Interno",I57=0),"",J57/I57)</f>
        <v/>
      </c>
      <c r="L57" s="23">
        <f>IF(Casos!$A$30="","",IF(D57="Interno","Interno",IF(F57=0,"Sem horas",IF(H57&gt;I57,"Consome mais do que paga",IF(AND(G57&lt;&gt;"",G57&gt;1),"Estourou as horas",IF(AND(K57&lt;&gt;"",K57&lt;0.2),"Margem baixa",IF(AND(G57&lt;&gt;"",G57&gt;0.85),"Perto do limite","Saudável")))))))</f>
        <v/>
      </c>
      <c r="M57" s="37">
        <f>IF(OR(L57="Consome mais do que paga",L57="Margem baixa",L57="Estourou as horas"),IFERROR(H57/I57,9)+ROW()/1000000,0)</f>
        <v/>
      </c>
    </row>
    <row r="58">
      <c r="A58" s="24">
        <f>IF(Casos!$A$31="","",Casos!$A$31)</f>
        <v/>
      </c>
      <c r="B58" s="24">
        <f>IF(Casos!$A$31="","",Casos!$B$31)</f>
        <v/>
      </c>
      <c r="C58" s="23">
        <f>IF(Casos!$A$31="","",Casos!$D$31)</f>
        <v/>
      </c>
      <c r="D58" s="23">
        <f>IF(Casos!$A$31="","",Casos!$E$31)</f>
        <v/>
      </c>
      <c r="E58" s="25">
        <f>IF(Casos!$A$31="","",N(Casos!$G$31))</f>
        <v/>
      </c>
      <c r="F58" s="26">
        <f>IF(Casos!$A$31="","",N(Casos!$H$31)+SUMIFS(Lançamentos!$E$5:$E$604,Lançamentos!$C$5:$C$604,Casos!$A$31))</f>
        <v/>
      </c>
      <c r="G58" s="28">
        <f>IF(OR(Casos!$A$31="",E58=0),"",F58/E58)</f>
        <v/>
      </c>
      <c r="H58" s="27">
        <f>IF(Casos!$A$31="","",N(Casos!$H$31)*Config!$B$23+SUMIFS(Lançamentos!$H$5:$H$604,Lançamentos!$C$5:$C$604,Casos!$A$31))</f>
        <v/>
      </c>
      <c r="I58" s="27">
        <f>IF(Casos!$A$31="","",N(Casos!$F$31))</f>
        <v/>
      </c>
      <c r="J58" s="27">
        <f>IF(OR(Casos!$A$31="",D58="Interno"),"",I58-H58)</f>
        <v/>
      </c>
      <c r="K58" s="28">
        <f>IF(OR(Casos!$A$31="",D58="Interno",I58=0),"",J58/I58)</f>
        <v/>
      </c>
      <c r="L58" s="23">
        <f>IF(Casos!$A$31="","",IF(D58="Interno","Interno",IF(F58=0,"Sem horas",IF(H58&gt;I58,"Consome mais do que paga",IF(AND(G58&lt;&gt;"",G58&gt;1),"Estourou as horas",IF(AND(K58&lt;&gt;"",K58&lt;0.2),"Margem baixa",IF(AND(G58&lt;&gt;"",G58&gt;0.85),"Perto do limite","Saudável")))))))</f>
        <v/>
      </c>
      <c r="M58" s="37">
        <f>IF(OR(L58="Consome mais do que paga",L58="Margem baixa",L58="Estourou as horas"),IFERROR(H58/I58,9)+ROW()/1000000,0)</f>
        <v/>
      </c>
    </row>
    <row r="59">
      <c r="A59" s="24">
        <f>IF(Casos!$A$32="","",Casos!$A$32)</f>
        <v/>
      </c>
      <c r="B59" s="24">
        <f>IF(Casos!$A$32="","",Casos!$B$32)</f>
        <v/>
      </c>
      <c r="C59" s="23">
        <f>IF(Casos!$A$32="","",Casos!$D$32)</f>
        <v/>
      </c>
      <c r="D59" s="23">
        <f>IF(Casos!$A$32="","",Casos!$E$32)</f>
        <v/>
      </c>
      <c r="E59" s="25">
        <f>IF(Casos!$A$32="","",N(Casos!$G$32))</f>
        <v/>
      </c>
      <c r="F59" s="26">
        <f>IF(Casos!$A$32="","",N(Casos!$H$32)+SUMIFS(Lançamentos!$E$5:$E$604,Lançamentos!$C$5:$C$604,Casos!$A$32))</f>
        <v/>
      </c>
      <c r="G59" s="28">
        <f>IF(OR(Casos!$A$32="",E59=0),"",F59/E59)</f>
        <v/>
      </c>
      <c r="H59" s="27">
        <f>IF(Casos!$A$32="","",N(Casos!$H$32)*Config!$B$23+SUMIFS(Lançamentos!$H$5:$H$604,Lançamentos!$C$5:$C$604,Casos!$A$32))</f>
        <v/>
      </c>
      <c r="I59" s="27">
        <f>IF(Casos!$A$32="","",N(Casos!$F$32))</f>
        <v/>
      </c>
      <c r="J59" s="27">
        <f>IF(OR(Casos!$A$32="",D59="Interno"),"",I59-H59)</f>
        <v/>
      </c>
      <c r="K59" s="28">
        <f>IF(OR(Casos!$A$32="",D59="Interno",I59=0),"",J59/I59)</f>
        <v/>
      </c>
      <c r="L59" s="23">
        <f>IF(Casos!$A$32="","",IF(D59="Interno","Interno",IF(F59=0,"Sem horas",IF(H59&gt;I59,"Consome mais do que paga",IF(AND(G59&lt;&gt;"",G59&gt;1),"Estourou as horas",IF(AND(K59&lt;&gt;"",K59&lt;0.2),"Margem baixa",IF(AND(G59&lt;&gt;"",G59&gt;0.85),"Perto do limite","Saudável")))))))</f>
        <v/>
      </c>
      <c r="M59" s="37">
        <f>IF(OR(L59="Consome mais do que paga",L59="Margem baixa",L59="Estourou as horas"),IFERROR(H59/I59,9)+ROW()/1000000,0)</f>
        <v/>
      </c>
    </row>
    <row r="60">
      <c r="A60" s="24">
        <f>IF(Casos!$A$33="","",Casos!$A$33)</f>
        <v/>
      </c>
      <c r="B60" s="24">
        <f>IF(Casos!$A$33="","",Casos!$B$33)</f>
        <v/>
      </c>
      <c r="C60" s="23">
        <f>IF(Casos!$A$33="","",Casos!$D$33)</f>
        <v/>
      </c>
      <c r="D60" s="23">
        <f>IF(Casos!$A$33="","",Casos!$E$33)</f>
        <v/>
      </c>
      <c r="E60" s="25">
        <f>IF(Casos!$A$33="","",N(Casos!$G$33))</f>
        <v/>
      </c>
      <c r="F60" s="26">
        <f>IF(Casos!$A$33="","",N(Casos!$H$33)+SUMIFS(Lançamentos!$E$5:$E$604,Lançamentos!$C$5:$C$604,Casos!$A$33))</f>
        <v/>
      </c>
      <c r="G60" s="28">
        <f>IF(OR(Casos!$A$33="",E60=0),"",F60/E60)</f>
        <v/>
      </c>
      <c r="H60" s="27">
        <f>IF(Casos!$A$33="","",N(Casos!$H$33)*Config!$B$23+SUMIFS(Lançamentos!$H$5:$H$604,Lançamentos!$C$5:$C$604,Casos!$A$33))</f>
        <v/>
      </c>
      <c r="I60" s="27">
        <f>IF(Casos!$A$33="","",N(Casos!$F$33))</f>
        <v/>
      </c>
      <c r="J60" s="27">
        <f>IF(OR(Casos!$A$33="",D60="Interno"),"",I60-H60)</f>
        <v/>
      </c>
      <c r="K60" s="28">
        <f>IF(OR(Casos!$A$33="",D60="Interno",I60=0),"",J60/I60)</f>
        <v/>
      </c>
      <c r="L60" s="23">
        <f>IF(Casos!$A$33="","",IF(D60="Interno","Interno",IF(F60=0,"Sem horas",IF(H60&gt;I60,"Consome mais do que paga",IF(AND(G60&lt;&gt;"",G60&gt;1),"Estourou as horas",IF(AND(K60&lt;&gt;"",K60&lt;0.2),"Margem baixa",IF(AND(G60&lt;&gt;"",G60&gt;0.85),"Perto do limite","Saudável")))))))</f>
        <v/>
      </c>
      <c r="M60" s="37">
        <f>IF(OR(L60="Consome mais do que paga",L60="Margem baixa",L60="Estourou as horas"),IFERROR(H60/I60,9)+ROW()/1000000,0)</f>
        <v/>
      </c>
    </row>
    <row r="61">
      <c r="A61" s="24">
        <f>IF(Casos!$A$34="","",Casos!$A$34)</f>
        <v/>
      </c>
      <c r="B61" s="24">
        <f>IF(Casos!$A$34="","",Casos!$B$34)</f>
        <v/>
      </c>
      <c r="C61" s="23">
        <f>IF(Casos!$A$34="","",Casos!$D$34)</f>
        <v/>
      </c>
      <c r="D61" s="23">
        <f>IF(Casos!$A$34="","",Casos!$E$34)</f>
        <v/>
      </c>
      <c r="E61" s="25">
        <f>IF(Casos!$A$34="","",N(Casos!$G$34))</f>
        <v/>
      </c>
      <c r="F61" s="26">
        <f>IF(Casos!$A$34="","",N(Casos!$H$34)+SUMIFS(Lançamentos!$E$5:$E$604,Lançamentos!$C$5:$C$604,Casos!$A$34))</f>
        <v/>
      </c>
      <c r="G61" s="28">
        <f>IF(OR(Casos!$A$34="",E61=0),"",F61/E61)</f>
        <v/>
      </c>
      <c r="H61" s="27">
        <f>IF(Casos!$A$34="","",N(Casos!$H$34)*Config!$B$23+SUMIFS(Lançamentos!$H$5:$H$604,Lançamentos!$C$5:$C$604,Casos!$A$34))</f>
        <v/>
      </c>
      <c r="I61" s="27">
        <f>IF(Casos!$A$34="","",N(Casos!$F$34))</f>
        <v/>
      </c>
      <c r="J61" s="27">
        <f>IF(OR(Casos!$A$34="",D61="Interno"),"",I61-H61)</f>
        <v/>
      </c>
      <c r="K61" s="28">
        <f>IF(OR(Casos!$A$34="",D61="Interno",I61=0),"",J61/I61)</f>
        <v/>
      </c>
      <c r="L61" s="23">
        <f>IF(Casos!$A$34="","",IF(D61="Interno","Interno",IF(F61=0,"Sem horas",IF(H61&gt;I61,"Consome mais do que paga",IF(AND(G61&lt;&gt;"",G61&gt;1),"Estourou as horas",IF(AND(K61&lt;&gt;"",K61&lt;0.2),"Margem baixa",IF(AND(G61&lt;&gt;"",G61&gt;0.85),"Perto do limite","Saudável")))))))</f>
        <v/>
      </c>
      <c r="M61" s="37">
        <f>IF(OR(L61="Consome mais do que paga",L61="Margem baixa",L61="Estourou as horas"),IFERROR(H61/I61,9)+ROW()/1000000,0)</f>
        <v/>
      </c>
    </row>
    <row r="62">
      <c r="A62" s="24">
        <f>IF(Casos!$A$35="","",Casos!$A$35)</f>
        <v/>
      </c>
      <c r="B62" s="24">
        <f>IF(Casos!$A$35="","",Casos!$B$35)</f>
        <v/>
      </c>
      <c r="C62" s="23">
        <f>IF(Casos!$A$35="","",Casos!$D$35)</f>
        <v/>
      </c>
      <c r="D62" s="23">
        <f>IF(Casos!$A$35="","",Casos!$E$35)</f>
        <v/>
      </c>
      <c r="E62" s="25">
        <f>IF(Casos!$A$35="","",N(Casos!$G$35))</f>
        <v/>
      </c>
      <c r="F62" s="26">
        <f>IF(Casos!$A$35="","",N(Casos!$H$35)+SUMIFS(Lançamentos!$E$5:$E$604,Lançamentos!$C$5:$C$604,Casos!$A$35))</f>
        <v/>
      </c>
      <c r="G62" s="28">
        <f>IF(OR(Casos!$A$35="",E62=0),"",F62/E62)</f>
        <v/>
      </c>
      <c r="H62" s="27">
        <f>IF(Casos!$A$35="","",N(Casos!$H$35)*Config!$B$23+SUMIFS(Lançamentos!$H$5:$H$604,Lançamentos!$C$5:$C$604,Casos!$A$35))</f>
        <v/>
      </c>
      <c r="I62" s="27">
        <f>IF(Casos!$A$35="","",N(Casos!$F$35))</f>
        <v/>
      </c>
      <c r="J62" s="27">
        <f>IF(OR(Casos!$A$35="",D62="Interno"),"",I62-H62)</f>
        <v/>
      </c>
      <c r="K62" s="28">
        <f>IF(OR(Casos!$A$35="",D62="Interno",I62=0),"",J62/I62)</f>
        <v/>
      </c>
      <c r="L62" s="23">
        <f>IF(Casos!$A$35="","",IF(D62="Interno","Interno",IF(F62=0,"Sem horas",IF(H62&gt;I62,"Consome mais do que paga",IF(AND(G62&lt;&gt;"",G62&gt;1),"Estourou as horas",IF(AND(K62&lt;&gt;"",K62&lt;0.2),"Margem baixa",IF(AND(G62&lt;&gt;"",G62&gt;0.85),"Perto do limite","Saudável")))))))</f>
        <v/>
      </c>
      <c r="M62" s="37">
        <f>IF(OR(L62="Consome mais do que paga",L62="Margem baixa",L62="Estourou as horas"),IFERROR(H62/I62,9)+ROW()/1000000,0)</f>
        <v/>
      </c>
    </row>
    <row r="63">
      <c r="A63" s="24">
        <f>IF(Casos!$A$36="","",Casos!$A$36)</f>
        <v/>
      </c>
      <c r="B63" s="24">
        <f>IF(Casos!$A$36="","",Casos!$B$36)</f>
        <v/>
      </c>
      <c r="C63" s="23">
        <f>IF(Casos!$A$36="","",Casos!$D$36)</f>
        <v/>
      </c>
      <c r="D63" s="23">
        <f>IF(Casos!$A$36="","",Casos!$E$36)</f>
        <v/>
      </c>
      <c r="E63" s="25">
        <f>IF(Casos!$A$36="","",N(Casos!$G$36))</f>
        <v/>
      </c>
      <c r="F63" s="26">
        <f>IF(Casos!$A$36="","",N(Casos!$H$36)+SUMIFS(Lançamentos!$E$5:$E$604,Lançamentos!$C$5:$C$604,Casos!$A$36))</f>
        <v/>
      </c>
      <c r="G63" s="28">
        <f>IF(OR(Casos!$A$36="",E63=0),"",F63/E63)</f>
        <v/>
      </c>
      <c r="H63" s="27">
        <f>IF(Casos!$A$36="","",N(Casos!$H$36)*Config!$B$23+SUMIFS(Lançamentos!$H$5:$H$604,Lançamentos!$C$5:$C$604,Casos!$A$36))</f>
        <v/>
      </c>
      <c r="I63" s="27">
        <f>IF(Casos!$A$36="","",N(Casos!$F$36))</f>
        <v/>
      </c>
      <c r="J63" s="27">
        <f>IF(OR(Casos!$A$36="",D63="Interno"),"",I63-H63)</f>
        <v/>
      </c>
      <c r="K63" s="28">
        <f>IF(OR(Casos!$A$36="",D63="Interno",I63=0),"",J63/I63)</f>
        <v/>
      </c>
      <c r="L63" s="23">
        <f>IF(Casos!$A$36="","",IF(D63="Interno","Interno",IF(F63=0,"Sem horas",IF(H63&gt;I63,"Consome mais do que paga",IF(AND(G63&lt;&gt;"",G63&gt;1),"Estourou as horas",IF(AND(K63&lt;&gt;"",K63&lt;0.2),"Margem baixa",IF(AND(G63&lt;&gt;"",G63&gt;0.85),"Perto do limite","Saudável")))))))</f>
        <v/>
      </c>
      <c r="M63" s="37">
        <f>IF(OR(L63="Consome mais do que paga",L63="Margem baixa",L63="Estourou as horas"),IFERROR(H63/I63,9)+ROW()/1000000,0)</f>
        <v/>
      </c>
    </row>
    <row r="64">
      <c r="A64" s="24">
        <f>IF(Casos!$A$37="","",Casos!$A$37)</f>
        <v/>
      </c>
      <c r="B64" s="24">
        <f>IF(Casos!$A$37="","",Casos!$B$37)</f>
        <v/>
      </c>
      <c r="C64" s="23">
        <f>IF(Casos!$A$37="","",Casos!$D$37)</f>
        <v/>
      </c>
      <c r="D64" s="23">
        <f>IF(Casos!$A$37="","",Casos!$E$37)</f>
        <v/>
      </c>
      <c r="E64" s="25">
        <f>IF(Casos!$A$37="","",N(Casos!$G$37))</f>
        <v/>
      </c>
      <c r="F64" s="26">
        <f>IF(Casos!$A$37="","",N(Casos!$H$37)+SUMIFS(Lançamentos!$E$5:$E$604,Lançamentos!$C$5:$C$604,Casos!$A$37))</f>
        <v/>
      </c>
      <c r="G64" s="28">
        <f>IF(OR(Casos!$A$37="",E64=0),"",F64/E64)</f>
        <v/>
      </c>
      <c r="H64" s="27">
        <f>IF(Casos!$A$37="","",N(Casos!$H$37)*Config!$B$23+SUMIFS(Lançamentos!$H$5:$H$604,Lançamentos!$C$5:$C$604,Casos!$A$37))</f>
        <v/>
      </c>
      <c r="I64" s="27">
        <f>IF(Casos!$A$37="","",N(Casos!$F$37))</f>
        <v/>
      </c>
      <c r="J64" s="27">
        <f>IF(OR(Casos!$A$37="",D64="Interno"),"",I64-H64)</f>
        <v/>
      </c>
      <c r="K64" s="28">
        <f>IF(OR(Casos!$A$37="",D64="Interno",I64=0),"",J64/I64)</f>
        <v/>
      </c>
      <c r="L64" s="23">
        <f>IF(Casos!$A$37="","",IF(D64="Interno","Interno",IF(F64=0,"Sem horas",IF(H64&gt;I64,"Consome mais do que paga",IF(AND(G64&lt;&gt;"",G64&gt;1),"Estourou as horas",IF(AND(K64&lt;&gt;"",K64&lt;0.2),"Margem baixa",IF(AND(G64&lt;&gt;"",G64&gt;0.85),"Perto do limite","Saudável")))))))</f>
        <v/>
      </c>
      <c r="M64" s="37">
        <f>IF(OR(L64="Consome mais do que paga",L64="Margem baixa",L64="Estourou as horas"),IFERROR(H64/I64,9)+ROW()/1000000,0)</f>
        <v/>
      </c>
    </row>
    <row r="65">
      <c r="A65" s="24">
        <f>IF(Casos!$A$38="","",Casos!$A$38)</f>
        <v/>
      </c>
      <c r="B65" s="24">
        <f>IF(Casos!$A$38="","",Casos!$B$38)</f>
        <v/>
      </c>
      <c r="C65" s="23">
        <f>IF(Casos!$A$38="","",Casos!$D$38)</f>
        <v/>
      </c>
      <c r="D65" s="23">
        <f>IF(Casos!$A$38="","",Casos!$E$38)</f>
        <v/>
      </c>
      <c r="E65" s="25">
        <f>IF(Casos!$A$38="","",N(Casos!$G$38))</f>
        <v/>
      </c>
      <c r="F65" s="26">
        <f>IF(Casos!$A$38="","",N(Casos!$H$38)+SUMIFS(Lançamentos!$E$5:$E$604,Lançamentos!$C$5:$C$604,Casos!$A$38))</f>
        <v/>
      </c>
      <c r="G65" s="28">
        <f>IF(OR(Casos!$A$38="",E65=0),"",F65/E65)</f>
        <v/>
      </c>
      <c r="H65" s="27">
        <f>IF(Casos!$A$38="","",N(Casos!$H$38)*Config!$B$23+SUMIFS(Lançamentos!$H$5:$H$604,Lançamentos!$C$5:$C$604,Casos!$A$38))</f>
        <v/>
      </c>
      <c r="I65" s="27">
        <f>IF(Casos!$A$38="","",N(Casos!$F$38))</f>
        <v/>
      </c>
      <c r="J65" s="27">
        <f>IF(OR(Casos!$A$38="",D65="Interno"),"",I65-H65)</f>
        <v/>
      </c>
      <c r="K65" s="28">
        <f>IF(OR(Casos!$A$38="",D65="Interno",I65=0),"",J65/I65)</f>
        <v/>
      </c>
      <c r="L65" s="23">
        <f>IF(Casos!$A$38="","",IF(D65="Interno","Interno",IF(F65=0,"Sem horas",IF(H65&gt;I65,"Consome mais do que paga",IF(AND(G65&lt;&gt;"",G65&gt;1),"Estourou as horas",IF(AND(K65&lt;&gt;"",K65&lt;0.2),"Margem baixa",IF(AND(G65&lt;&gt;"",G65&gt;0.85),"Perto do limite","Saudável")))))))</f>
        <v/>
      </c>
      <c r="M65" s="37">
        <f>IF(OR(L65="Consome mais do que paga",L65="Margem baixa",L65="Estourou as horas"),IFERROR(H65/I65,9)+ROW()/1000000,0)</f>
        <v/>
      </c>
    </row>
    <row r="66">
      <c r="A66" s="24">
        <f>IF(Casos!$A$39="","",Casos!$A$39)</f>
        <v/>
      </c>
      <c r="B66" s="24">
        <f>IF(Casos!$A$39="","",Casos!$B$39)</f>
        <v/>
      </c>
      <c r="C66" s="23">
        <f>IF(Casos!$A$39="","",Casos!$D$39)</f>
        <v/>
      </c>
      <c r="D66" s="23">
        <f>IF(Casos!$A$39="","",Casos!$E$39)</f>
        <v/>
      </c>
      <c r="E66" s="25">
        <f>IF(Casos!$A$39="","",N(Casos!$G$39))</f>
        <v/>
      </c>
      <c r="F66" s="26">
        <f>IF(Casos!$A$39="","",N(Casos!$H$39)+SUMIFS(Lançamentos!$E$5:$E$604,Lançamentos!$C$5:$C$604,Casos!$A$39))</f>
        <v/>
      </c>
      <c r="G66" s="28">
        <f>IF(OR(Casos!$A$39="",E66=0),"",F66/E66)</f>
        <v/>
      </c>
      <c r="H66" s="27">
        <f>IF(Casos!$A$39="","",N(Casos!$H$39)*Config!$B$23+SUMIFS(Lançamentos!$H$5:$H$604,Lançamentos!$C$5:$C$604,Casos!$A$39))</f>
        <v/>
      </c>
      <c r="I66" s="27">
        <f>IF(Casos!$A$39="","",N(Casos!$F$39))</f>
        <v/>
      </c>
      <c r="J66" s="27">
        <f>IF(OR(Casos!$A$39="",D66="Interno"),"",I66-H66)</f>
        <v/>
      </c>
      <c r="K66" s="28">
        <f>IF(OR(Casos!$A$39="",D66="Interno",I66=0),"",J66/I66)</f>
        <v/>
      </c>
      <c r="L66" s="23">
        <f>IF(Casos!$A$39="","",IF(D66="Interno","Interno",IF(F66=0,"Sem horas",IF(H66&gt;I66,"Consome mais do que paga",IF(AND(G66&lt;&gt;"",G66&gt;1),"Estourou as horas",IF(AND(K66&lt;&gt;"",K66&lt;0.2),"Margem baixa",IF(AND(G66&lt;&gt;"",G66&gt;0.85),"Perto do limite","Saudável")))))))</f>
        <v/>
      </c>
      <c r="M66" s="37">
        <f>IF(OR(L66="Consome mais do que paga",L66="Margem baixa",L66="Estourou as horas"),IFERROR(H66/I66,9)+ROW()/1000000,0)</f>
        <v/>
      </c>
    </row>
    <row r="67">
      <c r="A67" s="24">
        <f>IF(Casos!$A$40="","",Casos!$A$40)</f>
        <v/>
      </c>
      <c r="B67" s="24">
        <f>IF(Casos!$A$40="","",Casos!$B$40)</f>
        <v/>
      </c>
      <c r="C67" s="23">
        <f>IF(Casos!$A$40="","",Casos!$D$40)</f>
        <v/>
      </c>
      <c r="D67" s="23">
        <f>IF(Casos!$A$40="","",Casos!$E$40)</f>
        <v/>
      </c>
      <c r="E67" s="25">
        <f>IF(Casos!$A$40="","",N(Casos!$G$40))</f>
        <v/>
      </c>
      <c r="F67" s="26">
        <f>IF(Casos!$A$40="","",N(Casos!$H$40)+SUMIFS(Lançamentos!$E$5:$E$604,Lançamentos!$C$5:$C$604,Casos!$A$40))</f>
        <v/>
      </c>
      <c r="G67" s="28">
        <f>IF(OR(Casos!$A$40="",E67=0),"",F67/E67)</f>
        <v/>
      </c>
      <c r="H67" s="27">
        <f>IF(Casos!$A$40="","",N(Casos!$H$40)*Config!$B$23+SUMIFS(Lançamentos!$H$5:$H$604,Lançamentos!$C$5:$C$604,Casos!$A$40))</f>
        <v/>
      </c>
      <c r="I67" s="27">
        <f>IF(Casos!$A$40="","",N(Casos!$F$40))</f>
        <v/>
      </c>
      <c r="J67" s="27">
        <f>IF(OR(Casos!$A$40="",D67="Interno"),"",I67-H67)</f>
        <v/>
      </c>
      <c r="K67" s="28">
        <f>IF(OR(Casos!$A$40="",D67="Interno",I67=0),"",J67/I67)</f>
        <v/>
      </c>
      <c r="L67" s="23">
        <f>IF(Casos!$A$40="","",IF(D67="Interno","Interno",IF(F67=0,"Sem horas",IF(H67&gt;I67,"Consome mais do que paga",IF(AND(G67&lt;&gt;"",G67&gt;1),"Estourou as horas",IF(AND(K67&lt;&gt;"",K67&lt;0.2),"Margem baixa",IF(AND(G67&lt;&gt;"",G67&gt;0.85),"Perto do limite","Saudável")))))))</f>
        <v/>
      </c>
      <c r="M67" s="37">
        <f>IF(OR(L67="Consome mais do que paga",L67="Margem baixa",L67="Estourou as horas"),IFERROR(H67/I67,9)+ROW()/1000000,0)</f>
        <v/>
      </c>
    </row>
    <row r="68">
      <c r="A68" s="24">
        <f>IF(Casos!$A$41="","",Casos!$A$41)</f>
        <v/>
      </c>
      <c r="B68" s="24">
        <f>IF(Casos!$A$41="","",Casos!$B$41)</f>
        <v/>
      </c>
      <c r="C68" s="23">
        <f>IF(Casos!$A$41="","",Casos!$D$41)</f>
        <v/>
      </c>
      <c r="D68" s="23">
        <f>IF(Casos!$A$41="","",Casos!$E$41)</f>
        <v/>
      </c>
      <c r="E68" s="25">
        <f>IF(Casos!$A$41="","",N(Casos!$G$41))</f>
        <v/>
      </c>
      <c r="F68" s="26">
        <f>IF(Casos!$A$41="","",N(Casos!$H$41)+SUMIFS(Lançamentos!$E$5:$E$604,Lançamentos!$C$5:$C$604,Casos!$A$41))</f>
        <v/>
      </c>
      <c r="G68" s="28">
        <f>IF(OR(Casos!$A$41="",E68=0),"",F68/E68)</f>
        <v/>
      </c>
      <c r="H68" s="27">
        <f>IF(Casos!$A$41="","",N(Casos!$H$41)*Config!$B$23+SUMIFS(Lançamentos!$H$5:$H$604,Lançamentos!$C$5:$C$604,Casos!$A$41))</f>
        <v/>
      </c>
      <c r="I68" s="27">
        <f>IF(Casos!$A$41="","",N(Casos!$F$41))</f>
        <v/>
      </c>
      <c r="J68" s="27">
        <f>IF(OR(Casos!$A$41="",D68="Interno"),"",I68-H68)</f>
        <v/>
      </c>
      <c r="K68" s="28">
        <f>IF(OR(Casos!$A$41="",D68="Interno",I68=0),"",J68/I68)</f>
        <v/>
      </c>
      <c r="L68" s="23">
        <f>IF(Casos!$A$41="","",IF(D68="Interno","Interno",IF(F68=0,"Sem horas",IF(H68&gt;I68,"Consome mais do que paga",IF(AND(G68&lt;&gt;"",G68&gt;1),"Estourou as horas",IF(AND(K68&lt;&gt;"",K68&lt;0.2),"Margem baixa",IF(AND(G68&lt;&gt;"",G68&gt;0.85),"Perto do limite","Saudável")))))))</f>
        <v/>
      </c>
      <c r="M68" s="37">
        <f>IF(OR(L68="Consome mais do que paga",L68="Margem baixa",L68="Estourou as horas"),IFERROR(H68/I68,9)+ROW()/1000000,0)</f>
        <v/>
      </c>
    </row>
    <row r="69">
      <c r="A69" s="24">
        <f>IF(Casos!$A$42="","",Casos!$A$42)</f>
        <v/>
      </c>
      <c r="B69" s="24">
        <f>IF(Casos!$A$42="","",Casos!$B$42)</f>
        <v/>
      </c>
      <c r="C69" s="23">
        <f>IF(Casos!$A$42="","",Casos!$D$42)</f>
        <v/>
      </c>
      <c r="D69" s="23">
        <f>IF(Casos!$A$42="","",Casos!$E$42)</f>
        <v/>
      </c>
      <c r="E69" s="25">
        <f>IF(Casos!$A$42="","",N(Casos!$G$42))</f>
        <v/>
      </c>
      <c r="F69" s="26">
        <f>IF(Casos!$A$42="","",N(Casos!$H$42)+SUMIFS(Lançamentos!$E$5:$E$604,Lançamentos!$C$5:$C$604,Casos!$A$42))</f>
        <v/>
      </c>
      <c r="G69" s="28">
        <f>IF(OR(Casos!$A$42="",E69=0),"",F69/E69)</f>
        <v/>
      </c>
      <c r="H69" s="27">
        <f>IF(Casos!$A$42="","",N(Casos!$H$42)*Config!$B$23+SUMIFS(Lançamentos!$H$5:$H$604,Lançamentos!$C$5:$C$604,Casos!$A$42))</f>
        <v/>
      </c>
      <c r="I69" s="27">
        <f>IF(Casos!$A$42="","",N(Casos!$F$42))</f>
        <v/>
      </c>
      <c r="J69" s="27">
        <f>IF(OR(Casos!$A$42="",D69="Interno"),"",I69-H69)</f>
        <v/>
      </c>
      <c r="K69" s="28">
        <f>IF(OR(Casos!$A$42="",D69="Interno",I69=0),"",J69/I69)</f>
        <v/>
      </c>
      <c r="L69" s="23">
        <f>IF(Casos!$A$42="","",IF(D69="Interno","Interno",IF(F69=0,"Sem horas",IF(H69&gt;I69,"Consome mais do que paga",IF(AND(G69&lt;&gt;"",G69&gt;1),"Estourou as horas",IF(AND(K69&lt;&gt;"",K69&lt;0.2),"Margem baixa",IF(AND(G69&lt;&gt;"",G69&gt;0.85),"Perto do limite","Saudável")))))))</f>
        <v/>
      </c>
      <c r="M69" s="37">
        <f>IF(OR(L69="Consome mais do que paga",L69="Margem baixa",L69="Estourou as horas"),IFERROR(H69/I69,9)+ROW()/1000000,0)</f>
        <v/>
      </c>
    </row>
    <row r="70">
      <c r="A70" s="24">
        <f>IF(Casos!$A$43="","",Casos!$A$43)</f>
        <v/>
      </c>
      <c r="B70" s="24">
        <f>IF(Casos!$A$43="","",Casos!$B$43)</f>
        <v/>
      </c>
      <c r="C70" s="23">
        <f>IF(Casos!$A$43="","",Casos!$D$43)</f>
        <v/>
      </c>
      <c r="D70" s="23">
        <f>IF(Casos!$A$43="","",Casos!$E$43)</f>
        <v/>
      </c>
      <c r="E70" s="25">
        <f>IF(Casos!$A$43="","",N(Casos!$G$43))</f>
        <v/>
      </c>
      <c r="F70" s="26">
        <f>IF(Casos!$A$43="","",N(Casos!$H$43)+SUMIFS(Lançamentos!$E$5:$E$604,Lançamentos!$C$5:$C$604,Casos!$A$43))</f>
        <v/>
      </c>
      <c r="G70" s="28">
        <f>IF(OR(Casos!$A$43="",E70=0),"",F70/E70)</f>
        <v/>
      </c>
      <c r="H70" s="27">
        <f>IF(Casos!$A$43="","",N(Casos!$H$43)*Config!$B$23+SUMIFS(Lançamentos!$H$5:$H$604,Lançamentos!$C$5:$C$604,Casos!$A$43))</f>
        <v/>
      </c>
      <c r="I70" s="27">
        <f>IF(Casos!$A$43="","",N(Casos!$F$43))</f>
        <v/>
      </c>
      <c r="J70" s="27">
        <f>IF(OR(Casos!$A$43="",D70="Interno"),"",I70-H70)</f>
        <v/>
      </c>
      <c r="K70" s="28">
        <f>IF(OR(Casos!$A$43="",D70="Interno",I70=0),"",J70/I70)</f>
        <v/>
      </c>
      <c r="L70" s="23">
        <f>IF(Casos!$A$43="","",IF(D70="Interno","Interno",IF(F70=0,"Sem horas",IF(H70&gt;I70,"Consome mais do que paga",IF(AND(G70&lt;&gt;"",G70&gt;1),"Estourou as horas",IF(AND(K70&lt;&gt;"",K70&lt;0.2),"Margem baixa",IF(AND(G70&lt;&gt;"",G70&gt;0.85),"Perto do limite","Saudável")))))))</f>
        <v/>
      </c>
      <c r="M70" s="37">
        <f>IF(OR(L70="Consome mais do que paga",L70="Margem baixa",L70="Estourou as horas"),IFERROR(H70/I70,9)+ROW()/1000000,0)</f>
        <v/>
      </c>
    </row>
    <row r="71">
      <c r="A71" s="24">
        <f>IF(Casos!$A$44="","",Casos!$A$44)</f>
        <v/>
      </c>
      <c r="B71" s="24">
        <f>IF(Casos!$A$44="","",Casos!$B$44)</f>
        <v/>
      </c>
      <c r="C71" s="23">
        <f>IF(Casos!$A$44="","",Casos!$D$44)</f>
        <v/>
      </c>
      <c r="D71" s="23">
        <f>IF(Casos!$A$44="","",Casos!$E$44)</f>
        <v/>
      </c>
      <c r="E71" s="25">
        <f>IF(Casos!$A$44="","",N(Casos!$G$44))</f>
        <v/>
      </c>
      <c r="F71" s="26">
        <f>IF(Casos!$A$44="","",N(Casos!$H$44)+SUMIFS(Lançamentos!$E$5:$E$604,Lançamentos!$C$5:$C$604,Casos!$A$44))</f>
        <v/>
      </c>
      <c r="G71" s="28">
        <f>IF(OR(Casos!$A$44="",E71=0),"",F71/E71)</f>
        <v/>
      </c>
      <c r="H71" s="27">
        <f>IF(Casos!$A$44="","",N(Casos!$H$44)*Config!$B$23+SUMIFS(Lançamentos!$H$5:$H$604,Lançamentos!$C$5:$C$604,Casos!$A$44))</f>
        <v/>
      </c>
      <c r="I71" s="27">
        <f>IF(Casos!$A$44="","",N(Casos!$F$44))</f>
        <v/>
      </c>
      <c r="J71" s="27">
        <f>IF(OR(Casos!$A$44="",D71="Interno"),"",I71-H71)</f>
        <v/>
      </c>
      <c r="K71" s="28">
        <f>IF(OR(Casos!$A$44="",D71="Interno",I71=0),"",J71/I71)</f>
        <v/>
      </c>
      <c r="L71" s="23">
        <f>IF(Casos!$A$44="","",IF(D71="Interno","Interno",IF(F71=0,"Sem horas",IF(H71&gt;I71,"Consome mais do que paga",IF(AND(G71&lt;&gt;"",G71&gt;1),"Estourou as horas",IF(AND(K71&lt;&gt;"",K71&lt;0.2),"Margem baixa",IF(AND(G71&lt;&gt;"",G71&gt;0.85),"Perto do limite","Saudável")))))))</f>
        <v/>
      </c>
      <c r="M71" s="37">
        <f>IF(OR(L71="Consome mais do que paga",L71="Margem baixa",L71="Estourou as horas"),IFERROR(H71/I71,9)+ROW()/1000000,0)</f>
        <v/>
      </c>
    </row>
    <row r="72">
      <c r="A72" s="24">
        <f>IF(Casos!$A$45="","",Casos!$A$45)</f>
        <v/>
      </c>
      <c r="B72" s="24">
        <f>IF(Casos!$A$45="","",Casos!$B$45)</f>
        <v/>
      </c>
      <c r="C72" s="23">
        <f>IF(Casos!$A$45="","",Casos!$D$45)</f>
        <v/>
      </c>
      <c r="D72" s="23">
        <f>IF(Casos!$A$45="","",Casos!$E$45)</f>
        <v/>
      </c>
      <c r="E72" s="25">
        <f>IF(Casos!$A$45="","",N(Casos!$G$45))</f>
        <v/>
      </c>
      <c r="F72" s="26">
        <f>IF(Casos!$A$45="","",N(Casos!$H$45)+SUMIFS(Lançamentos!$E$5:$E$604,Lançamentos!$C$5:$C$604,Casos!$A$45))</f>
        <v/>
      </c>
      <c r="G72" s="28">
        <f>IF(OR(Casos!$A$45="",E72=0),"",F72/E72)</f>
        <v/>
      </c>
      <c r="H72" s="27">
        <f>IF(Casos!$A$45="","",N(Casos!$H$45)*Config!$B$23+SUMIFS(Lançamentos!$H$5:$H$604,Lançamentos!$C$5:$C$604,Casos!$A$45))</f>
        <v/>
      </c>
      <c r="I72" s="27">
        <f>IF(Casos!$A$45="","",N(Casos!$F$45))</f>
        <v/>
      </c>
      <c r="J72" s="27">
        <f>IF(OR(Casos!$A$45="",D72="Interno"),"",I72-H72)</f>
        <v/>
      </c>
      <c r="K72" s="28">
        <f>IF(OR(Casos!$A$45="",D72="Interno",I72=0),"",J72/I72)</f>
        <v/>
      </c>
      <c r="L72" s="23">
        <f>IF(Casos!$A$45="","",IF(D72="Interno","Interno",IF(F72=0,"Sem horas",IF(H72&gt;I72,"Consome mais do que paga",IF(AND(G72&lt;&gt;"",G72&gt;1),"Estourou as horas",IF(AND(K72&lt;&gt;"",K72&lt;0.2),"Margem baixa",IF(AND(G72&lt;&gt;"",G72&gt;0.85),"Perto do limite","Saudável")))))))</f>
        <v/>
      </c>
      <c r="M72" s="37">
        <f>IF(OR(L72="Consome mais do que paga",L72="Margem baixa",L72="Estourou as horas"),IFERROR(H72/I72,9)+ROW()/1000000,0)</f>
        <v/>
      </c>
    </row>
    <row r="73">
      <c r="A73" s="24">
        <f>IF(Casos!$A$46="","",Casos!$A$46)</f>
        <v/>
      </c>
      <c r="B73" s="24">
        <f>IF(Casos!$A$46="","",Casos!$B$46)</f>
        <v/>
      </c>
      <c r="C73" s="23">
        <f>IF(Casos!$A$46="","",Casos!$D$46)</f>
        <v/>
      </c>
      <c r="D73" s="23">
        <f>IF(Casos!$A$46="","",Casos!$E$46)</f>
        <v/>
      </c>
      <c r="E73" s="25">
        <f>IF(Casos!$A$46="","",N(Casos!$G$46))</f>
        <v/>
      </c>
      <c r="F73" s="26">
        <f>IF(Casos!$A$46="","",N(Casos!$H$46)+SUMIFS(Lançamentos!$E$5:$E$604,Lançamentos!$C$5:$C$604,Casos!$A$46))</f>
        <v/>
      </c>
      <c r="G73" s="28">
        <f>IF(OR(Casos!$A$46="",E73=0),"",F73/E73)</f>
        <v/>
      </c>
      <c r="H73" s="27">
        <f>IF(Casos!$A$46="","",N(Casos!$H$46)*Config!$B$23+SUMIFS(Lançamentos!$H$5:$H$604,Lançamentos!$C$5:$C$604,Casos!$A$46))</f>
        <v/>
      </c>
      <c r="I73" s="27">
        <f>IF(Casos!$A$46="","",N(Casos!$F$46))</f>
        <v/>
      </c>
      <c r="J73" s="27">
        <f>IF(OR(Casos!$A$46="",D73="Interno"),"",I73-H73)</f>
        <v/>
      </c>
      <c r="K73" s="28">
        <f>IF(OR(Casos!$A$46="",D73="Interno",I73=0),"",J73/I73)</f>
        <v/>
      </c>
      <c r="L73" s="23">
        <f>IF(Casos!$A$46="","",IF(D73="Interno","Interno",IF(F73=0,"Sem horas",IF(H73&gt;I73,"Consome mais do que paga",IF(AND(G73&lt;&gt;"",G73&gt;1),"Estourou as horas",IF(AND(K73&lt;&gt;"",K73&lt;0.2),"Margem baixa",IF(AND(G73&lt;&gt;"",G73&gt;0.85),"Perto do limite","Saudável")))))))</f>
        <v/>
      </c>
      <c r="M73" s="37">
        <f>IF(OR(L73="Consome mais do que paga",L73="Margem baixa",L73="Estourou as horas"),IFERROR(H73/I73,9)+ROW()/1000000,0)</f>
        <v/>
      </c>
    </row>
    <row r="74">
      <c r="A74" s="24">
        <f>IF(Casos!$A$47="","",Casos!$A$47)</f>
        <v/>
      </c>
      <c r="B74" s="24">
        <f>IF(Casos!$A$47="","",Casos!$B$47)</f>
        <v/>
      </c>
      <c r="C74" s="23">
        <f>IF(Casos!$A$47="","",Casos!$D$47)</f>
        <v/>
      </c>
      <c r="D74" s="23">
        <f>IF(Casos!$A$47="","",Casos!$E$47)</f>
        <v/>
      </c>
      <c r="E74" s="25">
        <f>IF(Casos!$A$47="","",N(Casos!$G$47))</f>
        <v/>
      </c>
      <c r="F74" s="26">
        <f>IF(Casos!$A$47="","",N(Casos!$H$47)+SUMIFS(Lançamentos!$E$5:$E$604,Lançamentos!$C$5:$C$604,Casos!$A$47))</f>
        <v/>
      </c>
      <c r="G74" s="28">
        <f>IF(OR(Casos!$A$47="",E74=0),"",F74/E74)</f>
        <v/>
      </c>
      <c r="H74" s="27">
        <f>IF(Casos!$A$47="","",N(Casos!$H$47)*Config!$B$23+SUMIFS(Lançamentos!$H$5:$H$604,Lançamentos!$C$5:$C$604,Casos!$A$47))</f>
        <v/>
      </c>
      <c r="I74" s="27">
        <f>IF(Casos!$A$47="","",N(Casos!$F$47))</f>
        <v/>
      </c>
      <c r="J74" s="27">
        <f>IF(OR(Casos!$A$47="",D74="Interno"),"",I74-H74)</f>
        <v/>
      </c>
      <c r="K74" s="28">
        <f>IF(OR(Casos!$A$47="",D74="Interno",I74=0),"",J74/I74)</f>
        <v/>
      </c>
      <c r="L74" s="23">
        <f>IF(Casos!$A$47="","",IF(D74="Interno","Interno",IF(F74=0,"Sem horas",IF(H74&gt;I74,"Consome mais do que paga",IF(AND(G74&lt;&gt;"",G74&gt;1),"Estourou as horas",IF(AND(K74&lt;&gt;"",K74&lt;0.2),"Margem baixa",IF(AND(G74&lt;&gt;"",G74&gt;0.85),"Perto do limite","Saudável")))))))</f>
        <v/>
      </c>
      <c r="M74" s="37">
        <f>IF(OR(L74="Consome mais do que paga",L74="Margem baixa",L74="Estourou as horas"),IFERROR(H74/I74,9)+ROW()/1000000,0)</f>
        <v/>
      </c>
    </row>
    <row r="75">
      <c r="A75" s="24">
        <f>IF(Casos!$A$48="","",Casos!$A$48)</f>
        <v/>
      </c>
      <c r="B75" s="24">
        <f>IF(Casos!$A$48="","",Casos!$B$48)</f>
        <v/>
      </c>
      <c r="C75" s="23">
        <f>IF(Casos!$A$48="","",Casos!$D$48)</f>
        <v/>
      </c>
      <c r="D75" s="23">
        <f>IF(Casos!$A$48="","",Casos!$E$48)</f>
        <v/>
      </c>
      <c r="E75" s="25">
        <f>IF(Casos!$A$48="","",N(Casos!$G$48))</f>
        <v/>
      </c>
      <c r="F75" s="26">
        <f>IF(Casos!$A$48="","",N(Casos!$H$48)+SUMIFS(Lançamentos!$E$5:$E$604,Lançamentos!$C$5:$C$604,Casos!$A$48))</f>
        <v/>
      </c>
      <c r="G75" s="28">
        <f>IF(OR(Casos!$A$48="",E75=0),"",F75/E75)</f>
        <v/>
      </c>
      <c r="H75" s="27">
        <f>IF(Casos!$A$48="","",N(Casos!$H$48)*Config!$B$23+SUMIFS(Lançamentos!$H$5:$H$604,Lançamentos!$C$5:$C$604,Casos!$A$48))</f>
        <v/>
      </c>
      <c r="I75" s="27">
        <f>IF(Casos!$A$48="","",N(Casos!$F$48))</f>
        <v/>
      </c>
      <c r="J75" s="27">
        <f>IF(OR(Casos!$A$48="",D75="Interno"),"",I75-H75)</f>
        <v/>
      </c>
      <c r="K75" s="28">
        <f>IF(OR(Casos!$A$48="",D75="Interno",I75=0),"",J75/I75)</f>
        <v/>
      </c>
      <c r="L75" s="23">
        <f>IF(Casos!$A$48="","",IF(D75="Interno","Interno",IF(F75=0,"Sem horas",IF(H75&gt;I75,"Consome mais do que paga",IF(AND(G75&lt;&gt;"",G75&gt;1),"Estourou as horas",IF(AND(K75&lt;&gt;"",K75&lt;0.2),"Margem baixa",IF(AND(G75&lt;&gt;"",G75&gt;0.85),"Perto do limite","Saudável")))))))</f>
        <v/>
      </c>
      <c r="M75" s="37">
        <f>IF(OR(L75="Consome mais do que paga",L75="Margem baixa",L75="Estourou as horas"),IFERROR(H75/I75,9)+ROW()/1000000,0)</f>
        <v/>
      </c>
    </row>
    <row r="76">
      <c r="A76" s="24">
        <f>IF(Casos!$A$49="","",Casos!$A$49)</f>
        <v/>
      </c>
      <c r="B76" s="24">
        <f>IF(Casos!$A$49="","",Casos!$B$49)</f>
        <v/>
      </c>
      <c r="C76" s="23">
        <f>IF(Casos!$A$49="","",Casos!$D$49)</f>
        <v/>
      </c>
      <c r="D76" s="23">
        <f>IF(Casos!$A$49="","",Casos!$E$49)</f>
        <v/>
      </c>
      <c r="E76" s="25">
        <f>IF(Casos!$A$49="","",N(Casos!$G$49))</f>
        <v/>
      </c>
      <c r="F76" s="26">
        <f>IF(Casos!$A$49="","",N(Casos!$H$49)+SUMIFS(Lançamentos!$E$5:$E$604,Lançamentos!$C$5:$C$604,Casos!$A$49))</f>
        <v/>
      </c>
      <c r="G76" s="28">
        <f>IF(OR(Casos!$A$49="",E76=0),"",F76/E76)</f>
        <v/>
      </c>
      <c r="H76" s="27">
        <f>IF(Casos!$A$49="","",N(Casos!$H$49)*Config!$B$23+SUMIFS(Lançamentos!$H$5:$H$604,Lançamentos!$C$5:$C$604,Casos!$A$49))</f>
        <v/>
      </c>
      <c r="I76" s="27">
        <f>IF(Casos!$A$49="","",N(Casos!$F$49))</f>
        <v/>
      </c>
      <c r="J76" s="27">
        <f>IF(OR(Casos!$A$49="",D76="Interno"),"",I76-H76)</f>
        <v/>
      </c>
      <c r="K76" s="28">
        <f>IF(OR(Casos!$A$49="",D76="Interno",I76=0),"",J76/I76)</f>
        <v/>
      </c>
      <c r="L76" s="23">
        <f>IF(Casos!$A$49="","",IF(D76="Interno","Interno",IF(F76=0,"Sem horas",IF(H76&gt;I76,"Consome mais do que paga",IF(AND(G76&lt;&gt;"",G76&gt;1),"Estourou as horas",IF(AND(K76&lt;&gt;"",K76&lt;0.2),"Margem baixa",IF(AND(G76&lt;&gt;"",G76&gt;0.85),"Perto do limite","Saudável")))))))</f>
        <v/>
      </c>
      <c r="M76" s="37">
        <f>IF(OR(L76="Consome mais do que paga",L76="Margem baixa",L76="Estourou as horas"),IFERROR(H76/I76,9)+ROW()/1000000,0)</f>
        <v/>
      </c>
    </row>
    <row r="77">
      <c r="A77" s="24">
        <f>IF(Casos!$A$50="","",Casos!$A$50)</f>
        <v/>
      </c>
      <c r="B77" s="24">
        <f>IF(Casos!$A$50="","",Casos!$B$50)</f>
        <v/>
      </c>
      <c r="C77" s="23">
        <f>IF(Casos!$A$50="","",Casos!$D$50)</f>
        <v/>
      </c>
      <c r="D77" s="23">
        <f>IF(Casos!$A$50="","",Casos!$E$50)</f>
        <v/>
      </c>
      <c r="E77" s="25">
        <f>IF(Casos!$A$50="","",N(Casos!$G$50))</f>
        <v/>
      </c>
      <c r="F77" s="26">
        <f>IF(Casos!$A$50="","",N(Casos!$H$50)+SUMIFS(Lançamentos!$E$5:$E$604,Lançamentos!$C$5:$C$604,Casos!$A$50))</f>
        <v/>
      </c>
      <c r="G77" s="28">
        <f>IF(OR(Casos!$A$50="",E77=0),"",F77/E77)</f>
        <v/>
      </c>
      <c r="H77" s="27">
        <f>IF(Casos!$A$50="","",N(Casos!$H$50)*Config!$B$23+SUMIFS(Lançamentos!$H$5:$H$604,Lançamentos!$C$5:$C$604,Casos!$A$50))</f>
        <v/>
      </c>
      <c r="I77" s="27">
        <f>IF(Casos!$A$50="","",N(Casos!$F$50))</f>
        <v/>
      </c>
      <c r="J77" s="27">
        <f>IF(OR(Casos!$A$50="",D77="Interno"),"",I77-H77)</f>
        <v/>
      </c>
      <c r="K77" s="28">
        <f>IF(OR(Casos!$A$50="",D77="Interno",I77=0),"",J77/I77)</f>
        <v/>
      </c>
      <c r="L77" s="23">
        <f>IF(Casos!$A$50="","",IF(D77="Interno","Interno",IF(F77=0,"Sem horas",IF(H77&gt;I77,"Consome mais do que paga",IF(AND(G77&lt;&gt;"",G77&gt;1),"Estourou as horas",IF(AND(K77&lt;&gt;"",K77&lt;0.2),"Margem baixa",IF(AND(G77&lt;&gt;"",G77&gt;0.85),"Perto do limite","Saudável")))))))</f>
        <v/>
      </c>
      <c r="M77" s="37">
        <f>IF(OR(L77="Consome mais do que paga",L77="Margem baixa",L77="Estourou as horas"),IFERROR(H77/I77,9)+ROW()/1000000,0)</f>
        <v/>
      </c>
    </row>
    <row r="78">
      <c r="A78" s="24">
        <f>IF(Casos!$A$51="","",Casos!$A$51)</f>
        <v/>
      </c>
      <c r="B78" s="24">
        <f>IF(Casos!$A$51="","",Casos!$B$51)</f>
        <v/>
      </c>
      <c r="C78" s="23">
        <f>IF(Casos!$A$51="","",Casos!$D$51)</f>
        <v/>
      </c>
      <c r="D78" s="23">
        <f>IF(Casos!$A$51="","",Casos!$E$51)</f>
        <v/>
      </c>
      <c r="E78" s="25">
        <f>IF(Casos!$A$51="","",N(Casos!$G$51))</f>
        <v/>
      </c>
      <c r="F78" s="26">
        <f>IF(Casos!$A$51="","",N(Casos!$H$51)+SUMIFS(Lançamentos!$E$5:$E$604,Lançamentos!$C$5:$C$604,Casos!$A$51))</f>
        <v/>
      </c>
      <c r="G78" s="28">
        <f>IF(OR(Casos!$A$51="",E78=0),"",F78/E78)</f>
        <v/>
      </c>
      <c r="H78" s="27">
        <f>IF(Casos!$A$51="","",N(Casos!$H$51)*Config!$B$23+SUMIFS(Lançamentos!$H$5:$H$604,Lançamentos!$C$5:$C$604,Casos!$A$51))</f>
        <v/>
      </c>
      <c r="I78" s="27">
        <f>IF(Casos!$A$51="","",N(Casos!$F$51))</f>
        <v/>
      </c>
      <c r="J78" s="27">
        <f>IF(OR(Casos!$A$51="",D78="Interno"),"",I78-H78)</f>
        <v/>
      </c>
      <c r="K78" s="28">
        <f>IF(OR(Casos!$A$51="",D78="Interno",I78=0),"",J78/I78)</f>
        <v/>
      </c>
      <c r="L78" s="23">
        <f>IF(Casos!$A$51="","",IF(D78="Interno","Interno",IF(F78=0,"Sem horas",IF(H78&gt;I78,"Consome mais do que paga",IF(AND(G78&lt;&gt;"",G78&gt;1),"Estourou as horas",IF(AND(K78&lt;&gt;"",K78&lt;0.2),"Margem baixa",IF(AND(G78&lt;&gt;"",G78&gt;0.85),"Perto do limite","Saudável")))))))</f>
        <v/>
      </c>
      <c r="M78" s="37">
        <f>IF(OR(L78="Consome mais do que paga",L78="Margem baixa",L78="Estourou as horas"),IFERROR(H78/I78,9)+ROW()/1000000,0)</f>
        <v/>
      </c>
    </row>
    <row r="79">
      <c r="A79" s="24">
        <f>IF(Casos!$A$52="","",Casos!$A$52)</f>
        <v/>
      </c>
      <c r="B79" s="24">
        <f>IF(Casos!$A$52="","",Casos!$B$52)</f>
        <v/>
      </c>
      <c r="C79" s="23">
        <f>IF(Casos!$A$52="","",Casos!$D$52)</f>
        <v/>
      </c>
      <c r="D79" s="23">
        <f>IF(Casos!$A$52="","",Casos!$E$52)</f>
        <v/>
      </c>
      <c r="E79" s="25">
        <f>IF(Casos!$A$52="","",N(Casos!$G$52))</f>
        <v/>
      </c>
      <c r="F79" s="26">
        <f>IF(Casos!$A$52="","",N(Casos!$H$52)+SUMIFS(Lançamentos!$E$5:$E$604,Lançamentos!$C$5:$C$604,Casos!$A$52))</f>
        <v/>
      </c>
      <c r="G79" s="28">
        <f>IF(OR(Casos!$A$52="",E79=0),"",F79/E79)</f>
        <v/>
      </c>
      <c r="H79" s="27">
        <f>IF(Casos!$A$52="","",N(Casos!$H$52)*Config!$B$23+SUMIFS(Lançamentos!$H$5:$H$604,Lançamentos!$C$5:$C$604,Casos!$A$52))</f>
        <v/>
      </c>
      <c r="I79" s="27">
        <f>IF(Casos!$A$52="","",N(Casos!$F$52))</f>
        <v/>
      </c>
      <c r="J79" s="27">
        <f>IF(OR(Casos!$A$52="",D79="Interno"),"",I79-H79)</f>
        <v/>
      </c>
      <c r="K79" s="28">
        <f>IF(OR(Casos!$A$52="",D79="Interno",I79=0),"",J79/I79)</f>
        <v/>
      </c>
      <c r="L79" s="23">
        <f>IF(Casos!$A$52="","",IF(D79="Interno","Interno",IF(F79=0,"Sem horas",IF(H79&gt;I79,"Consome mais do que paga",IF(AND(G79&lt;&gt;"",G79&gt;1),"Estourou as horas",IF(AND(K79&lt;&gt;"",K79&lt;0.2),"Margem baixa",IF(AND(G79&lt;&gt;"",G79&gt;0.85),"Perto do limite","Saudável")))))))</f>
        <v/>
      </c>
      <c r="M79" s="37">
        <f>IF(OR(L79="Consome mais do que paga",L79="Margem baixa",L79="Estourou as horas"),IFERROR(H79/I79,9)+ROW()/1000000,0)</f>
        <v/>
      </c>
    </row>
    <row r="80">
      <c r="A80" s="24">
        <f>IF(Casos!$A$53="","",Casos!$A$53)</f>
        <v/>
      </c>
      <c r="B80" s="24">
        <f>IF(Casos!$A$53="","",Casos!$B$53)</f>
        <v/>
      </c>
      <c r="C80" s="23">
        <f>IF(Casos!$A$53="","",Casos!$D$53)</f>
        <v/>
      </c>
      <c r="D80" s="23">
        <f>IF(Casos!$A$53="","",Casos!$E$53)</f>
        <v/>
      </c>
      <c r="E80" s="25">
        <f>IF(Casos!$A$53="","",N(Casos!$G$53))</f>
        <v/>
      </c>
      <c r="F80" s="26">
        <f>IF(Casos!$A$53="","",N(Casos!$H$53)+SUMIFS(Lançamentos!$E$5:$E$604,Lançamentos!$C$5:$C$604,Casos!$A$53))</f>
        <v/>
      </c>
      <c r="G80" s="28">
        <f>IF(OR(Casos!$A$53="",E80=0),"",F80/E80)</f>
        <v/>
      </c>
      <c r="H80" s="27">
        <f>IF(Casos!$A$53="","",N(Casos!$H$53)*Config!$B$23+SUMIFS(Lançamentos!$H$5:$H$604,Lançamentos!$C$5:$C$604,Casos!$A$53))</f>
        <v/>
      </c>
      <c r="I80" s="27">
        <f>IF(Casos!$A$53="","",N(Casos!$F$53))</f>
        <v/>
      </c>
      <c r="J80" s="27">
        <f>IF(OR(Casos!$A$53="",D80="Interno"),"",I80-H80)</f>
        <v/>
      </c>
      <c r="K80" s="28">
        <f>IF(OR(Casos!$A$53="",D80="Interno",I80=0),"",J80/I80)</f>
        <v/>
      </c>
      <c r="L80" s="23">
        <f>IF(Casos!$A$53="","",IF(D80="Interno","Interno",IF(F80=0,"Sem horas",IF(H80&gt;I80,"Consome mais do que paga",IF(AND(G80&lt;&gt;"",G80&gt;1),"Estourou as horas",IF(AND(K80&lt;&gt;"",K80&lt;0.2),"Margem baixa",IF(AND(G80&lt;&gt;"",G80&gt;0.85),"Perto do limite","Saudável")))))))</f>
        <v/>
      </c>
      <c r="M80" s="37">
        <f>IF(OR(L80="Consome mais do que paga",L80="Margem baixa",L80="Estourou as horas"),IFERROR(H80/I80,9)+ROW()/1000000,0)</f>
        <v/>
      </c>
    </row>
    <row r="81">
      <c r="A81" s="24">
        <f>IF(Casos!$A$54="","",Casos!$A$54)</f>
        <v/>
      </c>
      <c r="B81" s="24">
        <f>IF(Casos!$A$54="","",Casos!$B$54)</f>
        <v/>
      </c>
      <c r="C81" s="23">
        <f>IF(Casos!$A$54="","",Casos!$D$54)</f>
        <v/>
      </c>
      <c r="D81" s="23">
        <f>IF(Casos!$A$54="","",Casos!$E$54)</f>
        <v/>
      </c>
      <c r="E81" s="25">
        <f>IF(Casos!$A$54="","",N(Casos!$G$54))</f>
        <v/>
      </c>
      <c r="F81" s="26">
        <f>IF(Casos!$A$54="","",N(Casos!$H$54)+SUMIFS(Lançamentos!$E$5:$E$604,Lançamentos!$C$5:$C$604,Casos!$A$54))</f>
        <v/>
      </c>
      <c r="G81" s="28">
        <f>IF(OR(Casos!$A$54="",E81=0),"",F81/E81)</f>
        <v/>
      </c>
      <c r="H81" s="27">
        <f>IF(Casos!$A$54="","",N(Casos!$H$54)*Config!$B$23+SUMIFS(Lançamentos!$H$5:$H$604,Lançamentos!$C$5:$C$604,Casos!$A$54))</f>
        <v/>
      </c>
      <c r="I81" s="27">
        <f>IF(Casos!$A$54="","",N(Casos!$F$54))</f>
        <v/>
      </c>
      <c r="J81" s="27">
        <f>IF(OR(Casos!$A$54="",D81="Interno"),"",I81-H81)</f>
        <v/>
      </c>
      <c r="K81" s="28">
        <f>IF(OR(Casos!$A$54="",D81="Interno",I81=0),"",J81/I81)</f>
        <v/>
      </c>
      <c r="L81" s="23">
        <f>IF(Casos!$A$54="","",IF(D81="Interno","Interno",IF(F81=0,"Sem horas",IF(H81&gt;I81,"Consome mais do que paga",IF(AND(G81&lt;&gt;"",G81&gt;1),"Estourou as horas",IF(AND(K81&lt;&gt;"",K81&lt;0.2),"Margem baixa",IF(AND(G81&lt;&gt;"",G81&gt;0.85),"Perto do limite","Saudável")))))))</f>
        <v/>
      </c>
      <c r="M81" s="37">
        <f>IF(OR(L81="Consome mais do que paga",L81="Margem baixa",L81="Estourou as horas"),IFERROR(H81/I81,9)+ROW()/1000000,0)</f>
        <v/>
      </c>
    </row>
    <row r="82">
      <c r="A82" s="24">
        <f>IF(Casos!$A$55="","",Casos!$A$55)</f>
        <v/>
      </c>
      <c r="B82" s="24">
        <f>IF(Casos!$A$55="","",Casos!$B$55)</f>
        <v/>
      </c>
      <c r="C82" s="23">
        <f>IF(Casos!$A$55="","",Casos!$D$55)</f>
        <v/>
      </c>
      <c r="D82" s="23">
        <f>IF(Casos!$A$55="","",Casos!$E$55)</f>
        <v/>
      </c>
      <c r="E82" s="25">
        <f>IF(Casos!$A$55="","",N(Casos!$G$55))</f>
        <v/>
      </c>
      <c r="F82" s="26">
        <f>IF(Casos!$A$55="","",N(Casos!$H$55)+SUMIFS(Lançamentos!$E$5:$E$604,Lançamentos!$C$5:$C$604,Casos!$A$55))</f>
        <v/>
      </c>
      <c r="G82" s="28">
        <f>IF(OR(Casos!$A$55="",E82=0),"",F82/E82)</f>
        <v/>
      </c>
      <c r="H82" s="27">
        <f>IF(Casos!$A$55="","",N(Casos!$H$55)*Config!$B$23+SUMIFS(Lançamentos!$H$5:$H$604,Lançamentos!$C$5:$C$604,Casos!$A$55))</f>
        <v/>
      </c>
      <c r="I82" s="27">
        <f>IF(Casos!$A$55="","",N(Casos!$F$55))</f>
        <v/>
      </c>
      <c r="J82" s="27">
        <f>IF(OR(Casos!$A$55="",D82="Interno"),"",I82-H82)</f>
        <v/>
      </c>
      <c r="K82" s="28">
        <f>IF(OR(Casos!$A$55="",D82="Interno",I82=0),"",J82/I82)</f>
        <v/>
      </c>
      <c r="L82" s="23">
        <f>IF(Casos!$A$55="","",IF(D82="Interno","Interno",IF(F82=0,"Sem horas",IF(H82&gt;I82,"Consome mais do que paga",IF(AND(G82&lt;&gt;"",G82&gt;1),"Estourou as horas",IF(AND(K82&lt;&gt;"",K82&lt;0.2),"Margem baixa",IF(AND(G82&lt;&gt;"",G82&gt;0.85),"Perto do limite","Saudável")))))))</f>
        <v/>
      </c>
      <c r="M82" s="37">
        <f>IF(OR(L82="Consome mais do que paga",L82="Margem baixa",L82="Estourou as horas"),IFERROR(H82/I82,9)+ROW()/1000000,0)</f>
        <v/>
      </c>
    </row>
    <row r="83">
      <c r="A83" s="24">
        <f>IF(Casos!$A$56="","",Casos!$A$56)</f>
        <v/>
      </c>
      <c r="B83" s="24">
        <f>IF(Casos!$A$56="","",Casos!$B$56)</f>
        <v/>
      </c>
      <c r="C83" s="23">
        <f>IF(Casos!$A$56="","",Casos!$D$56)</f>
        <v/>
      </c>
      <c r="D83" s="23">
        <f>IF(Casos!$A$56="","",Casos!$E$56)</f>
        <v/>
      </c>
      <c r="E83" s="25">
        <f>IF(Casos!$A$56="","",N(Casos!$G$56))</f>
        <v/>
      </c>
      <c r="F83" s="26">
        <f>IF(Casos!$A$56="","",N(Casos!$H$56)+SUMIFS(Lançamentos!$E$5:$E$604,Lançamentos!$C$5:$C$604,Casos!$A$56))</f>
        <v/>
      </c>
      <c r="G83" s="28">
        <f>IF(OR(Casos!$A$56="",E83=0),"",F83/E83)</f>
        <v/>
      </c>
      <c r="H83" s="27">
        <f>IF(Casos!$A$56="","",N(Casos!$H$56)*Config!$B$23+SUMIFS(Lançamentos!$H$5:$H$604,Lançamentos!$C$5:$C$604,Casos!$A$56))</f>
        <v/>
      </c>
      <c r="I83" s="27">
        <f>IF(Casos!$A$56="","",N(Casos!$F$56))</f>
        <v/>
      </c>
      <c r="J83" s="27">
        <f>IF(OR(Casos!$A$56="",D83="Interno"),"",I83-H83)</f>
        <v/>
      </c>
      <c r="K83" s="28">
        <f>IF(OR(Casos!$A$56="",D83="Interno",I83=0),"",J83/I83)</f>
        <v/>
      </c>
      <c r="L83" s="23">
        <f>IF(Casos!$A$56="","",IF(D83="Interno","Interno",IF(F83=0,"Sem horas",IF(H83&gt;I83,"Consome mais do que paga",IF(AND(G83&lt;&gt;"",G83&gt;1),"Estourou as horas",IF(AND(K83&lt;&gt;"",K83&lt;0.2),"Margem baixa",IF(AND(G83&lt;&gt;"",G83&gt;0.85),"Perto do limite","Saudável")))))))</f>
        <v/>
      </c>
      <c r="M83" s="37">
        <f>IF(OR(L83="Consome mais do que paga",L83="Margem baixa",L83="Estourou as horas"),IFERROR(H83/I83,9)+ROW()/1000000,0)</f>
        <v/>
      </c>
    </row>
    <row r="84">
      <c r="A84" s="24">
        <f>IF(Casos!$A$57="","",Casos!$A$57)</f>
        <v/>
      </c>
      <c r="B84" s="24">
        <f>IF(Casos!$A$57="","",Casos!$B$57)</f>
        <v/>
      </c>
      <c r="C84" s="23">
        <f>IF(Casos!$A$57="","",Casos!$D$57)</f>
        <v/>
      </c>
      <c r="D84" s="23">
        <f>IF(Casos!$A$57="","",Casos!$E$57)</f>
        <v/>
      </c>
      <c r="E84" s="25">
        <f>IF(Casos!$A$57="","",N(Casos!$G$57))</f>
        <v/>
      </c>
      <c r="F84" s="26">
        <f>IF(Casos!$A$57="","",N(Casos!$H$57)+SUMIFS(Lançamentos!$E$5:$E$604,Lançamentos!$C$5:$C$604,Casos!$A$57))</f>
        <v/>
      </c>
      <c r="G84" s="28">
        <f>IF(OR(Casos!$A$57="",E84=0),"",F84/E84)</f>
        <v/>
      </c>
      <c r="H84" s="27">
        <f>IF(Casos!$A$57="","",N(Casos!$H$57)*Config!$B$23+SUMIFS(Lançamentos!$H$5:$H$604,Lançamentos!$C$5:$C$604,Casos!$A$57))</f>
        <v/>
      </c>
      <c r="I84" s="27">
        <f>IF(Casos!$A$57="","",N(Casos!$F$57))</f>
        <v/>
      </c>
      <c r="J84" s="27">
        <f>IF(OR(Casos!$A$57="",D84="Interno"),"",I84-H84)</f>
        <v/>
      </c>
      <c r="K84" s="28">
        <f>IF(OR(Casos!$A$57="",D84="Interno",I84=0),"",J84/I84)</f>
        <v/>
      </c>
      <c r="L84" s="23">
        <f>IF(Casos!$A$57="","",IF(D84="Interno","Interno",IF(F84=0,"Sem horas",IF(H84&gt;I84,"Consome mais do que paga",IF(AND(G84&lt;&gt;"",G84&gt;1),"Estourou as horas",IF(AND(K84&lt;&gt;"",K84&lt;0.2),"Margem baixa",IF(AND(G84&lt;&gt;"",G84&gt;0.85),"Perto do limite","Saudável")))))))</f>
        <v/>
      </c>
      <c r="M84" s="37">
        <f>IF(OR(L84="Consome mais do que paga",L84="Margem baixa",L84="Estourou as horas"),IFERROR(H84/I84,9)+ROW()/1000000,0)</f>
        <v/>
      </c>
    </row>
    <row r="85">
      <c r="A85" s="24">
        <f>IF(Casos!$A$58="","",Casos!$A$58)</f>
        <v/>
      </c>
      <c r="B85" s="24">
        <f>IF(Casos!$A$58="","",Casos!$B$58)</f>
        <v/>
      </c>
      <c r="C85" s="23">
        <f>IF(Casos!$A$58="","",Casos!$D$58)</f>
        <v/>
      </c>
      <c r="D85" s="23">
        <f>IF(Casos!$A$58="","",Casos!$E$58)</f>
        <v/>
      </c>
      <c r="E85" s="25">
        <f>IF(Casos!$A$58="","",N(Casos!$G$58))</f>
        <v/>
      </c>
      <c r="F85" s="26">
        <f>IF(Casos!$A$58="","",N(Casos!$H$58)+SUMIFS(Lançamentos!$E$5:$E$604,Lançamentos!$C$5:$C$604,Casos!$A$58))</f>
        <v/>
      </c>
      <c r="G85" s="28">
        <f>IF(OR(Casos!$A$58="",E85=0),"",F85/E85)</f>
        <v/>
      </c>
      <c r="H85" s="27">
        <f>IF(Casos!$A$58="","",N(Casos!$H$58)*Config!$B$23+SUMIFS(Lançamentos!$H$5:$H$604,Lançamentos!$C$5:$C$604,Casos!$A$58))</f>
        <v/>
      </c>
      <c r="I85" s="27">
        <f>IF(Casos!$A$58="","",N(Casos!$F$58))</f>
        <v/>
      </c>
      <c r="J85" s="27">
        <f>IF(OR(Casos!$A$58="",D85="Interno"),"",I85-H85)</f>
        <v/>
      </c>
      <c r="K85" s="28">
        <f>IF(OR(Casos!$A$58="",D85="Interno",I85=0),"",J85/I85)</f>
        <v/>
      </c>
      <c r="L85" s="23">
        <f>IF(Casos!$A$58="","",IF(D85="Interno","Interno",IF(F85=0,"Sem horas",IF(H85&gt;I85,"Consome mais do que paga",IF(AND(G85&lt;&gt;"",G85&gt;1),"Estourou as horas",IF(AND(K85&lt;&gt;"",K85&lt;0.2),"Margem baixa",IF(AND(G85&lt;&gt;"",G85&gt;0.85),"Perto do limite","Saudável")))))))</f>
        <v/>
      </c>
      <c r="M85" s="37">
        <f>IF(OR(L85="Consome mais do que paga",L85="Margem baixa",L85="Estourou as horas"),IFERROR(H85/I85,9)+ROW()/1000000,0)</f>
        <v/>
      </c>
    </row>
    <row r="86">
      <c r="A86" s="24">
        <f>IF(Casos!$A$59="","",Casos!$A$59)</f>
        <v/>
      </c>
      <c r="B86" s="24">
        <f>IF(Casos!$A$59="","",Casos!$B$59)</f>
        <v/>
      </c>
      <c r="C86" s="23">
        <f>IF(Casos!$A$59="","",Casos!$D$59)</f>
        <v/>
      </c>
      <c r="D86" s="23">
        <f>IF(Casos!$A$59="","",Casos!$E$59)</f>
        <v/>
      </c>
      <c r="E86" s="25">
        <f>IF(Casos!$A$59="","",N(Casos!$G$59))</f>
        <v/>
      </c>
      <c r="F86" s="26">
        <f>IF(Casos!$A$59="","",N(Casos!$H$59)+SUMIFS(Lançamentos!$E$5:$E$604,Lançamentos!$C$5:$C$604,Casos!$A$59))</f>
        <v/>
      </c>
      <c r="G86" s="28">
        <f>IF(OR(Casos!$A$59="",E86=0),"",F86/E86)</f>
        <v/>
      </c>
      <c r="H86" s="27">
        <f>IF(Casos!$A$59="","",N(Casos!$H$59)*Config!$B$23+SUMIFS(Lançamentos!$H$5:$H$604,Lançamentos!$C$5:$C$604,Casos!$A$59))</f>
        <v/>
      </c>
      <c r="I86" s="27">
        <f>IF(Casos!$A$59="","",N(Casos!$F$59))</f>
        <v/>
      </c>
      <c r="J86" s="27">
        <f>IF(OR(Casos!$A$59="",D86="Interno"),"",I86-H86)</f>
        <v/>
      </c>
      <c r="K86" s="28">
        <f>IF(OR(Casos!$A$59="",D86="Interno",I86=0),"",J86/I86)</f>
        <v/>
      </c>
      <c r="L86" s="23">
        <f>IF(Casos!$A$59="","",IF(D86="Interno","Interno",IF(F86=0,"Sem horas",IF(H86&gt;I86,"Consome mais do que paga",IF(AND(G86&lt;&gt;"",G86&gt;1),"Estourou as horas",IF(AND(K86&lt;&gt;"",K86&lt;0.2),"Margem baixa",IF(AND(G86&lt;&gt;"",G86&gt;0.85),"Perto do limite","Saudável")))))))</f>
        <v/>
      </c>
      <c r="M86" s="37">
        <f>IF(OR(L86="Consome mais do que paga",L86="Margem baixa",L86="Estourou as horas"),IFERROR(H86/I86,9)+ROW()/1000000,0)</f>
        <v/>
      </c>
    </row>
    <row r="87">
      <c r="A87" s="24">
        <f>IF(Casos!$A$60="","",Casos!$A$60)</f>
        <v/>
      </c>
      <c r="B87" s="24">
        <f>IF(Casos!$A$60="","",Casos!$B$60)</f>
        <v/>
      </c>
      <c r="C87" s="23">
        <f>IF(Casos!$A$60="","",Casos!$D$60)</f>
        <v/>
      </c>
      <c r="D87" s="23">
        <f>IF(Casos!$A$60="","",Casos!$E$60)</f>
        <v/>
      </c>
      <c r="E87" s="25">
        <f>IF(Casos!$A$60="","",N(Casos!$G$60))</f>
        <v/>
      </c>
      <c r="F87" s="26">
        <f>IF(Casos!$A$60="","",N(Casos!$H$60)+SUMIFS(Lançamentos!$E$5:$E$604,Lançamentos!$C$5:$C$604,Casos!$A$60))</f>
        <v/>
      </c>
      <c r="G87" s="28">
        <f>IF(OR(Casos!$A$60="",E87=0),"",F87/E87)</f>
        <v/>
      </c>
      <c r="H87" s="27">
        <f>IF(Casos!$A$60="","",N(Casos!$H$60)*Config!$B$23+SUMIFS(Lançamentos!$H$5:$H$604,Lançamentos!$C$5:$C$604,Casos!$A$60))</f>
        <v/>
      </c>
      <c r="I87" s="27">
        <f>IF(Casos!$A$60="","",N(Casos!$F$60))</f>
        <v/>
      </c>
      <c r="J87" s="27">
        <f>IF(OR(Casos!$A$60="",D87="Interno"),"",I87-H87)</f>
        <v/>
      </c>
      <c r="K87" s="28">
        <f>IF(OR(Casos!$A$60="",D87="Interno",I87=0),"",J87/I87)</f>
        <v/>
      </c>
      <c r="L87" s="23">
        <f>IF(Casos!$A$60="","",IF(D87="Interno","Interno",IF(F87=0,"Sem horas",IF(H87&gt;I87,"Consome mais do que paga",IF(AND(G87&lt;&gt;"",G87&gt;1),"Estourou as horas",IF(AND(K87&lt;&gt;"",K87&lt;0.2),"Margem baixa",IF(AND(G87&lt;&gt;"",G87&gt;0.85),"Perto do limite","Saudável")))))))</f>
        <v/>
      </c>
      <c r="M87" s="37">
        <f>IF(OR(L87="Consome mais do que paga",L87="Margem baixa",L87="Estourou as horas"),IFERROR(H87/I87,9)+ROW()/1000000,0)</f>
        <v/>
      </c>
    </row>
    <row r="88">
      <c r="A88" s="24">
        <f>IF(Casos!$A$61="","",Casos!$A$61)</f>
        <v/>
      </c>
      <c r="B88" s="24">
        <f>IF(Casos!$A$61="","",Casos!$B$61)</f>
        <v/>
      </c>
      <c r="C88" s="23">
        <f>IF(Casos!$A$61="","",Casos!$D$61)</f>
        <v/>
      </c>
      <c r="D88" s="23">
        <f>IF(Casos!$A$61="","",Casos!$E$61)</f>
        <v/>
      </c>
      <c r="E88" s="25">
        <f>IF(Casos!$A$61="","",N(Casos!$G$61))</f>
        <v/>
      </c>
      <c r="F88" s="26">
        <f>IF(Casos!$A$61="","",N(Casos!$H$61)+SUMIFS(Lançamentos!$E$5:$E$604,Lançamentos!$C$5:$C$604,Casos!$A$61))</f>
        <v/>
      </c>
      <c r="G88" s="28">
        <f>IF(OR(Casos!$A$61="",E88=0),"",F88/E88)</f>
        <v/>
      </c>
      <c r="H88" s="27">
        <f>IF(Casos!$A$61="","",N(Casos!$H$61)*Config!$B$23+SUMIFS(Lançamentos!$H$5:$H$604,Lançamentos!$C$5:$C$604,Casos!$A$61))</f>
        <v/>
      </c>
      <c r="I88" s="27">
        <f>IF(Casos!$A$61="","",N(Casos!$F$61))</f>
        <v/>
      </c>
      <c r="J88" s="27">
        <f>IF(OR(Casos!$A$61="",D88="Interno"),"",I88-H88)</f>
        <v/>
      </c>
      <c r="K88" s="28">
        <f>IF(OR(Casos!$A$61="",D88="Interno",I88=0),"",J88/I88)</f>
        <v/>
      </c>
      <c r="L88" s="23">
        <f>IF(Casos!$A$61="","",IF(D88="Interno","Interno",IF(F88=0,"Sem horas",IF(H88&gt;I88,"Consome mais do que paga",IF(AND(G88&lt;&gt;"",G88&gt;1),"Estourou as horas",IF(AND(K88&lt;&gt;"",K88&lt;0.2),"Margem baixa",IF(AND(G88&lt;&gt;"",G88&gt;0.85),"Perto do limite","Saudável")))))))</f>
        <v/>
      </c>
      <c r="M88" s="37">
        <f>IF(OR(L88="Consome mais do que paga",L88="Margem baixa",L88="Estourou as horas"),IFERROR(H88/I88,9)+ROW()/1000000,0)</f>
        <v/>
      </c>
    </row>
    <row r="89">
      <c r="A89" s="24">
        <f>IF(Casos!$A$62="","",Casos!$A$62)</f>
        <v/>
      </c>
      <c r="B89" s="24">
        <f>IF(Casos!$A$62="","",Casos!$B$62)</f>
        <v/>
      </c>
      <c r="C89" s="23">
        <f>IF(Casos!$A$62="","",Casos!$D$62)</f>
        <v/>
      </c>
      <c r="D89" s="23">
        <f>IF(Casos!$A$62="","",Casos!$E$62)</f>
        <v/>
      </c>
      <c r="E89" s="25">
        <f>IF(Casos!$A$62="","",N(Casos!$G$62))</f>
        <v/>
      </c>
      <c r="F89" s="26">
        <f>IF(Casos!$A$62="","",N(Casos!$H$62)+SUMIFS(Lançamentos!$E$5:$E$604,Lançamentos!$C$5:$C$604,Casos!$A$62))</f>
        <v/>
      </c>
      <c r="G89" s="28">
        <f>IF(OR(Casos!$A$62="",E89=0),"",F89/E89)</f>
        <v/>
      </c>
      <c r="H89" s="27">
        <f>IF(Casos!$A$62="","",N(Casos!$H$62)*Config!$B$23+SUMIFS(Lançamentos!$H$5:$H$604,Lançamentos!$C$5:$C$604,Casos!$A$62))</f>
        <v/>
      </c>
      <c r="I89" s="27">
        <f>IF(Casos!$A$62="","",N(Casos!$F$62))</f>
        <v/>
      </c>
      <c r="J89" s="27">
        <f>IF(OR(Casos!$A$62="",D89="Interno"),"",I89-H89)</f>
        <v/>
      </c>
      <c r="K89" s="28">
        <f>IF(OR(Casos!$A$62="",D89="Interno",I89=0),"",J89/I89)</f>
        <v/>
      </c>
      <c r="L89" s="23">
        <f>IF(Casos!$A$62="","",IF(D89="Interno","Interno",IF(F89=0,"Sem horas",IF(H89&gt;I89,"Consome mais do que paga",IF(AND(G89&lt;&gt;"",G89&gt;1),"Estourou as horas",IF(AND(K89&lt;&gt;"",K89&lt;0.2),"Margem baixa",IF(AND(G89&lt;&gt;"",G89&gt;0.85),"Perto do limite","Saudável")))))))</f>
        <v/>
      </c>
      <c r="M89" s="37">
        <f>IF(OR(L89="Consome mais do que paga",L89="Margem baixa",L89="Estourou as horas"),IFERROR(H89/I89,9)+ROW()/1000000,0)</f>
        <v/>
      </c>
    </row>
    <row r="90">
      <c r="A90" s="24">
        <f>IF(Casos!$A$63="","",Casos!$A$63)</f>
        <v/>
      </c>
      <c r="B90" s="24">
        <f>IF(Casos!$A$63="","",Casos!$B$63)</f>
        <v/>
      </c>
      <c r="C90" s="23">
        <f>IF(Casos!$A$63="","",Casos!$D$63)</f>
        <v/>
      </c>
      <c r="D90" s="23">
        <f>IF(Casos!$A$63="","",Casos!$E$63)</f>
        <v/>
      </c>
      <c r="E90" s="25">
        <f>IF(Casos!$A$63="","",N(Casos!$G$63))</f>
        <v/>
      </c>
      <c r="F90" s="26">
        <f>IF(Casos!$A$63="","",N(Casos!$H$63)+SUMIFS(Lançamentos!$E$5:$E$604,Lançamentos!$C$5:$C$604,Casos!$A$63))</f>
        <v/>
      </c>
      <c r="G90" s="28">
        <f>IF(OR(Casos!$A$63="",E90=0),"",F90/E90)</f>
        <v/>
      </c>
      <c r="H90" s="27">
        <f>IF(Casos!$A$63="","",N(Casos!$H$63)*Config!$B$23+SUMIFS(Lançamentos!$H$5:$H$604,Lançamentos!$C$5:$C$604,Casos!$A$63))</f>
        <v/>
      </c>
      <c r="I90" s="27">
        <f>IF(Casos!$A$63="","",N(Casos!$F$63))</f>
        <v/>
      </c>
      <c r="J90" s="27">
        <f>IF(OR(Casos!$A$63="",D90="Interno"),"",I90-H90)</f>
        <v/>
      </c>
      <c r="K90" s="28">
        <f>IF(OR(Casos!$A$63="",D90="Interno",I90=0),"",J90/I90)</f>
        <v/>
      </c>
      <c r="L90" s="23">
        <f>IF(Casos!$A$63="","",IF(D90="Interno","Interno",IF(F90=0,"Sem horas",IF(H90&gt;I90,"Consome mais do que paga",IF(AND(G90&lt;&gt;"",G90&gt;1),"Estourou as horas",IF(AND(K90&lt;&gt;"",K90&lt;0.2),"Margem baixa",IF(AND(G90&lt;&gt;"",G90&gt;0.85),"Perto do limite","Saudável")))))))</f>
        <v/>
      </c>
      <c r="M90" s="37">
        <f>IF(OR(L90="Consome mais do que paga",L90="Margem baixa",L90="Estourou as horas"),IFERROR(H90/I90,9)+ROW()/1000000,0)</f>
        <v/>
      </c>
    </row>
    <row r="91">
      <c r="A91" s="24">
        <f>IF(Casos!$A$64="","",Casos!$A$64)</f>
        <v/>
      </c>
      <c r="B91" s="24">
        <f>IF(Casos!$A$64="","",Casos!$B$64)</f>
        <v/>
      </c>
      <c r="C91" s="23">
        <f>IF(Casos!$A$64="","",Casos!$D$64)</f>
        <v/>
      </c>
      <c r="D91" s="23">
        <f>IF(Casos!$A$64="","",Casos!$E$64)</f>
        <v/>
      </c>
      <c r="E91" s="25">
        <f>IF(Casos!$A$64="","",N(Casos!$G$64))</f>
        <v/>
      </c>
      <c r="F91" s="26">
        <f>IF(Casos!$A$64="","",N(Casos!$H$64)+SUMIFS(Lançamentos!$E$5:$E$604,Lançamentos!$C$5:$C$604,Casos!$A$64))</f>
        <v/>
      </c>
      <c r="G91" s="28">
        <f>IF(OR(Casos!$A$64="",E91=0),"",F91/E91)</f>
        <v/>
      </c>
      <c r="H91" s="27">
        <f>IF(Casos!$A$64="","",N(Casos!$H$64)*Config!$B$23+SUMIFS(Lançamentos!$H$5:$H$604,Lançamentos!$C$5:$C$604,Casos!$A$64))</f>
        <v/>
      </c>
      <c r="I91" s="27">
        <f>IF(Casos!$A$64="","",N(Casos!$F$64))</f>
        <v/>
      </c>
      <c r="J91" s="27">
        <f>IF(OR(Casos!$A$64="",D91="Interno"),"",I91-H91)</f>
        <v/>
      </c>
      <c r="K91" s="28">
        <f>IF(OR(Casos!$A$64="",D91="Interno",I91=0),"",J91/I91)</f>
        <v/>
      </c>
      <c r="L91" s="23">
        <f>IF(Casos!$A$64="","",IF(D91="Interno","Interno",IF(F91=0,"Sem horas",IF(H91&gt;I91,"Consome mais do que paga",IF(AND(G91&lt;&gt;"",G91&gt;1),"Estourou as horas",IF(AND(K91&lt;&gt;"",K91&lt;0.2),"Margem baixa",IF(AND(G91&lt;&gt;"",G91&gt;0.85),"Perto do limite","Saudável")))))))</f>
        <v/>
      </c>
      <c r="M91" s="37">
        <f>IF(OR(L91="Consome mais do que paga",L91="Margem baixa",L91="Estourou as horas"),IFERROR(H91/I91,9)+ROW()/1000000,0)</f>
        <v/>
      </c>
    </row>
    <row r="93">
      <c r="A93" s="20" t="inlineStr">
        <is>
          <t>Semáforo: Consome mais do que paga = custo das horas maior que o contratado. Estourou as horas = gastas acima das estimadas. Margem baixa = menos de 20%. Perto do limite = mais de 85% das horas estimadas. Em caso por êxito, o contratado é o honorário esperado no fim.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4">
    <mergeCell ref="A4:B4"/>
    <mergeCell ref="G4:H4"/>
    <mergeCell ref="A2:L2"/>
    <mergeCell ref="E4:F4"/>
    <mergeCell ref="I4:J4"/>
    <mergeCell ref="A7:L7"/>
    <mergeCell ref="A10:L10"/>
    <mergeCell ref="A1:L1"/>
    <mergeCell ref="C5:D5"/>
    <mergeCell ref="A5:B5"/>
    <mergeCell ref="G5:H5"/>
    <mergeCell ref="E5:F5"/>
    <mergeCell ref="I5:J5"/>
    <mergeCell ref="C4:D4"/>
  </mergeCells>
  <conditionalFormatting sqref="A12:J19">
    <cfRule type="expression" priority="1" dxfId="0">
      <formula>$J12="Consome mais do que paga"</formula>
    </cfRule>
    <cfRule type="expression" priority="2" dxfId="1">
      <formula>OR($J12="Margem baixa",$J12="Estourou as horas")</formula>
    </cfRule>
  </conditionalFormatting>
  <conditionalFormatting sqref="F23:F32">
    <cfRule type="expression" priority="3" dxfId="2">
      <formula>AND(ISNUMBER(F23),F23&gt;1.1)</formula>
    </cfRule>
    <cfRule type="expression" priority="4" dxfId="1">
      <formula>AND(ISNUMBER(F23),F23&lt;0.6)</formula>
    </cfRule>
  </conditionalFormatting>
  <conditionalFormatting sqref="L32:L91">
    <cfRule type="expression" priority="5" dxfId="2">
      <formula>L32="Consome mais do que paga"</formula>
    </cfRule>
    <cfRule type="expression" priority="6" dxfId="1">
      <formula>OR(L32="Margem baixa",L32="Estourou as horas")</formula>
    </cfRule>
    <cfRule type="expression" priority="7" dxfId="1">
      <formula>L32="Perto do limite"</formula>
    </cfRule>
    <cfRule type="expression" priority="8" dxfId="3">
      <formula>L32="Saudável"</formula>
    </cfRule>
  </conditionalFormatting>
  <conditionalFormatting sqref="J32:J91">
    <cfRule type="expression" priority="9" dxfId="4">
      <formula>AND(ISNUMBER(J32),J32&lt;0)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4" customWidth="1" min="3" max="3"/>
    <col width="16" customWidth="1" min="4" max="4"/>
    <col width="3" customWidth="1" min="5" max="5"/>
    <col width="30" customWidth="1" min="6" max="6"/>
    <col width="3" customWidth="1" min="7" max="7"/>
    <col width="12" customWidth="1" min="8" max="8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Custo-hora de cada pessoa = custo mensal ÷ horas faturáveis + rateio dos custos fixos por hora.</t>
        </is>
      </c>
    </row>
    <row r="4">
      <c r="A4" s="38" t="inlineStr">
        <is>
          <t>Escritório</t>
        </is>
      </c>
      <c r="B4" s="39" t="inlineStr">
        <is>
          <t>Ferraz &amp; Lima Advocacia (exemplo fictício)</t>
        </is>
      </c>
      <c r="H4" s="38" t="inlineStr">
        <is>
          <t>Meses</t>
        </is>
      </c>
    </row>
    <row r="5">
      <c r="A5" s="38" t="inlineStr">
        <is>
          <t>Ano</t>
        </is>
      </c>
      <c r="B5" s="40" t="n">
        <v>2026</v>
      </c>
      <c r="H5" s="41" t="inlineStr">
        <is>
          <t>Janeiro</t>
        </is>
      </c>
    </row>
    <row r="6">
      <c r="A6" s="38" t="inlineStr">
        <is>
          <t>Mês do painel</t>
        </is>
      </c>
      <c r="B6" s="40" t="inlineStr">
        <is>
          <t>Agosto</t>
        </is>
      </c>
      <c r="H6" s="41" t="inlineStr">
        <is>
          <t>Fevereiro</t>
        </is>
      </c>
    </row>
    <row r="7">
      <c r="A7" s="38" t="inlineStr">
        <is>
          <t>Número do mês</t>
        </is>
      </c>
      <c r="B7" s="23">
        <f>MATCH(B6,$H$5:$H$16,0)</f>
        <v/>
      </c>
      <c r="H7" s="41" t="inlineStr">
        <is>
          <t>Março</t>
        </is>
      </c>
    </row>
    <row r="8">
      <c r="A8" s="38" t="inlineStr">
        <is>
          <t>Custos fixos mensais, sem a equipe (R$)</t>
        </is>
      </c>
      <c r="B8" s="42" t="n">
        <v>5100</v>
      </c>
      <c r="C8" s="20" t="inlineStr">
        <is>
          <t>Copie da planilha 05 (Custo-hora): aluguel, contador, sistemas, telefone, anuidades, marketing e outros. Sem pró-labore e sem salários.</t>
        </is>
      </c>
      <c r="H8" s="41" t="inlineStr">
        <is>
          <t>Abril</t>
        </is>
      </c>
    </row>
    <row r="9">
      <c r="H9" s="41" t="inlineStr">
        <is>
          <t>Maio</t>
        </is>
      </c>
    </row>
    <row r="10">
      <c r="A10" s="38" t="inlineStr">
        <is>
          <t>Pessoas (até 10)</t>
        </is>
      </c>
      <c r="H10" s="41" t="inlineStr">
        <is>
          <t>Junho</t>
        </is>
      </c>
    </row>
    <row r="11" ht="26" customHeight="1">
      <c r="A11" s="22" t="inlineStr">
        <is>
          <t>Pessoa</t>
        </is>
      </c>
      <c r="B11" s="22" t="inlineStr">
        <is>
          <t>Custo mensal (R$)</t>
        </is>
      </c>
      <c r="C11" s="22" t="inlineStr">
        <is>
          <t>Horas faturáveis por mês (meta)</t>
        </is>
      </c>
      <c r="D11" s="22" t="inlineStr">
        <is>
          <t>Custo-hora (R$)</t>
        </is>
      </c>
      <c r="F11" s="22" t="inlineStr">
        <is>
          <t>Atividades (até 12)</t>
        </is>
      </c>
      <c r="H11" s="41" t="inlineStr">
        <is>
          <t>Julho</t>
        </is>
      </c>
    </row>
    <row r="12">
      <c r="A12" s="39" t="inlineStr">
        <is>
          <t>Marina Ferraz</t>
        </is>
      </c>
      <c r="B12" s="43" t="n">
        <v>6000</v>
      </c>
      <c r="C12" s="40" t="n">
        <v>110</v>
      </c>
      <c r="D12" s="29">
        <f>IF(OR(A12="",C12=0,C12=""),"",B12/C12+IFERROR($B$8/SUM($C$12:$C$21),0))</f>
        <v/>
      </c>
      <c r="F12" s="39" t="inlineStr">
        <is>
          <t>Reunião com cliente</t>
        </is>
      </c>
      <c r="H12" s="41" t="inlineStr">
        <is>
          <t>Agosto</t>
        </is>
      </c>
    </row>
    <row r="13">
      <c r="A13" s="39" t="inlineStr">
        <is>
          <t>Rafael Lima</t>
        </is>
      </c>
      <c r="B13" s="43" t="n">
        <v>6000</v>
      </c>
      <c r="C13" s="40" t="n">
        <v>110</v>
      </c>
      <c r="D13" s="29">
        <f>IF(OR(A13="",C13=0,C13=""),"",B13/C13+IFERROR($B$8/SUM($C$12:$C$21),0))</f>
        <v/>
      </c>
      <c r="F13" s="39" t="inlineStr">
        <is>
          <t>Audiência</t>
        </is>
      </c>
      <c r="H13" s="41" t="inlineStr">
        <is>
          <t>Setembro</t>
        </is>
      </c>
    </row>
    <row r="14">
      <c r="A14" s="39" t="inlineStr">
        <is>
          <t>Júlia Prado</t>
        </is>
      </c>
      <c r="B14" s="43" t="n">
        <v>1400</v>
      </c>
      <c r="C14" s="40" t="n">
        <v>60</v>
      </c>
      <c r="D14" s="29">
        <f>IF(OR(A14="",C14=0,C14=""),"",B14/C14+IFERROR($B$8/SUM($C$12:$C$21),0))</f>
        <v/>
      </c>
      <c r="F14" s="39" t="inlineStr">
        <is>
          <t>Elaboração de documento</t>
        </is>
      </c>
      <c r="H14" s="41" t="inlineStr">
        <is>
          <t>Outubro</t>
        </is>
      </c>
    </row>
    <row r="15">
      <c r="A15" s="39" t="n"/>
      <c r="B15" s="43" t="n"/>
      <c r="C15" s="40" t="n"/>
      <c r="D15" s="29">
        <f>IF(OR(A15="",C15=0,C15=""),"",B15/C15+IFERROR($B$8/SUM($C$12:$C$21),0))</f>
        <v/>
      </c>
      <c r="F15" s="39" t="inlineStr">
        <is>
          <t>Pesquisa e estudo do caso</t>
        </is>
      </c>
      <c r="H15" s="41" t="inlineStr">
        <is>
          <t>Novembro</t>
        </is>
      </c>
    </row>
    <row r="16">
      <c r="A16" s="39" t="n"/>
      <c r="B16" s="43" t="n"/>
      <c r="C16" s="40" t="n"/>
      <c r="D16" s="29">
        <f>IF(OR(A16="",C16=0,C16=""),"",B16/C16+IFERROR($B$8/SUM($C$12:$C$21),0))</f>
        <v/>
      </c>
      <c r="F16" s="39" t="inlineStr">
        <is>
          <t>Análise de documentos</t>
        </is>
      </c>
      <c r="H16" s="41" t="inlineStr">
        <is>
          <t>Dezembro</t>
        </is>
      </c>
    </row>
    <row r="17">
      <c r="A17" s="39" t="n"/>
      <c r="B17" s="43" t="n"/>
      <c r="C17" s="40" t="n"/>
      <c r="D17" s="29">
        <f>IF(OR(A17="",C17=0,C17=""),"",B17/C17+IFERROR($B$8/SUM($C$12:$C$21),0))</f>
        <v/>
      </c>
      <c r="F17" s="39" t="inlineStr">
        <is>
          <t>Atendimento por telefone ou WhatsApp</t>
        </is>
      </c>
    </row>
    <row r="18">
      <c r="A18" s="39" t="n"/>
      <c r="B18" s="43" t="n"/>
      <c r="C18" s="40" t="n"/>
      <c r="D18" s="29">
        <f>IF(OR(A18="",C18=0,C18=""),"",B18/C18+IFERROR($B$8/SUM($C$12:$C$21),0))</f>
        <v/>
      </c>
      <c r="F18" s="39" t="inlineStr">
        <is>
          <t>Diligência externa</t>
        </is>
      </c>
    </row>
    <row r="19">
      <c r="A19" s="39" t="n"/>
      <c r="B19" s="43" t="n"/>
      <c r="C19" s="40" t="n"/>
      <c r="D19" s="29">
        <f>IF(OR(A19="",C19=0,C19=""),"",B19/C19+IFERROR($B$8/SUM($C$12:$C$21),0))</f>
        <v/>
      </c>
      <c r="F19" s="39" t="inlineStr">
        <is>
          <t>Deslocamento</t>
        </is>
      </c>
    </row>
    <row r="20">
      <c r="A20" s="39" t="n"/>
      <c r="B20" s="43" t="n"/>
      <c r="C20" s="40" t="n"/>
      <c r="D20" s="29">
        <f>IF(OR(A20="",C20=0,C20=""),"",B20/C20+IFERROR($B$8/SUM($C$12:$C$21),0))</f>
        <v/>
      </c>
      <c r="F20" s="39" t="inlineStr">
        <is>
          <t>Administrativo do caso</t>
        </is>
      </c>
    </row>
    <row r="21">
      <c r="A21" s="39" t="n"/>
      <c r="B21" s="43" t="n"/>
      <c r="C21" s="40" t="n"/>
      <c r="D21" s="29">
        <f>IF(OR(A21="",C21=0,C21=""),"",B21/C21+IFERROR($B$8/SUM($C$12:$C$21),0))</f>
        <v/>
      </c>
      <c r="F21" s="39" t="inlineStr">
        <is>
          <t>Gestão do escritório</t>
        </is>
      </c>
    </row>
    <row r="22">
      <c r="F22" s="39" t="inlineStr">
        <is>
          <t>Captação e propostas</t>
        </is>
      </c>
    </row>
    <row r="23">
      <c r="A23" s="38" t="inlineStr">
        <is>
          <t>Custo-hora médio do escritório (R$)</t>
        </is>
      </c>
      <c r="B23" s="29">
        <f>IFERROR(($B$8+SUMIFS($B$12:$B$21,$A$12:$A$21,"&lt;&gt;"))/SUM($C$12:$C$21),0)</f>
        <v/>
      </c>
      <c r="F23" s="39" t="n"/>
    </row>
    <row r="24">
      <c r="F24" s="20" t="inlineStr">
        <is>
          <t>Preencha de cima para baixo, sem pular linha.</t>
        </is>
      </c>
    </row>
    <row r="26" ht="42" customHeight="1">
      <c r="A26" s="44" t="inlineStr">
        <is>
          <t>Custo mensal: pró-labore do sócio, ou salário mais encargos, ou a bolsa. Horas faturáveis por mês: quantas horas a pessoa consegue dedicar a casos (110 para um sócio que também administra; 60 para estagiário). O custo-hora médio vale para as horas lançadas antes de começar a usar esta planilha.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26:H26"/>
    <mergeCell ref="A2:H2"/>
    <mergeCell ref="A1:H1"/>
  </mergeCells>
  <dataValidations count="1">
    <dataValidation sqref="B6" showDropDown="0" showInputMessage="0" showErrorMessage="1" allowBlank="1" type="list">
      <formula1>=Config!$H$5:$H$16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16" customWidth="1" min="4" max="4"/>
    <col width="12" customWidth="1" min="5" max="5"/>
    <col width="16" customWidth="1" min="6" max="6"/>
    <col width="11" customWidth="1" min="7" max="7"/>
    <col width="18" customWidth="1" min="8" max="8"/>
    <col width="12" customWidth="1" min="9" max="9"/>
  </cols>
  <sheetData>
    <row r="1" ht="28" customHeight="1">
      <c r="A1" s="5" t="inlineStr">
        <is>
          <t>Casos (entrada)</t>
        </is>
      </c>
    </row>
    <row r="2">
      <c r="A2" s="6" t="inlineStr">
        <is>
          <t>Copie daqui da planilha 13 (Carteira): número, cliente, responsável, modalidade, valor e horas estimadas. Trabalho interno entra como modalidade Interno.</t>
        </is>
      </c>
    </row>
    <row r="4" ht="26" customHeight="1">
      <c r="A4" s="22" t="inlineStr">
        <is>
          <t>Número do processo ou referência</t>
        </is>
      </c>
      <c r="B4" s="22" t="inlineStr">
        <is>
          <t>Cliente</t>
        </is>
      </c>
      <c r="C4" s="22" t="inlineStr">
        <is>
          <t>Área</t>
        </is>
      </c>
      <c r="D4" s="22" t="inlineStr">
        <is>
          <t>Responsável</t>
        </is>
      </c>
      <c r="E4" s="22" t="inlineStr">
        <is>
          <t>Modalidade</t>
        </is>
      </c>
      <c r="F4" s="22" t="inlineStr">
        <is>
          <t>Valor contratado (R$)</t>
        </is>
      </c>
      <c r="G4" s="22" t="inlineStr">
        <is>
          <t>Horas estimadas</t>
        </is>
      </c>
      <c r="H4" s="22" t="inlineStr">
        <is>
          <t>Horas gastas antes de usar esta planilha</t>
        </is>
      </c>
      <c r="I4" s="22" t="inlineStr">
        <is>
          <t>Fase</t>
        </is>
      </c>
    </row>
    <row r="5">
      <c r="A5" s="39" t="inlineStr">
        <is>
          <t>9236009-85.2026.8.26.0452</t>
        </is>
      </c>
      <c r="B5" s="39" t="inlineStr">
        <is>
          <t>Padaria do Sol Ltda</t>
        </is>
      </c>
      <c r="C5" s="40" t="inlineStr">
        <is>
          <t>Empresarial</t>
        </is>
      </c>
      <c r="D5" s="40" t="inlineStr">
        <is>
          <t>Marina Ferraz</t>
        </is>
      </c>
      <c r="E5" s="40" t="inlineStr">
        <is>
          <t>Êxito</t>
        </is>
      </c>
      <c r="F5" s="42" t="n">
        <v>14400</v>
      </c>
      <c r="G5" s="45" t="n">
        <v>63</v>
      </c>
      <c r="H5" s="46" t="n">
        <v>36.5</v>
      </c>
      <c r="I5" s="40" t="inlineStr">
        <is>
          <t>Inicial</t>
        </is>
      </c>
    </row>
    <row r="6">
      <c r="A6" s="39" t="inlineStr">
        <is>
          <t>9225646-96.2026.8.26.0322</t>
        </is>
      </c>
      <c r="B6" s="39" t="inlineStr">
        <is>
          <t>Ana Beatriz Moreira</t>
        </is>
      </c>
      <c r="C6" s="40" t="inlineStr">
        <is>
          <t>Trabalhista</t>
        </is>
      </c>
      <c r="D6" s="40" t="inlineStr">
        <is>
          <t>Rafael Lima</t>
        </is>
      </c>
      <c r="E6" s="40" t="inlineStr">
        <is>
          <t>Fixo</t>
        </is>
      </c>
      <c r="F6" s="42" t="n">
        <v>8000</v>
      </c>
      <c r="G6" s="45" t="n">
        <v>42</v>
      </c>
      <c r="H6" s="46" t="n">
        <v>24</v>
      </c>
      <c r="I6" s="40" t="inlineStr">
        <is>
          <t>Sentença</t>
        </is>
      </c>
    </row>
    <row r="7">
      <c r="A7" s="39" t="inlineStr">
        <is>
          <t>6710873-21.2025.8.26.0571</t>
        </is>
      </c>
      <c r="B7" s="39" t="inlineStr">
        <is>
          <t>Construtora Horizonte</t>
        </is>
      </c>
      <c r="C7" s="40" t="inlineStr">
        <is>
          <t>Cível</t>
        </is>
      </c>
      <c r="D7" s="40" t="inlineStr">
        <is>
          <t>Marina Ferraz</t>
        </is>
      </c>
      <c r="E7" s="40" t="inlineStr">
        <is>
          <t>Misto</t>
        </is>
      </c>
      <c r="F7" s="42" t="n">
        <v>8100</v>
      </c>
      <c r="G7" s="45" t="n">
        <v>45</v>
      </c>
      <c r="H7" s="46" t="n">
        <v>48.5</v>
      </c>
      <c r="I7" s="40" t="inlineStr">
        <is>
          <t>Sentença</t>
        </is>
      </c>
    </row>
    <row r="8">
      <c r="A8" s="39" t="inlineStr">
        <is>
          <t>8735513-64.2025.8.26.0093</t>
        </is>
      </c>
      <c r="B8" s="39" t="inlineStr">
        <is>
          <t>Carlos Eduardo Nunes</t>
        </is>
      </c>
      <c r="C8" s="40" t="inlineStr">
        <is>
          <t>Previdenciário</t>
        </is>
      </c>
      <c r="D8" s="40" t="inlineStr">
        <is>
          <t>Rafael Lima</t>
        </is>
      </c>
      <c r="E8" s="40" t="inlineStr">
        <is>
          <t>Êxito</t>
        </is>
      </c>
      <c r="F8" s="42" t="n">
        <v>5700</v>
      </c>
      <c r="G8" s="45" t="n">
        <v>25</v>
      </c>
      <c r="H8" s="46" t="n">
        <v>22.5</v>
      </c>
      <c r="I8" s="40" t="inlineStr">
        <is>
          <t>Recurso</t>
        </is>
      </c>
    </row>
    <row r="9">
      <c r="A9" s="39" t="inlineStr">
        <is>
          <t>9802211-43.2025.8.26.0431</t>
        </is>
      </c>
      <c r="B9" s="39" t="inlineStr">
        <is>
          <t>Loja Verde Comércio</t>
        </is>
      </c>
      <c r="C9" s="40" t="inlineStr">
        <is>
          <t>Empresarial</t>
        </is>
      </c>
      <c r="D9" s="40" t="inlineStr">
        <is>
          <t>Marina Ferraz</t>
        </is>
      </c>
      <c r="E9" s="40" t="inlineStr">
        <is>
          <t>Misto</t>
        </is>
      </c>
      <c r="F9" s="42" t="n">
        <v>19600</v>
      </c>
      <c r="G9" s="45" t="n">
        <v>91</v>
      </c>
      <c r="H9" s="46" t="n">
        <v>84.5</v>
      </c>
      <c r="I9" s="40" t="inlineStr">
        <is>
          <t>Acordo</t>
        </is>
      </c>
    </row>
    <row r="10">
      <c r="A10" s="39" t="inlineStr">
        <is>
          <t>9778116-95.2026.8.26.0106</t>
        </is>
      </c>
      <c r="B10" s="39" t="inlineStr">
        <is>
          <t>Fernanda Castro</t>
        </is>
      </c>
      <c r="C10" s="40" t="inlineStr">
        <is>
          <t>Família</t>
        </is>
      </c>
      <c r="D10" s="40" t="inlineStr">
        <is>
          <t>Marina Ferraz</t>
        </is>
      </c>
      <c r="E10" s="40" t="inlineStr">
        <is>
          <t>Fixo</t>
        </is>
      </c>
      <c r="F10" s="42" t="n">
        <v>9000</v>
      </c>
      <c r="G10" s="45" t="n">
        <v>38</v>
      </c>
      <c r="H10" s="46" t="n">
        <v>32.5</v>
      </c>
      <c r="I10" s="40" t="inlineStr">
        <is>
          <t>Encerrado</t>
        </is>
      </c>
    </row>
    <row r="11">
      <c r="A11" s="39" t="inlineStr">
        <is>
          <t>8875326-79.2026.8.26.0258</t>
        </is>
      </c>
      <c r="B11" s="39" t="inlineStr">
        <is>
          <t>Bistrô 42</t>
        </is>
      </c>
      <c r="C11" s="40" t="inlineStr">
        <is>
          <t>Trabalhista</t>
        </is>
      </c>
      <c r="D11" s="40" t="inlineStr">
        <is>
          <t>Rafael Lima</t>
        </is>
      </c>
      <c r="E11" s="40" t="inlineStr">
        <is>
          <t>Misto</t>
        </is>
      </c>
      <c r="F11" s="42" t="n">
        <v>4600</v>
      </c>
      <c r="G11" s="45" t="n">
        <v>24</v>
      </c>
      <c r="H11" s="46" t="n">
        <v>15.5</v>
      </c>
      <c r="I11" s="40" t="inlineStr">
        <is>
          <t>Acordo</t>
        </is>
      </c>
    </row>
    <row r="12">
      <c r="A12" s="39" t="inlineStr">
        <is>
          <t>4397912-47.2025.8.26.0276</t>
        </is>
      </c>
      <c r="B12" s="39" t="inlineStr">
        <is>
          <t>Roberto Almeida</t>
        </is>
      </c>
      <c r="C12" s="40" t="inlineStr">
        <is>
          <t>Cível</t>
        </is>
      </c>
      <c r="D12" s="40" t="inlineStr">
        <is>
          <t>Marina Ferraz</t>
        </is>
      </c>
      <c r="E12" s="40" t="inlineStr">
        <is>
          <t>Êxito</t>
        </is>
      </c>
      <c r="F12" s="42" t="n">
        <v>11300</v>
      </c>
      <c r="G12" s="45" t="n">
        <v>60</v>
      </c>
      <c r="H12" s="46" t="n">
        <v>57</v>
      </c>
      <c r="I12" s="40" t="inlineStr">
        <is>
          <t>Acordo</t>
        </is>
      </c>
    </row>
    <row r="13">
      <c r="A13" s="39" t="inlineStr">
        <is>
          <t>4352718-43.2025.8.26.0498</t>
        </is>
      </c>
      <c r="B13" s="39" t="inlineStr">
        <is>
          <t>Clínica Bem-Estar</t>
        </is>
      </c>
      <c r="C13" s="40" t="inlineStr">
        <is>
          <t>Empresarial</t>
        </is>
      </c>
      <c r="D13" s="40" t="inlineStr">
        <is>
          <t>Marina Ferraz</t>
        </is>
      </c>
      <c r="E13" s="40" t="inlineStr">
        <is>
          <t>Fixo</t>
        </is>
      </c>
      <c r="F13" s="42" t="n">
        <v>9300</v>
      </c>
      <c r="G13" s="45" t="n">
        <v>54</v>
      </c>
      <c r="H13" s="46" t="n">
        <v>8</v>
      </c>
      <c r="I13" s="40" t="inlineStr">
        <is>
          <t>Consultivo</t>
        </is>
      </c>
    </row>
    <row r="14">
      <c r="A14" s="39" t="inlineStr">
        <is>
          <t>2650441-66.2026.8.26.0528</t>
        </is>
      </c>
      <c r="B14" s="39" t="inlineStr">
        <is>
          <t>Marcos Vinícius Teles</t>
        </is>
      </c>
      <c r="C14" s="40" t="inlineStr">
        <is>
          <t>Previdenciário</t>
        </is>
      </c>
      <c r="D14" s="40" t="inlineStr">
        <is>
          <t>Rafael Lima</t>
        </is>
      </c>
      <c r="E14" s="40" t="inlineStr">
        <is>
          <t>Misto</t>
        </is>
      </c>
      <c r="F14" s="42" t="n">
        <v>7800</v>
      </c>
      <c r="G14" s="45" t="n">
        <v>41</v>
      </c>
      <c r="H14" s="46" t="n">
        <v>3.5</v>
      </c>
      <c r="I14" s="40" t="inlineStr">
        <is>
          <t>Encerrado</t>
        </is>
      </c>
    </row>
    <row r="15">
      <c r="A15" s="39" t="inlineStr">
        <is>
          <t>5470559-73.2026.8.26.0380</t>
        </is>
      </c>
      <c r="B15" s="39" t="inlineStr">
        <is>
          <t>Transportadora Rota Sul</t>
        </is>
      </c>
      <c r="C15" s="40" t="inlineStr">
        <is>
          <t>Trabalhista</t>
        </is>
      </c>
      <c r="D15" s="40" t="inlineStr">
        <is>
          <t>Rafael Lima</t>
        </is>
      </c>
      <c r="E15" s="40" t="inlineStr">
        <is>
          <t>Misto</t>
        </is>
      </c>
      <c r="F15" s="42" t="n">
        <v>10200</v>
      </c>
      <c r="G15" s="45" t="n">
        <v>54</v>
      </c>
      <c r="H15" s="46" t="n">
        <v>41.5</v>
      </c>
      <c r="I15" s="40" t="inlineStr">
        <is>
          <t>Recurso</t>
        </is>
      </c>
    </row>
    <row r="16">
      <c r="A16" s="39" t="inlineStr">
        <is>
          <t>8570388-84.2025.8.26.0560</t>
        </is>
      </c>
      <c r="B16" s="39" t="inlineStr">
        <is>
          <t>Patrícia Gomes</t>
        </is>
      </c>
      <c r="C16" s="40" t="inlineStr">
        <is>
          <t>Família</t>
        </is>
      </c>
      <c r="D16" s="40" t="inlineStr">
        <is>
          <t>Marina Ferraz</t>
        </is>
      </c>
      <c r="E16" s="40" t="inlineStr">
        <is>
          <t>Hora</t>
        </is>
      </c>
      <c r="F16" s="42" t="n">
        <v>10400</v>
      </c>
      <c r="G16" s="45" t="n">
        <v>46</v>
      </c>
      <c r="H16" s="46" t="n">
        <v>26.5</v>
      </c>
      <c r="I16" s="40" t="inlineStr">
        <is>
          <t>Inicial</t>
        </is>
      </c>
    </row>
    <row r="17">
      <c r="A17" s="39" t="inlineStr">
        <is>
          <t>6258696-95.2026.8.26.0598</t>
        </is>
      </c>
      <c r="B17" s="39" t="inlineStr">
        <is>
          <t>Escola Aurora</t>
        </is>
      </c>
      <c r="C17" s="40" t="inlineStr">
        <is>
          <t>Cível</t>
        </is>
      </c>
      <c r="D17" s="40" t="inlineStr">
        <is>
          <t>Marina Ferraz</t>
        </is>
      </c>
      <c r="E17" s="40" t="inlineStr">
        <is>
          <t>Hora</t>
        </is>
      </c>
      <c r="F17" s="42" t="n">
        <v>8000</v>
      </c>
      <c r="G17" s="45" t="n">
        <v>50</v>
      </c>
      <c r="H17" s="46" t="n">
        <v>9.5</v>
      </c>
      <c r="I17" s="40" t="inlineStr">
        <is>
          <t>Inicial</t>
        </is>
      </c>
    </row>
    <row r="18">
      <c r="A18" s="39" t="inlineStr">
        <is>
          <t>9467819-47.2025.8.26.0087</t>
        </is>
      </c>
      <c r="B18" s="39" t="inlineStr">
        <is>
          <t>José Antônio Ribeiro</t>
        </is>
      </c>
      <c r="C18" s="40" t="inlineStr">
        <is>
          <t>Previdenciário</t>
        </is>
      </c>
      <c r="D18" s="40" t="inlineStr">
        <is>
          <t>Rafael Lima</t>
        </is>
      </c>
      <c r="E18" s="40" t="inlineStr">
        <is>
          <t>Hora</t>
        </is>
      </c>
      <c r="F18" s="42" t="n">
        <v>6200</v>
      </c>
      <c r="G18" s="45" t="n">
        <v>45</v>
      </c>
      <c r="H18" s="46" t="n">
        <v>15</v>
      </c>
      <c r="I18" s="40" t="inlineStr">
        <is>
          <t>Encerrado</t>
        </is>
      </c>
    </row>
    <row r="19">
      <c r="A19" s="39" t="inlineStr">
        <is>
          <t>4300029-58.2025.8.26.0015</t>
        </is>
      </c>
      <c r="B19" s="39" t="inlineStr">
        <is>
          <t>Oficina Mecânica Central</t>
        </is>
      </c>
      <c r="C19" s="40" t="inlineStr">
        <is>
          <t>Trabalhista</t>
        </is>
      </c>
      <c r="D19" s="40" t="inlineStr">
        <is>
          <t>Rafael Lima</t>
        </is>
      </c>
      <c r="E19" s="40" t="inlineStr">
        <is>
          <t>Hora</t>
        </is>
      </c>
      <c r="F19" s="42" t="n">
        <v>10300</v>
      </c>
      <c r="G19" s="45" t="n">
        <v>57</v>
      </c>
      <c r="H19" s="46" t="n">
        <v>30</v>
      </c>
      <c r="I19" s="40" t="inlineStr">
        <is>
          <t>Acordo</t>
        </is>
      </c>
    </row>
    <row r="20">
      <c r="A20" s="39" t="inlineStr">
        <is>
          <t>8986364-51.2026.8.26.0700</t>
        </is>
      </c>
      <c r="B20" s="39" t="inlineStr">
        <is>
          <t>Luciana Farias</t>
        </is>
      </c>
      <c r="C20" s="40" t="inlineStr">
        <is>
          <t>Cível</t>
        </is>
      </c>
      <c r="D20" s="40" t="inlineStr">
        <is>
          <t>Marina Ferraz</t>
        </is>
      </c>
      <c r="E20" s="40" t="inlineStr">
        <is>
          <t>Misto</t>
        </is>
      </c>
      <c r="F20" s="42" t="n">
        <v>14900</v>
      </c>
      <c r="G20" s="45" t="n">
        <v>69</v>
      </c>
      <c r="H20" s="46" t="n">
        <v>9.5</v>
      </c>
      <c r="I20" s="40" t="inlineStr">
        <is>
          <t>Inicial</t>
        </is>
      </c>
    </row>
    <row r="21">
      <c r="A21" s="39" t="inlineStr">
        <is>
          <t>9717671-36.2026.8.26.0445</t>
        </is>
      </c>
      <c r="B21" s="39" t="inlineStr">
        <is>
          <t>Agência Prisma</t>
        </is>
      </c>
      <c r="C21" s="40" t="inlineStr">
        <is>
          <t>Empresarial</t>
        </is>
      </c>
      <c r="D21" s="40" t="inlineStr">
        <is>
          <t>Marina Ferraz</t>
        </is>
      </c>
      <c r="E21" s="40" t="inlineStr">
        <is>
          <t>Misto</t>
        </is>
      </c>
      <c r="F21" s="42" t="n">
        <v>11800</v>
      </c>
      <c r="G21" s="45" t="n">
        <v>62</v>
      </c>
      <c r="H21" s="46" t="n">
        <v>43</v>
      </c>
      <c r="I21" s="40" t="inlineStr">
        <is>
          <t>Recurso</t>
        </is>
      </c>
    </row>
    <row r="22">
      <c r="A22" s="39" t="inlineStr">
        <is>
          <t>1808451-67.2026.8.26.0657</t>
        </is>
      </c>
      <c r="B22" s="39" t="inlineStr">
        <is>
          <t>Helena Duarte</t>
        </is>
      </c>
      <c r="C22" s="40" t="inlineStr">
        <is>
          <t>Trabalhista</t>
        </is>
      </c>
      <c r="D22" s="40" t="inlineStr">
        <is>
          <t>Rafael Lima</t>
        </is>
      </c>
      <c r="E22" s="40" t="inlineStr">
        <is>
          <t>Misto</t>
        </is>
      </c>
      <c r="F22" s="42" t="n">
        <v>7900</v>
      </c>
      <c r="G22" s="45" t="n">
        <v>50</v>
      </c>
      <c r="H22" s="46" t="n">
        <v>9.5</v>
      </c>
      <c r="I22" s="40" t="inlineStr">
        <is>
          <t>Execução</t>
        </is>
      </c>
    </row>
    <row r="23">
      <c r="A23" s="39" t="inlineStr">
        <is>
          <t>3310587-30.2026.8.26.0678</t>
        </is>
      </c>
      <c r="B23" s="39" t="inlineStr">
        <is>
          <t>Padaria do Sol Ltda</t>
        </is>
      </c>
      <c r="C23" s="40" t="inlineStr">
        <is>
          <t>Trabalhista</t>
        </is>
      </c>
      <c r="D23" s="40" t="inlineStr">
        <is>
          <t>Rafael Lima</t>
        </is>
      </c>
      <c r="E23" s="40" t="inlineStr">
        <is>
          <t>Fixo</t>
        </is>
      </c>
      <c r="F23" s="42" t="n">
        <v>4500</v>
      </c>
      <c r="G23" s="45" t="n">
        <v>37</v>
      </c>
      <c r="H23" s="46" t="n">
        <v>38</v>
      </c>
      <c r="I23" s="40" t="inlineStr">
        <is>
          <t>Encerrado</t>
        </is>
      </c>
    </row>
    <row r="24">
      <c r="A24" s="39" t="inlineStr">
        <is>
          <t>3930894-43.2025.8.26.0476</t>
        </is>
      </c>
      <c r="B24" s="39" t="inlineStr">
        <is>
          <t>Ana Beatriz Moreira</t>
        </is>
      </c>
      <c r="C24" s="40" t="inlineStr">
        <is>
          <t>Trabalhista</t>
        </is>
      </c>
      <c r="D24" s="40" t="inlineStr">
        <is>
          <t>Rafael Lima</t>
        </is>
      </c>
      <c r="E24" s="40" t="inlineStr">
        <is>
          <t>Êxito</t>
        </is>
      </c>
      <c r="F24" s="42" t="n">
        <v>6600</v>
      </c>
      <c r="G24" s="45" t="n">
        <v>30</v>
      </c>
      <c r="H24" s="46" t="n">
        <v>15.5</v>
      </c>
      <c r="I24" s="40" t="inlineStr">
        <is>
          <t>Acordo</t>
        </is>
      </c>
    </row>
    <row r="25">
      <c r="A25" s="39" t="inlineStr">
        <is>
          <t>9802987-45.2025.8.26.0097</t>
        </is>
      </c>
      <c r="B25" s="39" t="inlineStr">
        <is>
          <t>Construtora Horizonte</t>
        </is>
      </c>
      <c r="C25" s="40" t="inlineStr">
        <is>
          <t>Empresarial</t>
        </is>
      </c>
      <c r="D25" s="40" t="inlineStr">
        <is>
          <t>Marina Ferraz</t>
        </is>
      </c>
      <c r="E25" s="40" t="inlineStr">
        <is>
          <t>Êxito</t>
        </is>
      </c>
      <c r="F25" s="42" t="n">
        <v>13900</v>
      </c>
      <c r="G25" s="45" t="n">
        <v>70</v>
      </c>
      <c r="H25" s="46" t="n">
        <v>42</v>
      </c>
      <c r="I25" s="40" t="inlineStr">
        <is>
          <t>Acordo</t>
        </is>
      </c>
    </row>
    <row r="26">
      <c r="A26" s="39" t="inlineStr">
        <is>
          <t>6904743-30.2025.8.26.0361</t>
        </is>
      </c>
      <c r="B26" s="39" t="inlineStr">
        <is>
          <t>Carlos Eduardo Nunes</t>
        </is>
      </c>
      <c r="C26" s="40" t="inlineStr">
        <is>
          <t>Trabalhista</t>
        </is>
      </c>
      <c r="D26" s="40" t="inlineStr">
        <is>
          <t>Rafael Lima</t>
        </is>
      </c>
      <c r="E26" s="40" t="inlineStr">
        <is>
          <t>Fixo</t>
        </is>
      </c>
      <c r="F26" s="42" t="n">
        <v>10400</v>
      </c>
      <c r="G26" s="45" t="n">
        <v>62</v>
      </c>
      <c r="H26" s="46" t="n">
        <v>29.5</v>
      </c>
      <c r="I26" s="40" t="inlineStr">
        <is>
          <t>Sentença</t>
        </is>
      </c>
    </row>
    <row r="27">
      <c r="A27" s="39" t="inlineStr">
        <is>
          <t>5497983-95.2025.8.26.0570</t>
        </is>
      </c>
      <c r="B27" s="39" t="inlineStr">
        <is>
          <t>Loja Verde Comércio</t>
        </is>
      </c>
      <c r="C27" s="40" t="inlineStr">
        <is>
          <t>Família</t>
        </is>
      </c>
      <c r="D27" s="40" t="inlineStr">
        <is>
          <t>Marina Ferraz</t>
        </is>
      </c>
      <c r="E27" s="40" t="inlineStr">
        <is>
          <t>Fixo</t>
        </is>
      </c>
      <c r="F27" s="42" t="n">
        <v>9400</v>
      </c>
      <c r="G27" s="45" t="n">
        <v>55</v>
      </c>
      <c r="H27" s="46" t="n">
        <v>44.5</v>
      </c>
      <c r="I27" s="40" t="inlineStr">
        <is>
          <t>Sentença</t>
        </is>
      </c>
    </row>
    <row r="28">
      <c r="A28" s="39" t="inlineStr">
        <is>
          <t>4112092-92.2025.8.26.0646</t>
        </is>
      </c>
      <c r="B28" s="39" t="inlineStr">
        <is>
          <t>Fernanda Castro</t>
        </is>
      </c>
      <c r="C28" s="40" t="inlineStr">
        <is>
          <t>Trabalhista</t>
        </is>
      </c>
      <c r="D28" s="40" t="inlineStr">
        <is>
          <t>Rafael Lima</t>
        </is>
      </c>
      <c r="E28" s="40" t="inlineStr">
        <is>
          <t>Êxito</t>
        </is>
      </c>
      <c r="F28" s="42" t="n">
        <v>4200</v>
      </c>
      <c r="G28" s="45" t="n">
        <v>25</v>
      </c>
      <c r="H28" s="46" t="n">
        <v>6</v>
      </c>
      <c r="I28" s="40" t="inlineStr">
        <is>
          <t>Inicial</t>
        </is>
      </c>
    </row>
    <row r="29">
      <c r="A29" s="39" t="inlineStr">
        <is>
          <t>5297049-18.2026.8.26.0015</t>
        </is>
      </c>
      <c r="B29" s="39" t="inlineStr">
        <is>
          <t>Bistrô 42</t>
        </is>
      </c>
      <c r="C29" s="40" t="inlineStr">
        <is>
          <t>Cível</t>
        </is>
      </c>
      <c r="D29" s="40" t="inlineStr">
        <is>
          <t>Marina Ferraz</t>
        </is>
      </c>
      <c r="E29" s="40" t="inlineStr">
        <is>
          <t>Êxito</t>
        </is>
      </c>
      <c r="F29" s="42" t="n">
        <v>11700</v>
      </c>
      <c r="G29" s="45" t="n">
        <v>55</v>
      </c>
      <c r="H29" s="46" t="n">
        <v>17</v>
      </c>
      <c r="I29" s="40" t="inlineStr">
        <is>
          <t>Execução</t>
        </is>
      </c>
    </row>
    <row r="30">
      <c r="A30" s="39" t="inlineStr">
        <is>
          <t>6877173-50.2026.8.26.0467</t>
        </is>
      </c>
      <c r="B30" s="39" t="inlineStr">
        <is>
          <t>Roberto Almeida</t>
        </is>
      </c>
      <c r="C30" s="40" t="inlineStr">
        <is>
          <t>Empresarial</t>
        </is>
      </c>
      <c r="D30" s="40" t="inlineStr">
        <is>
          <t>Marina Ferraz</t>
        </is>
      </c>
      <c r="E30" s="40" t="inlineStr">
        <is>
          <t>Misto</t>
        </is>
      </c>
      <c r="F30" s="42" t="n">
        <v>21100</v>
      </c>
      <c r="G30" s="45" t="n">
        <v>83</v>
      </c>
      <c r="H30" s="46" t="n">
        <v>7</v>
      </c>
      <c r="I30" s="40" t="inlineStr">
        <is>
          <t>Recurso</t>
        </is>
      </c>
    </row>
    <row r="31">
      <c r="A31" s="39" t="inlineStr">
        <is>
          <t>3003874-97.2026.8.26.0384</t>
        </is>
      </c>
      <c r="B31" s="39" t="inlineStr">
        <is>
          <t>Clínica Bem-Estar</t>
        </is>
      </c>
      <c r="C31" s="40" t="inlineStr">
        <is>
          <t>Família</t>
        </is>
      </c>
      <c r="D31" s="40" t="inlineStr">
        <is>
          <t>Marina Ferraz</t>
        </is>
      </c>
      <c r="E31" s="40" t="inlineStr">
        <is>
          <t>Misto</t>
        </is>
      </c>
      <c r="F31" s="42" t="n">
        <v>6800</v>
      </c>
      <c r="G31" s="45" t="n">
        <v>48</v>
      </c>
      <c r="H31" s="46" t="n">
        <v>6.5</v>
      </c>
      <c r="I31" s="40" t="inlineStr">
        <is>
          <t>Consultivo</t>
        </is>
      </c>
    </row>
    <row r="32">
      <c r="A32" s="39" t="inlineStr">
        <is>
          <t>6545676-47.2025.8.26.0126</t>
        </is>
      </c>
      <c r="B32" s="39" t="inlineStr">
        <is>
          <t>Marcos Vinícius Teles</t>
        </is>
      </c>
      <c r="C32" s="40" t="inlineStr">
        <is>
          <t>Família</t>
        </is>
      </c>
      <c r="D32" s="40" t="inlineStr">
        <is>
          <t>Marina Ferraz</t>
        </is>
      </c>
      <c r="E32" s="40" t="inlineStr">
        <is>
          <t>Misto</t>
        </is>
      </c>
      <c r="F32" s="42" t="n">
        <v>6600</v>
      </c>
      <c r="G32" s="45" t="n">
        <v>29</v>
      </c>
      <c r="H32" s="46" t="n">
        <v>24</v>
      </c>
      <c r="I32" s="40" t="inlineStr">
        <is>
          <t>Recurso</t>
        </is>
      </c>
    </row>
    <row r="33">
      <c r="A33" s="39" t="inlineStr">
        <is>
          <t>1941959-24.2026.8.26.0167</t>
        </is>
      </c>
      <c r="B33" s="39" t="inlineStr">
        <is>
          <t>Transportadora Rota Sul</t>
        </is>
      </c>
      <c r="C33" s="40" t="inlineStr">
        <is>
          <t>Previdenciário</t>
        </is>
      </c>
      <c r="D33" s="40" t="inlineStr">
        <is>
          <t>Rafael Lima</t>
        </is>
      </c>
      <c r="E33" s="40" t="inlineStr">
        <is>
          <t>Êxito</t>
        </is>
      </c>
      <c r="F33" s="42" t="n">
        <v>6500</v>
      </c>
      <c r="G33" s="45" t="n">
        <v>45</v>
      </c>
      <c r="H33" s="46" t="n">
        <v>8.5</v>
      </c>
      <c r="I33" s="40" t="inlineStr">
        <is>
          <t>Acordo</t>
        </is>
      </c>
    </row>
    <row r="34">
      <c r="A34" s="39" t="inlineStr">
        <is>
          <t>3118925-55.2025.8.26.0426</t>
        </is>
      </c>
      <c r="B34" s="39" t="inlineStr">
        <is>
          <t>Patrícia Gomes</t>
        </is>
      </c>
      <c r="C34" s="40" t="inlineStr">
        <is>
          <t>Família</t>
        </is>
      </c>
      <c r="D34" s="40" t="inlineStr">
        <is>
          <t>Marina Ferraz</t>
        </is>
      </c>
      <c r="E34" s="40" t="inlineStr">
        <is>
          <t>Fixo</t>
        </is>
      </c>
      <c r="F34" s="42" t="n">
        <v>4500</v>
      </c>
      <c r="G34" s="45" t="n">
        <v>40</v>
      </c>
      <c r="H34" s="46" t="n">
        <v>30</v>
      </c>
      <c r="I34" s="40" t="inlineStr">
        <is>
          <t>Inicial</t>
        </is>
      </c>
    </row>
    <row r="35">
      <c r="A35" s="39" t="inlineStr">
        <is>
          <t>7658179-42.2026.8.26.0152</t>
        </is>
      </c>
      <c r="B35" s="39" t="inlineStr">
        <is>
          <t>Escola Aurora</t>
        </is>
      </c>
      <c r="C35" s="40" t="inlineStr">
        <is>
          <t>Empresarial</t>
        </is>
      </c>
      <c r="D35" s="40" t="inlineStr">
        <is>
          <t>Marina Ferraz</t>
        </is>
      </c>
      <c r="E35" s="40" t="inlineStr">
        <is>
          <t>Hora</t>
        </is>
      </c>
      <c r="F35" s="42" t="n">
        <v>18300</v>
      </c>
      <c r="G35" s="45" t="n">
        <v>74</v>
      </c>
      <c r="H35" s="46" t="n">
        <v>21.5</v>
      </c>
      <c r="I35" s="40" t="inlineStr">
        <is>
          <t>Acordo</t>
        </is>
      </c>
    </row>
    <row r="36">
      <c r="A36" s="39" t="inlineStr">
        <is>
          <t>3326285-90.2025.8.26.0608</t>
        </is>
      </c>
      <c r="B36" s="39" t="inlineStr">
        <is>
          <t>José Antônio Ribeiro</t>
        </is>
      </c>
      <c r="C36" s="40" t="inlineStr">
        <is>
          <t>Trabalhista</t>
        </is>
      </c>
      <c r="D36" s="40" t="inlineStr">
        <is>
          <t>Rafael Lima</t>
        </is>
      </c>
      <c r="E36" s="40" t="inlineStr">
        <is>
          <t>Fixo</t>
        </is>
      </c>
      <c r="F36" s="42" t="n">
        <v>5500</v>
      </c>
      <c r="G36" s="45" t="n">
        <v>37</v>
      </c>
      <c r="H36" s="46" t="n">
        <v>5</v>
      </c>
      <c r="I36" s="40" t="inlineStr">
        <is>
          <t>Consultivo</t>
        </is>
      </c>
    </row>
    <row r="37">
      <c r="A37" s="39" t="inlineStr">
        <is>
          <t>1191416-90.2025.8.26.0249</t>
        </is>
      </c>
      <c r="B37" s="39" t="inlineStr">
        <is>
          <t>Oficina Mecânica Central</t>
        </is>
      </c>
      <c r="C37" s="40" t="inlineStr">
        <is>
          <t>Cível</t>
        </is>
      </c>
      <c r="D37" s="40" t="inlineStr">
        <is>
          <t>Marina Ferraz</t>
        </is>
      </c>
      <c r="E37" s="40" t="inlineStr">
        <is>
          <t>Fixo</t>
        </is>
      </c>
      <c r="F37" s="42" t="n">
        <v>12400</v>
      </c>
      <c r="G37" s="45" t="n">
        <v>59</v>
      </c>
      <c r="H37" s="46" t="n">
        <v>40.5</v>
      </c>
      <c r="I37" s="40" t="inlineStr">
        <is>
          <t>Instrução</t>
        </is>
      </c>
    </row>
    <row r="38">
      <c r="A38" s="39" t="inlineStr">
        <is>
          <t>5626517-53.2026.8.26.0206</t>
        </is>
      </c>
      <c r="B38" s="39" t="inlineStr">
        <is>
          <t>Luciana Farias</t>
        </is>
      </c>
      <c r="C38" s="40" t="inlineStr">
        <is>
          <t>Empresarial</t>
        </is>
      </c>
      <c r="D38" s="40" t="inlineStr">
        <is>
          <t>Marina Ferraz</t>
        </is>
      </c>
      <c r="E38" s="40" t="inlineStr">
        <is>
          <t>Hora</t>
        </is>
      </c>
      <c r="F38" s="42" t="n">
        <v>16900</v>
      </c>
      <c r="G38" s="45" t="n">
        <v>77</v>
      </c>
      <c r="H38" s="46" t="n">
        <v>4.5</v>
      </c>
      <c r="I38" s="40" t="inlineStr">
        <is>
          <t>Consultivo</t>
        </is>
      </c>
    </row>
    <row r="39">
      <c r="A39" s="39" t="inlineStr">
        <is>
          <t>6237740-34.2025.8.26.0163</t>
        </is>
      </c>
      <c r="B39" s="39" t="inlineStr">
        <is>
          <t>Agência Prisma</t>
        </is>
      </c>
      <c r="C39" s="40" t="inlineStr">
        <is>
          <t>Previdenciário</t>
        </is>
      </c>
      <c r="D39" s="40" t="inlineStr">
        <is>
          <t>Rafael Lima</t>
        </is>
      </c>
      <c r="E39" s="40" t="inlineStr">
        <is>
          <t>Êxito</t>
        </is>
      </c>
      <c r="F39" s="42" t="n">
        <v>5700</v>
      </c>
      <c r="G39" s="45" t="n">
        <v>42</v>
      </c>
      <c r="H39" s="46" t="n">
        <v>45</v>
      </c>
      <c r="I39" s="40" t="inlineStr">
        <is>
          <t>Encerrado</t>
        </is>
      </c>
    </row>
    <row r="40">
      <c r="A40" s="39" t="inlineStr">
        <is>
          <t>9778303-99.2026.8.26.0419</t>
        </is>
      </c>
      <c r="B40" s="39" t="inlineStr">
        <is>
          <t>Helena Duarte</t>
        </is>
      </c>
      <c r="C40" s="40" t="inlineStr">
        <is>
          <t>Empresarial</t>
        </is>
      </c>
      <c r="D40" s="40" t="inlineStr">
        <is>
          <t>Marina Ferraz</t>
        </is>
      </c>
      <c r="E40" s="40" t="inlineStr">
        <is>
          <t>Hora</t>
        </is>
      </c>
      <c r="F40" s="42" t="n">
        <v>14100</v>
      </c>
      <c r="G40" s="45" t="n">
        <v>66</v>
      </c>
      <c r="H40" s="46" t="n">
        <v>11</v>
      </c>
      <c r="I40" s="40" t="inlineStr">
        <is>
          <t>Encerrado</t>
        </is>
      </c>
    </row>
    <row r="41">
      <c r="A41" s="39" t="inlineStr">
        <is>
          <t>3314594-22.2025.8.26.0019</t>
        </is>
      </c>
      <c r="B41" s="39" t="inlineStr">
        <is>
          <t>Padaria do Sol Ltda</t>
        </is>
      </c>
      <c r="C41" s="40" t="inlineStr">
        <is>
          <t>Cível</t>
        </is>
      </c>
      <c r="D41" s="40" t="inlineStr">
        <is>
          <t>Marina Ferraz</t>
        </is>
      </c>
      <c r="E41" s="40" t="inlineStr">
        <is>
          <t>Hora</t>
        </is>
      </c>
      <c r="F41" s="42" t="n">
        <v>6300</v>
      </c>
      <c r="G41" s="45" t="n">
        <v>44</v>
      </c>
      <c r="H41" s="46" t="n">
        <v>44</v>
      </c>
      <c r="I41" s="40" t="inlineStr">
        <is>
          <t>Encerrado</t>
        </is>
      </c>
    </row>
    <row r="42">
      <c r="A42" s="39" t="inlineStr">
        <is>
          <t>7598076-58.2025.8.26.0552</t>
        </is>
      </c>
      <c r="B42" s="39" t="inlineStr">
        <is>
          <t>Ana Beatriz Moreira</t>
        </is>
      </c>
      <c r="C42" s="40" t="inlineStr">
        <is>
          <t>Família</t>
        </is>
      </c>
      <c r="D42" s="40" t="inlineStr">
        <is>
          <t>Marina Ferraz</t>
        </is>
      </c>
      <c r="E42" s="40" t="inlineStr">
        <is>
          <t>Hora</t>
        </is>
      </c>
      <c r="F42" s="42" t="n">
        <v>11300</v>
      </c>
      <c r="G42" s="45" t="n">
        <v>63</v>
      </c>
      <c r="H42" s="46" t="n">
        <v>14.5</v>
      </c>
      <c r="I42" s="40" t="inlineStr">
        <is>
          <t>Encerrado</t>
        </is>
      </c>
    </row>
    <row r="43">
      <c r="A43" s="39" t="inlineStr">
        <is>
          <t>Gestão do escritório</t>
        </is>
      </c>
      <c r="B43" s="39" t="inlineStr">
        <is>
          <t>Escritório (sem cliente)</t>
        </is>
      </c>
      <c r="C43" s="40" t="inlineStr">
        <is>
          <t>—</t>
        </is>
      </c>
      <c r="D43" s="40" t="inlineStr">
        <is>
          <t>Marina Ferraz</t>
        </is>
      </c>
      <c r="E43" s="40" t="inlineStr">
        <is>
          <t>Interno</t>
        </is>
      </c>
      <c r="F43" s="42" t="n">
        <v>0</v>
      </c>
      <c r="G43" s="45" t="n">
        <v>0</v>
      </c>
      <c r="H43" s="46" t="n">
        <v>0</v>
      </c>
      <c r="I43" s="40" t="n"/>
    </row>
    <row r="44">
      <c r="A44" s="39" t="inlineStr">
        <is>
          <t>Captação e propostas</t>
        </is>
      </c>
      <c r="B44" s="39" t="inlineStr">
        <is>
          <t>Escritório (sem cliente)</t>
        </is>
      </c>
      <c r="C44" s="40" t="inlineStr">
        <is>
          <t>—</t>
        </is>
      </c>
      <c r="D44" s="40" t="inlineStr">
        <is>
          <t>Marina Ferraz</t>
        </is>
      </c>
      <c r="E44" s="40" t="inlineStr">
        <is>
          <t>Interno</t>
        </is>
      </c>
      <c r="F44" s="42" t="n">
        <v>0</v>
      </c>
      <c r="G44" s="45" t="n">
        <v>0</v>
      </c>
      <c r="H44" s="46" t="n">
        <v>0</v>
      </c>
      <c r="I44" s="40" t="n"/>
    </row>
    <row r="45">
      <c r="A45" s="39" t="n"/>
      <c r="B45" s="39" t="n"/>
      <c r="C45" s="40" t="n"/>
      <c r="D45" s="40" t="n"/>
      <c r="E45" s="40" t="n"/>
      <c r="F45" s="42" t="n"/>
      <c r="G45" s="45" t="n"/>
      <c r="H45" s="46" t="n"/>
      <c r="I45" s="40" t="n"/>
    </row>
    <row r="46">
      <c r="A46" s="39" t="n"/>
      <c r="B46" s="39" t="n"/>
      <c r="C46" s="40" t="n"/>
      <c r="D46" s="40" t="n"/>
      <c r="E46" s="40" t="n"/>
      <c r="F46" s="42" t="n"/>
      <c r="G46" s="45" t="n"/>
      <c r="H46" s="46" t="n"/>
      <c r="I46" s="40" t="n"/>
    </row>
    <row r="47">
      <c r="A47" s="39" t="n"/>
      <c r="B47" s="39" t="n"/>
      <c r="C47" s="40" t="n"/>
      <c r="D47" s="40" t="n"/>
      <c r="E47" s="40" t="n"/>
      <c r="F47" s="42" t="n"/>
      <c r="G47" s="45" t="n"/>
      <c r="H47" s="46" t="n"/>
      <c r="I47" s="40" t="n"/>
    </row>
    <row r="48">
      <c r="A48" s="39" t="n"/>
      <c r="B48" s="39" t="n"/>
      <c r="C48" s="40" t="n"/>
      <c r="D48" s="40" t="n"/>
      <c r="E48" s="40" t="n"/>
      <c r="F48" s="42" t="n"/>
      <c r="G48" s="45" t="n"/>
      <c r="H48" s="46" t="n"/>
      <c r="I48" s="40" t="n"/>
    </row>
    <row r="49">
      <c r="A49" s="39" t="n"/>
      <c r="B49" s="39" t="n"/>
      <c r="C49" s="40" t="n"/>
      <c r="D49" s="40" t="n"/>
      <c r="E49" s="40" t="n"/>
      <c r="F49" s="42" t="n"/>
      <c r="G49" s="45" t="n"/>
      <c r="H49" s="46" t="n"/>
      <c r="I49" s="40" t="n"/>
    </row>
    <row r="50">
      <c r="A50" s="39" t="n"/>
      <c r="B50" s="39" t="n"/>
      <c r="C50" s="40" t="n"/>
      <c r="D50" s="40" t="n"/>
      <c r="E50" s="40" t="n"/>
      <c r="F50" s="42" t="n"/>
      <c r="G50" s="45" t="n"/>
      <c r="H50" s="46" t="n"/>
      <c r="I50" s="40" t="n"/>
    </row>
    <row r="51">
      <c r="A51" s="39" t="n"/>
      <c r="B51" s="39" t="n"/>
      <c r="C51" s="40" t="n"/>
      <c r="D51" s="40" t="n"/>
      <c r="E51" s="40" t="n"/>
      <c r="F51" s="42" t="n"/>
      <c r="G51" s="45" t="n"/>
      <c r="H51" s="46" t="n"/>
      <c r="I51" s="40" t="n"/>
    </row>
    <row r="52">
      <c r="A52" s="39" t="n"/>
      <c r="B52" s="39" t="n"/>
      <c r="C52" s="40" t="n"/>
      <c r="D52" s="40" t="n"/>
      <c r="E52" s="40" t="n"/>
      <c r="F52" s="42" t="n"/>
      <c r="G52" s="45" t="n"/>
      <c r="H52" s="46" t="n"/>
      <c r="I52" s="40" t="n"/>
    </row>
    <row r="53">
      <c r="A53" s="39" t="n"/>
      <c r="B53" s="39" t="n"/>
      <c r="C53" s="40" t="n"/>
      <c r="D53" s="40" t="n"/>
      <c r="E53" s="40" t="n"/>
      <c r="F53" s="42" t="n"/>
      <c r="G53" s="45" t="n"/>
      <c r="H53" s="46" t="n"/>
      <c r="I53" s="40" t="n"/>
    </row>
    <row r="54">
      <c r="A54" s="39" t="n"/>
      <c r="B54" s="39" t="n"/>
      <c r="C54" s="40" t="n"/>
      <c r="D54" s="40" t="n"/>
      <c r="E54" s="40" t="n"/>
      <c r="F54" s="42" t="n"/>
      <c r="G54" s="45" t="n"/>
      <c r="H54" s="46" t="n"/>
      <c r="I54" s="40" t="n"/>
    </row>
    <row r="55">
      <c r="A55" s="39" t="n"/>
      <c r="B55" s="39" t="n"/>
      <c r="C55" s="40" t="n"/>
      <c r="D55" s="40" t="n"/>
      <c r="E55" s="40" t="n"/>
      <c r="F55" s="42" t="n"/>
      <c r="G55" s="45" t="n"/>
      <c r="H55" s="46" t="n"/>
      <c r="I55" s="40" t="n"/>
    </row>
    <row r="56">
      <c r="A56" s="39" t="n"/>
      <c r="B56" s="39" t="n"/>
      <c r="C56" s="40" t="n"/>
      <c r="D56" s="40" t="n"/>
      <c r="E56" s="40" t="n"/>
      <c r="F56" s="42" t="n"/>
      <c r="G56" s="45" t="n"/>
      <c r="H56" s="46" t="n"/>
      <c r="I56" s="40" t="n"/>
    </row>
    <row r="57">
      <c r="A57" s="39" t="n"/>
      <c r="B57" s="39" t="n"/>
      <c r="C57" s="40" t="n"/>
      <c r="D57" s="40" t="n"/>
      <c r="E57" s="40" t="n"/>
      <c r="F57" s="42" t="n"/>
      <c r="G57" s="45" t="n"/>
      <c r="H57" s="46" t="n"/>
      <c r="I57" s="40" t="n"/>
    </row>
    <row r="58">
      <c r="A58" s="39" t="n"/>
      <c r="B58" s="39" t="n"/>
      <c r="C58" s="40" t="n"/>
      <c r="D58" s="40" t="n"/>
      <c r="E58" s="40" t="n"/>
      <c r="F58" s="42" t="n"/>
      <c r="G58" s="45" t="n"/>
      <c r="H58" s="46" t="n"/>
      <c r="I58" s="40" t="n"/>
    </row>
    <row r="59">
      <c r="A59" s="39" t="n"/>
      <c r="B59" s="39" t="n"/>
      <c r="C59" s="40" t="n"/>
      <c r="D59" s="40" t="n"/>
      <c r="E59" s="40" t="n"/>
      <c r="F59" s="42" t="n"/>
      <c r="G59" s="45" t="n"/>
      <c r="H59" s="46" t="n"/>
      <c r="I59" s="40" t="n"/>
    </row>
    <row r="60">
      <c r="A60" s="39" t="n"/>
      <c r="B60" s="39" t="n"/>
      <c r="C60" s="40" t="n"/>
      <c r="D60" s="40" t="n"/>
      <c r="E60" s="40" t="n"/>
      <c r="F60" s="42" t="n"/>
      <c r="G60" s="45" t="n"/>
      <c r="H60" s="46" t="n"/>
      <c r="I60" s="40" t="n"/>
    </row>
    <row r="61">
      <c r="A61" s="39" t="n"/>
      <c r="B61" s="39" t="n"/>
      <c r="C61" s="40" t="n"/>
      <c r="D61" s="40" t="n"/>
      <c r="E61" s="40" t="n"/>
      <c r="F61" s="42" t="n"/>
      <c r="G61" s="45" t="n"/>
      <c r="H61" s="46" t="n"/>
      <c r="I61" s="40" t="n"/>
    </row>
    <row r="62">
      <c r="A62" s="39" t="n"/>
      <c r="B62" s="39" t="n"/>
      <c r="C62" s="40" t="n"/>
      <c r="D62" s="40" t="n"/>
      <c r="E62" s="40" t="n"/>
      <c r="F62" s="42" t="n"/>
      <c r="G62" s="45" t="n"/>
      <c r="H62" s="46" t="n"/>
      <c r="I62" s="40" t="n"/>
    </row>
    <row r="63">
      <c r="A63" s="39" t="n"/>
      <c r="B63" s="39" t="n"/>
      <c r="C63" s="40" t="n"/>
      <c r="D63" s="40" t="n"/>
      <c r="E63" s="40" t="n"/>
      <c r="F63" s="42" t="n"/>
      <c r="G63" s="45" t="n"/>
      <c r="H63" s="46" t="n"/>
      <c r="I63" s="40" t="n"/>
    </row>
    <row r="64">
      <c r="A64" s="39" t="n"/>
      <c r="B64" s="39" t="n"/>
      <c r="C64" s="40" t="n"/>
      <c r="D64" s="40" t="n"/>
      <c r="E64" s="40" t="n"/>
      <c r="F64" s="42" t="n"/>
      <c r="G64" s="45" t="n"/>
      <c r="H64" s="46" t="n"/>
      <c r="I64" s="40" t="n"/>
    </row>
    <row r="65">
      <c r="A65" s="39" t="n"/>
      <c r="B65" s="39" t="n"/>
      <c r="C65" s="40" t="n"/>
      <c r="D65" s="40" t="n"/>
      <c r="E65" s="40" t="n"/>
      <c r="F65" s="42" t="n"/>
      <c r="G65" s="45" t="n"/>
      <c r="H65" s="46" t="n"/>
      <c r="I65" s="40" t="n"/>
    </row>
    <row r="66">
      <c r="A66" s="39" t="n"/>
      <c r="B66" s="39" t="n"/>
      <c r="C66" s="40" t="n"/>
      <c r="D66" s="40" t="n"/>
      <c r="E66" s="40" t="n"/>
      <c r="F66" s="42" t="n"/>
      <c r="G66" s="45" t="n"/>
      <c r="H66" s="46" t="n"/>
      <c r="I66" s="40" t="n"/>
    </row>
    <row r="67">
      <c r="A67" s="39" t="n"/>
      <c r="B67" s="39" t="n"/>
      <c r="C67" s="40" t="n"/>
      <c r="D67" s="40" t="n"/>
      <c r="E67" s="40" t="n"/>
      <c r="F67" s="42" t="n"/>
      <c r="G67" s="45" t="n"/>
      <c r="H67" s="46" t="n"/>
      <c r="I67" s="40" t="n"/>
    </row>
    <row r="68">
      <c r="A68" s="39" t="n"/>
      <c r="B68" s="39" t="n"/>
      <c r="C68" s="40" t="n"/>
      <c r="D68" s="40" t="n"/>
      <c r="E68" s="40" t="n"/>
      <c r="F68" s="42" t="n"/>
      <c r="G68" s="45" t="n"/>
      <c r="H68" s="46" t="n"/>
      <c r="I68" s="40" t="n"/>
    </row>
    <row r="69">
      <c r="A69" s="39" t="n"/>
      <c r="B69" s="39" t="n"/>
      <c r="C69" s="40" t="n"/>
      <c r="D69" s="40" t="n"/>
      <c r="E69" s="40" t="n"/>
      <c r="F69" s="42" t="n"/>
      <c r="G69" s="45" t="n"/>
      <c r="H69" s="46" t="n"/>
      <c r="I69" s="40" t="n"/>
    </row>
    <row r="70">
      <c r="A70" s="39" t="n"/>
      <c r="B70" s="39" t="n"/>
      <c r="C70" s="40" t="n"/>
      <c r="D70" s="40" t="n"/>
      <c r="E70" s="40" t="n"/>
      <c r="F70" s="42" t="n"/>
      <c r="G70" s="45" t="n"/>
      <c r="H70" s="46" t="n"/>
      <c r="I70" s="40" t="n"/>
    </row>
    <row r="71">
      <c r="A71" s="39" t="n"/>
      <c r="B71" s="39" t="n"/>
      <c r="C71" s="40" t="n"/>
      <c r="D71" s="40" t="n"/>
      <c r="E71" s="40" t="n"/>
      <c r="F71" s="42" t="n"/>
      <c r="G71" s="45" t="n"/>
      <c r="H71" s="46" t="n"/>
      <c r="I71" s="40" t="n"/>
    </row>
    <row r="72">
      <c r="A72" s="39" t="n"/>
      <c r="B72" s="39" t="n"/>
      <c r="C72" s="40" t="n"/>
      <c r="D72" s="40" t="n"/>
      <c r="E72" s="40" t="n"/>
      <c r="F72" s="42" t="n"/>
      <c r="G72" s="45" t="n"/>
      <c r="H72" s="46" t="n"/>
      <c r="I72" s="40" t="n"/>
    </row>
    <row r="73">
      <c r="A73" s="39" t="n"/>
      <c r="B73" s="39" t="n"/>
      <c r="C73" s="40" t="n"/>
      <c r="D73" s="40" t="n"/>
      <c r="E73" s="40" t="n"/>
      <c r="F73" s="42" t="n"/>
      <c r="G73" s="45" t="n"/>
      <c r="H73" s="46" t="n"/>
      <c r="I73" s="40" t="n"/>
    </row>
    <row r="74">
      <c r="A74" s="39" t="n"/>
      <c r="B74" s="39" t="n"/>
      <c r="C74" s="40" t="n"/>
      <c r="D74" s="40" t="n"/>
      <c r="E74" s="40" t="n"/>
      <c r="F74" s="42" t="n"/>
      <c r="G74" s="45" t="n"/>
      <c r="H74" s="46" t="n"/>
      <c r="I74" s="40" t="n"/>
    </row>
    <row r="75">
      <c r="A75" s="39" t="n"/>
      <c r="B75" s="39" t="n"/>
      <c r="C75" s="40" t="n"/>
      <c r="D75" s="40" t="n"/>
      <c r="E75" s="40" t="n"/>
      <c r="F75" s="42" t="n"/>
      <c r="G75" s="45" t="n"/>
      <c r="H75" s="46" t="n"/>
      <c r="I75" s="40" t="n"/>
    </row>
    <row r="76">
      <c r="A76" s="39" t="n"/>
      <c r="B76" s="39" t="n"/>
      <c r="C76" s="40" t="n"/>
      <c r="D76" s="40" t="n"/>
      <c r="E76" s="40" t="n"/>
      <c r="F76" s="42" t="n"/>
      <c r="G76" s="45" t="n"/>
      <c r="H76" s="46" t="n"/>
      <c r="I76" s="40" t="n"/>
    </row>
    <row r="77">
      <c r="A77" s="39" t="n"/>
      <c r="B77" s="39" t="n"/>
      <c r="C77" s="40" t="n"/>
      <c r="D77" s="40" t="n"/>
      <c r="E77" s="40" t="n"/>
      <c r="F77" s="42" t="n"/>
      <c r="G77" s="45" t="n"/>
      <c r="H77" s="46" t="n"/>
      <c r="I77" s="40" t="n"/>
    </row>
    <row r="78">
      <c r="A78" s="39" t="n"/>
      <c r="B78" s="39" t="n"/>
      <c r="C78" s="40" t="n"/>
      <c r="D78" s="40" t="n"/>
      <c r="E78" s="40" t="n"/>
      <c r="F78" s="42" t="n"/>
      <c r="G78" s="45" t="n"/>
      <c r="H78" s="46" t="n"/>
      <c r="I78" s="40" t="n"/>
    </row>
    <row r="79">
      <c r="A79" s="39" t="n"/>
      <c r="B79" s="39" t="n"/>
      <c r="C79" s="40" t="n"/>
      <c r="D79" s="40" t="n"/>
      <c r="E79" s="40" t="n"/>
      <c r="F79" s="42" t="n"/>
      <c r="G79" s="45" t="n"/>
      <c r="H79" s="46" t="n"/>
      <c r="I79" s="40" t="n"/>
    </row>
    <row r="80">
      <c r="A80" s="39" t="n"/>
      <c r="B80" s="39" t="n"/>
      <c r="C80" s="40" t="n"/>
      <c r="D80" s="40" t="n"/>
      <c r="E80" s="40" t="n"/>
      <c r="F80" s="42" t="n"/>
      <c r="G80" s="45" t="n"/>
      <c r="H80" s="46" t="n"/>
      <c r="I80" s="40" t="n"/>
    </row>
    <row r="81">
      <c r="A81" s="39" t="n"/>
      <c r="B81" s="39" t="n"/>
      <c r="C81" s="40" t="n"/>
      <c r="D81" s="40" t="n"/>
      <c r="E81" s="40" t="n"/>
      <c r="F81" s="42" t="n"/>
      <c r="G81" s="45" t="n"/>
      <c r="H81" s="46" t="n"/>
      <c r="I81" s="40" t="n"/>
    </row>
    <row r="82">
      <c r="A82" s="39" t="n"/>
      <c r="B82" s="39" t="n"/>
      <c r="C82" s="40" t="n"/>
      <c r="D82" s="40" t="n"/>
      <c r="E82" s="40" t="n"/>
      <c r="F82" s="42" t="n"/>
      <c r="G82" s="45" t="n"/>
      <c r="H82" s="46" t="n"/>
      <c r="I82" s="40" t="n"/>
    </row>
    <row r="83">
      <c r="A83" s="39" t="n"/>
      <c r="B83" s="39" t="n"/>
      <c r="C83" s="40" t="n"/>
      <c r="D83" s="40" t="n"/>
      <c r="E83" s="40" t="n"/>
      <c r="F83" s="42" t="n"/>
      <c r="G83" s="45" t="n"/>
      <c r="H83" s="46" t="n"/>
      <c r="I83" s="40" t="n"/>
    </row>
    <row r="84">
      <c r="A84" s="39" t="n"/>
      <c r="B84" s="39" t="n"/>
      <c r="C84" s="40" t="n"/>
      <c r="D84" s="40" t="n"/>
      <c r="E84" s="40" t="n"/>
      <c r="F84" s="42" t="n"/>
      <c r="G84" s="45" t="n"/>
      <c r="H84" s="46" t="n"/>
      <c r="I84" s="40" t="n"/>
    </row>
    <row r="85">
      <c r="A85" s="39" t="n"/>
      <c r="B85" s="39" t="n"/>
      <c r="C85" s="40" t="n"/>
      <c r="D85" s="40" t="n"/>
      <c r="E85" s="40" t="n"/>
      <c r="F85" s="42" t="n"/>
      <c r="G85" s="45" t="n"/>
      <c r="H85" s="46" t="n"/>
      <c r="I85" s="40" t="n"/>
    </row>
    <row r="86">
      <c r="A86" s="39" t="n"/>
      <c r="B86" s="39" t="n"/>
      <c r="C86" s="40" t="n"/>
      <c r="D86" s="40" t="n"/>
      <c r="E86" s="40" t="n"/>
      <c r="F86" s="42" t="n"/>
      <c r="G86" s="45" t="n"/>
      <c r="H86" s="46" t="n"/>
      <c r="I86" s="40" t="n"/>
    </row>
    <row r="87">
      <c r="A87" s="39" t="n"/>
      <c r="B87" s="39" t="n"/>
      <c r="C87" s="40" t="n"/>
      <c r="D87" s="40" t="n"/>
      <c r="E87" s="40" t="n"/>
      <c r="F87" s="42" t="n"/>
      <c r="G87" s="45" t="n"/>
      <c r="H87" s="46" t="n"/>
      <c r="I87" s="40" t="n"/>
    </row>
    <row r="88">
      <c r="A88" s="39" t="n"/>
      <c r="B88" s="39" t="n"/>
      <c r="C88" s="40" t="n"/>
      <c r="D88" s="40" t="n"/>
      <c r="E88" s="40" t="n"/>
      <c r="F88" s="42" t="n"/>
      <c r="G88" s="45" t="n"/>
      <c r="H88" s="46" t="n"/>
      <c r="I88" s="40" t="n"/>
    </row>
    <row r="89">
      <c r="A89" s="39" t="n"/>
      <c r="B89" s="39" t="n"/>
      <c r="C89" s="40" t="n"/>
      <c r="D89" s="40" t="n"/>
      <c r="E89" s="40" t="n"/>
      <c r="F89" s="42" t="n"/>
      <c r="G89" s="45" t="n"/>
      <c r="H89" s="46" t="n"/>
      <c r="I89" s="40" t="n"/>
    </row>
    <row r="90">
      <c r="A90" s="39" t="n"/>
      <c r="B90" s="39" t="n"/>
      <c r="C90" s="40" t="n"/>
      <c r="D90" s="40" t="n"/>
      <c r="E90" s="40" t="n"/>
      <c r="F90" s="42" t="n"/>
      <c r="G90" s="45" t="n"/>
      <c r="H90" s="46" t="n"/>
      <c r="I90" s="40" t="n"/>
    </row>
    <row r="91">
      <c r="A91" s="39" t="n"/>
      <c r="B91" s="39" t="n"/>
      <c r="C91" s="40" t="n"/>
      <c r="D91" s="40" t="n"/>
      <c r="E91" s="40" t="n"/>
      <c r="F91" s="42" t="n"/>
      <c r="G91" s="45" t="n"/>
      <c r="H91" s="46" t="n"/>
      <c r="I91" s="40" t="n"/>
    </row>
    <row r="92">
      <c r="A92" s="39" t="n"/>
      <c r="B92" s="39" t="n"/>
      <c r="C92" s="40" t="n"/>
      <c r="D92" s="40" t="n"/>
      <c r="E92" s="40" t="n"/>
      <c r="F92" s="42" t="n"/>
      <c r="G92" s="45" t="n"/>
      <c r="H92" s="46" t="n"/>
      <c r="I92" s="40" t="n"/>
    </row>
    <row r="93">
      <c r="A93" s="39" t="n"/>
      <c r="B93" s="39" t="n"/>
      <c r="C93" s="40" t="n"/>
      <c r="D93" s="40" t="n"/>
      <c r="E93" s="40" t="n"/>
      <c r="F93" s="42" t="n"/>
      <c r="G93" s="45" t="n"/>
      <c r="H93" s="46" t="n"/>
      <c r="I93" s="40" t="n"/>
    </row>
    <row r="94">
      <c r="A94" s="39" t="n"/>
      <c r="B94" s="39" t="n"/>
      <c r="C94" s="40" t="n"/>
      <c r="D94" s="40" t="n"/>
      <c r="E94" s="40" t="n"/>
      <c r="F94" s="42" t="n"/>
      <c r="G94" s="45" t="n"/>
      <c r="H94" s="46" t="n"/>
      <c r="I94" s="40" t="n"/>
    </row>
    <row r="95">
      <c r="A95" s="39" t="n"/>
      <c r="B95" s="39" t="n"/>
      <c r="C95" s="40" t="n"/>
      <c r="D95" s="40" t="n"/>
      <c r="E95" s="40" t="n"/>
      <c r="F95" s="42" t="n"/>
      <c r="G95" s="45" t="n"/>
      <c r="H95" s="46" t="n"/>
      <c r="I95" s="40" t="n"/>
    </row>
    <row r="96">
      <c r="A96" s="39" t="n"/>
      <c r="B96" s="39" t="n"/>
      <c r="C96" s="40" t="n"/>
      <c r="D96" s="40" t="n"/>
      <c r="E96" s="40" t="n"/>
      <c r="F96" s="42" t="n"/>
      <c r="G96" s="45" t="n"/>
      <c r="H96" s="46" t="n"/>
      <c r="I96" s="40" t="n"/>
    </row>
    <row r="97">
      <c r="A97" s="39" t="n"/>
      <c r="B97" s="39" t="n"/>
      <c r="C97" s="40" t="n"/>
      <c r="D97" s="40" t="n"/>
      <c r="E97" s="40" t="n"/>
      <c r="F97" s="42" t="n"/>
      <c r="G97" s="45" t="n"/>
      <c r="H97" s="46" t="n"/>
      <c r="I97" s="40" t="n"/>
    </row>
    <row r="98">
      <c r="A98" s="39" t="n"/>
      <c r="B98" s="39" t="n"/>
      <c r="C98" s="40" t="n"/>
      <c r="D98" s="40" t="n"/>
      <c r="E98" s="40" t="n"/>
      <c r="F98" s="42" t="n"/>
      <c r="G98" s="45" t="n"/>
      <c r="H98" s="46" t="n"/>
      <c r="I98" s="40" t="n"/>
    </row>
    <row r="99">
      <c r="A99" s="39" t="n"/>
      <c r="B99" s="39" t="n"/>
      <c r="C99" s="40" t="n"/>
      <c r="D99" s="40" t="n"/>
      <c r="E99" s="40" t="n"/>
      <c r="F99" s="42" t="n"/>
      <c r="G99" s="45" t="n"/>
      <c r="H99" s="46" t="n"/>
      <c r="I99" s="40" t="n"/>
    </row>
    <row r="100">
      <c r="A100" s="39" t="n"/>
      <c r="B100" s="39" t="n"/>
      <c r="C100" s="40" t="n"/>
      <c r="D100" s="40" t="n"/>
      <c r="E100" s="40" t="n"/>
      <c r="F100" s="42" t="n"/>
      <c r="G100" s="45" t="n"/>
      <c r="H100" s="46" t="n"/>
      <c r="I100" s="40" t="n"/>
    </row>
    <row r="101">
      <c r="A101" s="39" t="n"/>
      <c r="B101" s="39" t="n"/>
      <c r="C101" s="40" t="n"/>
      <c r="D101" s="40" t="n"/>
      <c r="E101" s="40" t="n"/>
      <c r="F101" s="42" t="n"/>
      <c r="G101" s="45" t="n"/>
      <c r="H101" s="46" t="n"/>
      <c r="I101" s="40" t="n"/>
    </row>
    <row r="102">
      <c r="A102" s="39" t="n"/>
      <c r="B102" s="39" t="n"/>
      <c r="C102" s="40" t="n"/>
      <c r="D102" s="40" t="n"/>
      <c r="E102" s="40" t="n"/>
      <c r="F102" s="42" t="n"/>
      <c r="G102" s="45" t="n"/>
      <c r="H102" s="46" t="n"/>
      <c r="I102" s="40" t="n"/>
    </row>
    <row r="103">
      <c r="A103" s="39" t="n"/>
      <c r="B103" s="39" t="n"/>
      <c r="C103" s="40" t="n"/>
      <c r="D103" s="40" t="n"/>
      <c r="E103" s="40" t="n"/>
      <c r="F103" s="42" t="n"/>
      <c r="G103" s="45" t="n"/>
      <c r="H103" s="46" t="n"/>
      <c r="I103" s="40" t="n"/>
    </row>
    <row r="104">
      <c r="A104" s="39" t="n"/>
      <c r="B104" s="39" t="n"/>
      <c r="C104" s="40" t="n"/>
      <c r="D104" s="40" t="n"/>
      <c r="E104" s="40" t="n"/>
      <c r="F104" s="42" t="n"/>
      <c r="G104" s="45" t="n"/>
      <c r="H104" s="46" t="n"/>
      <c r="I104" s="40" t="n"/>
    </row>
    <row r="105">
      <c r="A105" s="39" t="n"/>
      <c r="B105" s="39" t="n"/>
      <c r="C105" s="40" t="n"/>
      <c r="D105" s="40" t="n"/>
      <c r="E105" s="40" t="n"/>
      <c r="F105" s="42" t="n"/>
      <c r="G105" s="45" t="n"/>
      <c r="H105" s="46" t="n"/>
      <c r="I105" s="40" t="n"/>
    </row>
    <row r="106">
      <c r="A106" s="39" t="n"/>
      <c r="B106" s="39" t="n"/>
      <c r="C106" s="40" t="n"/>
      <c r="D106" s="40" t="n"/>
      <c r="E106" s="40" t="n"/>
      <c r="F106" s="42" t="n"/>
      <c r="G106" s="45" t="n"/>
      <c r="H106" s="46" t="n"/>
      <c r="I106" s="40" t="n"/>
    </row>
    <row r="107">
      <c r="A107" s="39" t="n"/>
      <c r="B107" s="39" t="n"/>
      <c r="C107" s="40" t="n"/>
      <c r="D107" s="40" t="n"/>
      <c r="E107" s="40" t="n"/>
      <c r="F107" s="42" t="n"/>
      <c r="G107" s="45" t="n"/>
      <c r="H107" s="46" t="n"/>
      <c r="I107" s="40" t="n"/>
    </row>
    <row r="108">
      <c r="A108" s="39" t="n"/>
      <c r="B108" s="39" t="n"/>
      <c r="C108" s="40" t="n"/>
      <c r="D108" s="40" t="n"/>
      <c r="E108" s="40" t="n"/>
      <c r="F108" s="42" t="n"/>
      <c r="G108" s="45" t="n"/>
      <c r="H108" s="46" t="n"/>
      <c r="I108" s="40" t="n"/>
    </row>
    <row r="109">
      <c r="A109" s="39" t="n"/>
      <c r="B109" s="39" t="n"/>
      <c r="C109" s="40" t="n"/>
      <c r="D109" s="40" t="n"/>
      <c r="E109" s="40" t="n"/>
      <c r="F109" s="42" t="n"/>
      <c r="G109" s="45" t="n"/>
      <c r="H109" s="46" t="n"/>
      <c r="I109" s="40" t="n"/>
    </row>
    <row r="110">
      <c r="A110" s="39" t="n"/>
      <c r="B110" s="39" t="n"/>
      <c r="C110" s="40" t="n"/>
      <c r="D110" s="40" t="n"/>
      <c r="E110" s="40" t="n"/>
      <c r="F110" s="42" t="n"/>
      <c r="G110" s="45" t="n"/>
      <c r="H110" s="46" t="n"/>
      <c r="I110" s="40" t="n"/>
    </row>
    <row r="111">
      <c r="A111" s="39" t="n"/>
      <c r="B111" s="39" t="n"/>
      <c r="C111" s="40" t="n"/>
      <c r="D111" s="40" t="n"/>
      <c r="E111" s="40" t="n"/>
      <c r="F111" s="42" t="n"/>
      <c r="G111" s="45" t="n"/>
      <c r="H111" s="46" t="n"/>
      <c r="I111" s="40" t="n"/>
    </row>
    <row r="112">
      <c r="A112" s="39" t="n"/>
      <c r="B112" s="39" t="n"/>
      <c r="C112" s="40" t="n"/>
      <c r="D112" s="40" t="n"/>
      <c r="E112" s="40" t="n"/>
      <c r="F112" s="42" t="n"/>
      <c r="G112" s="45" t="n"/>
      <c r="H112" s="46" t="n"/>
      <c r="I112" s="40" t="n"/>
    </row>
    <row r="113">
      <c r="A113" s="39" t="n"/>
      <c r="B113" s="39" t="n"/>
      <c r="C113" s="40" t="n"/>
      <c r="D113" s="40" t="n"/>
      <c r="E113" s="40" t="n"/>
      <c r="F113" s="42" t="n"/>
      <c r="G113" s="45" t="n"/>
      <c r="H113" s="46" t="n"/>
      <c r="I113" s="40" t="n"/>
    </row>
    <row r="114">
      <c r="A114" s="39" t="n"/>
      <c r="B114" s="39" t="n"/>
      <c r="C114" s="40" t="n"/>
      <c r="D114" s="40" t="n"/>
      <c r="E114" s="40" t="n"/>
      <c r="F114" s="42" t="n"/>
      <c r="G114" s="45" t="n"/>
      <c r="H114" s="46" t="n"/>
      <c r="I114" s="40" t="n"/>
    </row>
    <row r="115">
      <c r="A115" s="39" t="n"/>
      <c r="B115" s="39" t="n"/>
      <c r="C115" s="40" t="n"/>
      <c r="D115" s="40" t="n"/>
      <c r="E115" s="40" t="n"/>
      <c r="F115" s="42" t="n"/>
      <c r="G115" s="45" t="n"/>
      <c r="H115" s="46" t="n"/>
      <c r="I115" s="40" t="n"/>
    </row>
    <row r="116">
      <c r="A116" s="39" t="n"/>
      <c r="B116" s="39" t="n"/>
      <c r="C116" s="40" t="n"/>
      <c r="D116" s="40" t="n"/>
      <c r="E116" s="40" t="n"/>
      <c r="F116" s="42" t="n"/>
      <c r="G116" s="45" t="n"/>
      <c r="H116" s="46" t="n"/>
      <c r="I116" s="40" t="n"/>
    </row>
    <row r="117">
      <c r="A117" s="39" t="n"/>
      <c r="B117" s="39" t="n"/>
      <c r="C117" s="40" t="n"/>
      <c r="D117" s="40" t="n"/>
      <c r="E117" s="40" t="n"/>
      <c r="F117" s="42" t="n"/>
      <c r="G117" s="45" t="n"/>
      <c r="H117" s="46" t="n"/>
      <c r="I117" s="40" t="n"/>
    </row>
    <row r="118">
      <c r="A118" s="39" t="n"/>
      <c r="B118" s="39" t="n"/>
      <c r="C118" s="40" t="n"/>
      <c r="D118" s="40" t="n"/>
      <c r="E118" s="40" t="n"/>
      <c r="F118" s="42" t="n"/>
      <c r="G118" s="45" t="n"/>
      <c r="H118" s="46" t="n"/>
      <c r="I118" s="40" t="n"/>
    </row>
    <row r="119">
      <c r="A119" s="39" t="n"/>
      <c r="B119" s="39" t="n"/>
      <c r="C119" s="40" t="n"/>
      <c r="D119" s="40" t="n"/>
      <c r="E119" s="40" t="n"/>
      <c r="F119" s="42" t="n"/>
      <c r="G119" s="45" t="n"/>
      <c r="H119" s="46" t="n"/>
      <c r="I119" s="40" t="n"/>
    </row>
    <row r="120">
      <c r="A120" s="39" t="n"/>
      <c r="B120" s="39" t="n"/>
      <c r="C120" s="40" t="n"/>
      <c r="D120" s="40" t="n"/>
      <c r="E120" s="40" t="n"/>
      <c r="F120" s="42" t="n"/>
      <c r="G120" s="45" t="n"/>
      <c r="H120" s="46" t="n"/>
      <c r="I120" s="40" t="n"/>
    </row>
    <row r="121">
      <c r="A121" s="39" t="n"/>
      <c r="B121" s="39" t="n"/>
      <c r="C121" s="40" t="n"/>
      <c r="D121" s="40" t="n"/>
      <c r="E121" s="40" t="n"/>
      <c r="F121" s="42" t="n"/>
      <c r="G121" s="45" t="n"/>
      <c r="H121" s="46" t="n"/>
      <c r="I121" s="40" t="n"/>
    </row>
    <row r="122">
      <c r="A122" s="39" t="n"/>
      <c r="B122" s="39" t="n"/>
      <c r="C122" s="40" t="n"/>
      <c r="D122" s="40" t="n"/>
      <c r="E122" s="40" t="n"/>
      <c r="F122" s="42" t="n"/>
      <c r="G122" s="45" t="n"/>
      <c r="H122" s="46" t="n"/>
      <c r="I122" s="40" t="n"/>
    </row>
    <row r="123">
      <c r="A123" s="39" t="n"/>
      <c r="B123" s="39" t="n"/>
      <c r="C123" s="40" t="n"/>
      <c r="D123" s="40" t="n"/>
      <c r="E123" s="40" t="n"/>
      <c r="F123" s="42" t="n"/>
      <c r="G123" s="45" t="n"/>
      <c r="H123" s="46" t="n"/>
      <c r="I123" s="40" t="n"/>
    </row>
    <row r="124">
      <c r="A124" s="39" t="n"/>
      <c r="B124" s="39" t="n"/>
      <c r="C124" s="40" t="n"/>
      <c r="D124" s="40" t="n"/>
      <c r="E124" s="40" t="n"/>
      <c r="F124" s="42" t="n"/>
      <c r="G124" s="45" t="n"/>
      <c r="H124" s="46" t="n"/>
      <c r="I124" s="40" t="n"/>
    </row>
    <row r="125">
      <c r="A125" s="39" t="n"/>
      <c r="B125" s="39" t="n"/>
      <c r="C125" s="40" t="n"/>
      <c r="D125" s="40" t="n"/>
      <c r="E125" s="40" t="n"/>
      <c r="F125" s="42" t="n"/>
      <c r="G125" s="45" t="n"/>
      <c r="H125" s="46" t="n"/>
      <c r="I125" s="40" t="n"/>
    </row>
    <row r="126">
      <c r="A126" s="39" t="n"/>
      <c r="B126" s="39" t="n"/>
      <c r="C126" s="40" t="n"/>
      <c r="D126" s="40" t="n"/>
      <c r="E126" s="40" t="n"/>
      <c r="F126" s="42" t="n"/>
      <c r="G126" s="45" t="n"/>
      <c r="H126" s="46" t="n"/>
      <c r="I126" s="40" t="n"/>
    </row>
    <row r="127">
      <c r="A127" s="39" t="n"/>
      <c r="B127" s="39" t="n"/>
      <c r="C127" s="40" t="n"/>
      <c r="D127" s="40" t="n"/>
      <c r="E127" s="40" t="n"/>
      <c r="F127" s="42" t="n"/>
      <c r="G127" s="45" t="n"/>
      <c r="H127" s="46" t="n"/>
      <c r="I127" s="40" t="n"/>
    </row>
    <row r="128">
      <c r="A128" s="39" t="n"/>
      <c r="B128" s="39" t="n"/>
      <c r="C128" s="40" t="n"/>
      <c r="D128" s="40" t="n"/>
      <c r="E128" s="40" t="n"/>
      <c r="F128" s="42" t="n"/>
      <c r="G128" s="45" t="n"/>
      <c r="H128" s="46" t="n"/>
      <c r="I128" s="40" t="n"/>
    </row>
    <row r="129">
      <c r="A129" s="39" t="n"/>
      <c r="B129" s="39" t="n"/>
      <c r="C129" s="40" t="n"/>
      <c r="D129" s="40" t="n"/>
      <c r="E129" s="40" t="n"/>
      <c r="F129" s="42" t="n"/>
      <c r="G129" s="45" t="n"/>
      <c r="H129" s="46" t="n"/>
      <c r="I129" s="40" t="n"/>
    </row>
    <row r="130">
      <c r="A130" s="39" t="n"/>
      <c r="B130" s="39" t="n"/>
      <c r="C130" s="40" t="n"/>
      <c r="D130" s="40" t="n"/>
      <c r="E130" s="40" t="n"/>
      <c r="F130" s="42" t="n"/>
      <c r="G130" s="45" t="n"/>
      <c r="H130" s="46" t="n"/>
      <c r="I130" s="40" t="n"/>
    </row>
    <row r="131">
      <c r="A131" s="39" t="n"/>
      <c r="B131" s="39" t="n"/>
      <c r="C131" s="40" t="n"/>
      <c r="D131" s="40" t="n"/>
      <c r="E131" s="40" t="n"/>
      <c r="F131" s="42" t="n"/>
      <c r="G131" s="45" t="n"/>
      <c r="H131" s="46" t="n"/>
      <c r="I131" s="40" t="n"/>
    </row>
    <row r="132">
      <c r="A132" s="39" t="n"/>
      <c r="B132" s="39" t="n"/>
      <c r="C132" s="40" t="n"/>
      <c r="D132" s="40" t="n"/>
      <c r="E132" s="40" t="n"/>
      <c r="F132" s="42" t="n"/>
      <c r="G132" s="45" t="n"/>
      <c r="H132" s="46" t="n"/>
      <c r="I132" s="40" t="n"/>
    </row>
    <row r="133">
      <c r="A133" s="39" t="n"/>
      <c r="B133" s="39" t="n"/>
      <c r="C133" s="40" t="n"/>
      <c r="D133" s="40" t="n"/>
      <c r="E133" s="40" t="n"/>
      <c r="F133" s="42" t="n"/>
      <c r="G133" s="45" t="n"/>
      <c r="H133" s="46" t="n"/>
      <c r="I133" s="40" t="n"/>
    </row>
    <row r="134">
      <c r="A134" s="39" t="n"/>
      <c r="B134" s="39" t="n"/>
      <c r="C134" s="40" t="n"/>
      <c r="D134" s="40" t="n"/>
      <c r="E134" s="40" t="n"/>
      <c r="F134" s="42" t="n"/>
      <c r="G134" s="45" t="n"/>
      <c r="H134" s="46" t="n"/>
      <c r="I134" s="40" t="n"/>
    </row>
    <row r="135">
      <c r="A135" s="39" t="n"/>
      <c r="B135" s="39" t="n"/>
      <c r="C135" s="40" t="n"/>
      <c r="D135" s="40" t="n"/>
      <c r="E135" s="40" t="n"/>
      <c r="F135" s="42" t="n"/>
      <c r="G135" s="45" t="n"/>
      <c r="H135" s="46" t="n"/>
      <c r="I135" s="40" t="n"/>
    </row>
    <row r="136">
      <c r="A136" s="39" t="n"/>
      <c r="B136" s="39" t="n"/>
      <c r="C136" s="40" t="n"/>
      <c r="D136" s="40" t="n"/>
      <c r="E136" s="40" t="n"/>
      <c r="F136" s="42" t="n"/>
      <c r="G136" s="45" t="n"/>
      <c r="H136" s="46" t="n"/>
      <c r="I136" s="40" t="n"/>
    </row>
    <row r="137">
      <c r="A137" s="39" t="n"/>
      <c r="B137" s="39" t="n"/>
      <c r="C137" s="40" t="n"/>
      <c r="D137" s="40" t="n"/>
      <c r="E137" s="40" t="n"/>
      <c r="F137" s="42" t="n"/>
      <c r="G137" s="45" t="n"/>
      <c r="H137" s="46" t="n"/>
      <c r="I137" s="40" t="n"/>
    </row>
    <row r="138">
      <c r="A138" s="39" t="n"/>
      <c r="B138" s="39" t="n"/>
      <c r="C138" s="40" t="n"/>
      <c r="D138" s="40" t="n"/>
      <c r="E138" s="40" t="n"/>
      <c r="F138" s="42" t="n"/>
      <c r="G138" s="45" t="n"/>
      <c r="H138" s="46" t="n"/>
      <c r="I138" s="40" t="n"/>
    </row>
    <row r="139">
      <c r="A139" s="39" t="n"/>
      <c r="B139" s="39" t="n"/>
      <c r="C139" s="40" t="n"/>
      <c r="D139" s="40" t="n"/>
      <c r="E139" s="40" t="n"/>
      <c r="F139" s="42" t="n"/>
      <c r="G139" s="45" t="n"/>
      <c r="H139" s="46" t="n"/>
      <c r="I139" s="40" t="n"/>
    </row>
    <row r="140">
      <c r="A140" s="39" t="n"/>
      <c r="B140" s="39" t="n"/>
      <c r="C140" s="40" t="n"/>
      <c r="D140" s="40" t="n"/>
      <c r="E140" s="40" t="n"/>
      <c r="F140" s="42" t="n"/>
      <c r="G140" s="45" t="n"/>
      <c r="H140" s="46" t="n"/>
      <c r="I140" s="40" t="n"/>
    </row>
    <row r="141">
      <c r="A141" s="39" t="n"/>
      <c r="B141" s="39" t="n"/>
      <c r="C141" s="40" t="n"/>
      <c r="D141" s="40" t="n"/>
      <c r="E141" s="40" t="n"/>
      <c r="F141" s="42" t="n"/>
      <c r="G141" s="45" t="n"/>
      <c r="H141" s="46" t="n"/>
      <c r="I141" s="40" t="n"/>
    </row>
    <row r="142">
      <c r="A142" s="39" t="n"/>
      <c r="B142" s="39" t="n"/>
      <c r="C142" s="40" t="n"/>
      <c r="D142" s="40" t="n"/>
      <c r="E142" s="40" t="n"/>
      <c r="F142" s="42" t="n"/>
      <c r="G142" s="45" t="n"/>
      <c r="H142" s="46" t="n"/>
      <c r="I142" s="40" t="n"/>
    </row>
    <row r="143">
      <c r="A143" s="39" t="n"/>
      <c r="B143" s="39" t="n"/>
      <c r="C143" s="40" t="n"/>
      <c r="D143" s="40" t="n"/>
      <c r="E143" s="40" t="n"/>
      <c r="F143" s="42" t="n"/>
      <c r="G143" s="45" t="n"/>
      <c r="H143" s="46" t="n"/>
      <c r="I143" s="40" t="n"/>
    </row>
    <row r="144">
      <c r="A144" s="39" t="n"/>
      <c r="B144" s="39" t="n"/>
      <c r="C144" s="40" t="n"/>
      <c r="D144" s="40" t="n"/>
      <c r="E144" s="40" t="n"/>
      <c r="F144" s="42" t="n"/>
      <c r="G144" s="45" t="n"/>
      <c r="H144" s="46" t="n"/>
      <c r="I144" s="40" t="n"/>
    </row>
    <row r="145">
      <c r="A145" s="39" t="n"/>
      <c r="B145" s="39" t="n"/>
      <c r="C145" s="40" t="n"/>
      <c r="D145" s="40" t="n"/>
      <c r="E145" s="40" t="n"/>
      <c r="F145" s="42" t="n"/>
      <c r="G145" s="45" t="n"/>
      <c r="H145" s="46" t="n"/>
      <c r="I145" s="40" t="n"/>
    </row>
    <row r="146">
      <c r="A146" s="39" t="n"/>
      <c r="B146" s="39" t="n"/>
      <c r="C146" s="40" t="n"/>
      <c r="D146" s="40" t="n"/>
      <c r="E146" s="40" t="n"/>
      <c r="F146" s="42" t="n"/>
      <c r="G146" s="45" t="n"/>
      <c r="H146" s="46" t="n"/>
      <c r="I146" s="40" t="n"/>
    </row>
    <row r="147">
      <c r="A147" s="39" t="n"/>
      <c r="B147" s="39" t="n"/>
      <c r="C147" s="40" t="n"/>
      <c r="D147" s="40" t="n"/>
      <c r="E147" s="40" t="n"/>
      <c r="F147" s="42" t="n"/>
      <c r="G147" s="45" t="n"/>
      <c r="H147" s="46" t="n"/>
      <c r="I147" s="40" t="n"/>
    </row>
    <row r="148">
      <c r="A148" s="39" t="n"/>
      <c r="B148" s="39" t="n"/>
      <c r="C148" s="40" t="n"/>
      <c r="D148" s="40" t="n"/>
      <c r="E148" s="40" t="n"/>
      <c r="F148" s="42" t="n"/>
      <c r="G148" s="45" t="n"/>
      <c r="H148" s="46" t="n"/>
      <c r="I148" s="40" t="n"/>
    </row>
    <row r="149">
      <c r="A149" s="39" t="n"/>
      <c r="B149" s="39" t="n"/>
      <c r="C149" s="40" t="n"/>
      <c r="D149" s="40" t="n"/>
      <c r="E149" s="40" t="n"/>
      <c r="F149" s="42" t="n"/>
      <c r="G149" s="45" t="n"/>
      <c r="H149" s="46" t="n"/>
      <c r="I149" s="40" t="n"/>
    </row>
    <row r="150">
      <c r="A150" s="39" t="n"/>
      <c r="B150" s="39" t="n"/>
      <c r="C150" s="40" t="n"/>
      <c r="D150" s="40" t="n"/>
      <c r="E150" s="40" t="n"/>
      <c r="F150" s="42" t="n"/>
      <c r="G150" s="45" t="n"/>
      <c r="H150" s="46" t="n"/>
      <c r="I150" s="40" t="n"/>
    </row>
    <row r="151">
      <c r="A151" s="39" t="n"/>
      <c r="B151" s="39" t="n"/>
      <c r="C151" s="40" t="n"/>
      <c r="D151" s="40" t="n"/>
      <c r="E151" s="40" t="n"/>
      <c r="F151" s="42" t="n"/>
      <c r="G151" s="45" t="n"/>
      <c r="H151" s="46" t="n"/>
      <c r="I151" s="40" t="n"/>
    </row>
    <row r="152">
      <c r="A152" s="39" t="n"/>
      <c r="B152" s="39" t="n"/>
      <c r="C152" s="40" t="n"/>
      <c r="D152" s="40" t="n"/>
      <c r="E152" s="40" t="n"/>
      <c r="F152" s="42" t="n"/>
      <c r="G152" s="45" t="n"/>
      <c r="H152" s="46" t="n"/>
      <c r="I152" s="40" t="n"/>
    </row>
    <row r="153">
      <c r="A153" s="39" t="n"/>
      <c r="B153" s="39" t="n"/>
      <c r="C153" s="40" t="n"/>
      <c r="D153" s="40" t="n"/>
      <c r="E153" s="40" t="n"/>
      <c r="F153" s="42" t="n"/>
      <c r="G153" s="45" t="n"/>
      <c r="H153" s="46" t="n"/>
      <c r="I153" s="40" t="n"/>
    </row>
    <row r="154">
      <c r="A154" s="39" t="n"/>
      <c r="B154" s="39" t="n"/>
      <c r="C154" s="40" t="n"/>
      <c r="D154" s="40" t="n"/>
      <c r="E154" s="40" t="n"/>
      <c r="F154" s="42" t="n"/>
      <c r="G154" s="45" t="n"/>
      <c r="H154" s="46" t="n"/>
      <c r="I154" s="40" t="n"/>
    </row>
    <row r="155">
      <c r="A155" s="39" t="n"/>
      <c r="B155" s="39" t="n"/>
      <c r="C155" s="40" t="n"/>
      <c r="D155" s="40" t="n"/>
      <c r="E155" s="40" t="n"/>
      <c r="F155" s="42" t="n"/>
      <c r="G155" s="45" t="n"/>
      <c r="H155" s="46" t="n"/>
      <c r="I155" s="40" t="n"/>
    </row>
    <row r="156">
      <c r="A156" s="39" t="n"/>
      <c r="B156" s="39" t="n"/>
      <c r="C156" s="40" t="n"/>
      <c r="D156" s="40" t="n"/>
      <c r="E156" s="40" t="n"/>
      <c r="F156" s="42" t="n"/>
      <c r="G156" s="45" t="n"/>
      <c r="H156" s="46" t="n"/>
      <c r="I156" s="40" t="n"/>
    </row>
    <row r="157">
      <c r="A157" s="39" t="n"/>
      <c r="B157" s="39" t="n"/>
      <c r="C157" s="40" t="n"/>
      <c r="D157" s="40" t="n"/>
      <c r="E157" s="40" t="n"/>
      <c r="F157" s="42" t="n"/>
      <c r="G157" s="45" t="n"/>
      <c r="H157" s="46" t="n"/>
      <c r="I157" s="40" t="n"/>
    </row>
    <row r="158">
      <c r="A158" s="39" t="n"/>
      <c r="B158" s="39" t="n"/>
      <c r="C158" s="40" t="n"/>
      <c r="D158" s="40" t="n"/>
      <c r="E158" s="40" t="n"/>
      <c r="F158" s="42" t="n"/>
      <c r="G158" s="45" t="n"/>
      <c r="H158" s="46" t="n"/>
      <c r="I158" s="40" t="n"/>
    </row>
    <row r="159">
      <c r="A159" s="39" t="n"/>
      <c r="B159" s="39" t="n"/>
      <c r="C159" s="40" t="n"/>
      <c r="D159" s="40" t="n"/>
      <c r="E159" s="40" t="n"/>
      <c r="F159" s="42" t="n"/>
      <c r="G159" s="45" t="n"/>
      <c r="H159" s="46" t="n"/>
      <c r="I159" s="40" t="n"/>
    </row>
    <row r="160">
      <c r="A160" s="39" t="n"/>
      <c r="B160" s="39" t="n"/>
      <c r="C160" s="40" t="n"/>
      <c r="D160" s="40" t="n"/>
      <c r="E160" s="40" t="n"/>
      <c r="F160" s="42" t="n"/>
      <c r="G160" s="45" t="n"/>
      <c r="H160" s="46" t="n"/>
      <c r="I160" s="40" t="n"/>
    </row>
    <row r="161">
      <c r="A161" s="39" t="n"/>
      <c r="B161" s="39" t="n"/>
      <c r="C161" s="40" t="n"/>
      <c r="D161" s="40" t="n"/>
      <c r="E161" s="40" t="n"/>
      <c r="F161" s="42" t="n"/>
      <c r="G161" s="45" t="n"/>
      <c r="H161" s="46" t="n"/>
      <c r="I161" s="40" t="n"/>
    </row>
    <row r="162">
      <c r="A162" s="39" t="n"/>
      <c r="B162" s="39" t="n"/>
      <c r="C162" s="40" t="n"/>
      <c r="D162" s="40" t="n"/>
      <c r="E162" s="40" t="n"/>
      <c r="F162" s="42" t="n"/>
      <c r="G162" s="45" t="n"/>
      <c r="H162" s="46" t="n"/>
      <c r="I162" s="40" t="n"/>
    </row>
    <row r="163">
      <c r="A163" s="39" t="n"/>
      <c r="B163" s="39" t="n"/>
      <c r="C163" s="40" t="n"/>
      <c r="D163" s="40" t="n"/>
      <c r="E163" s="40" t="n"/>
      <c r="F163" s="42" t="n"/>
      <c r="G163" s="45" t="n"/>
      <c r="H163" s="46" t="n"/>
      <c r="I163" s="40" t="n"/>
    </row>
    <row r="164">
      <c r="A164" s="39" t="n"/>
      <c r="B164" s="39" t="n"/>
      <c r="C164" s="40" t="n"/>
      <c r="D164" s="40" t="n"/>
      <c r="E164" s="40" t="n"/>
      <c r="F164" s="42" t="n"/>
      <c r="G164" s="45" t="n"/>
      <c r="H164" s="46" t="n"/>
      <c r="I164" s="40" t="n"/>
    </row>
    <row r="165">
      <c r="A165" s="39" t="n"/>
      <c r="B165" s="39" t="n"/>
      <c r="C165" s="40" t="n"/>
      <c r="D165" s="40" t="n"/>
      <c r="E165" s="40" t="n"/>
      <c r="F165" s="42" t="n"/>
      <c r="G165" s="45" t="n"/>
      <c r="H165" s="46" t="n"/>
      <c r="I165" s="40" t="n"/>
    </row>
    <row r="166">
      <c r="A166" s="39" t="n"/>
      <c r="B166" s="39" t="n"/>
      <c r="C166" s="40" t="n"/>
      <c r="D166" s="40" t="n"/>
      <c r="E166" s="40" t="n"/>
      <c r="F166" s="42" t="n"/>
      <c r="G166" s="45" t="n"/>
      <c r="H166" s="46" t="n"/>
      <c r="I166" s="40" t="n"/>
    </row>
    <row r="167">
      <c r="A167" s="39" t="n"/>
      <c r="B167" s="39" t="n"/>
      <c r="C167" s="40" t="n"/>
      <c r="D167" s="40" t="n"/>
      <c r="E167" s="40" t="n"/>
      <c r="F167" s="42" t="n"/>
      <c r="G167" s="45" t="n"/>
      <c r="H167" s="46" t="n"/>
      <c r="I167" s="40" t="n"/>
    </row>
    <row r="168">
      <c r="A168" s="39" t="n"/>
      <c r="B168" s="39" t="n"/>
      <c r="C168" s="40" t="n"/>
      <c r="D168" s="40" t="n"/>
      <c r="E168" s="40" t="n"/>
      <c r="F168" s="42" t="n"/>
      <c r="G168" s="45" t="n"/>
      <c r="H168" s="46" t="n"/>
      <c r="I168" s="40" t="n"/>
    </row>
    <row r="169">
      <c r="A169" s="39" t="n"/>
      <c r="B169" s="39" t="n"/>
      <c r="C169" s="40" t="n"/>
      <c r="D169" s="40" t="n"/>
      <c r="E169" s="40" t="n"/>
      <c r="F169" s="42" t="n"/>
      <c r="G169" s="45" t="n"/>
      <c r="H169" s="46" t="n"/>
      <c r="I169" s="40" t="n"/>
    </row>
    <row r="170">
      <c r="A170" s="39" t="n"/>
      <c r="B170" s="39" t="n"/>
      <c r="C170" s="40" t="n"/>
      <c r="D170" s="40" t="n"/>
      <c r="E170" s="40" t="n"/>
      <c r="F170" s="42" t="n"/>
      <c r="G170" s="45" t="n"/>
      <c r="H170" s="46" t="n"/>
      <c r="I170" s="40" t="n"/>
    </row>
    <row r="171">
      <c r="A171" s="39" t="n"/>
      <c r="B171" s="39" t="n"/>
      <c r="C171" s="40" t="n"/>
      <c r="D171" s="40" t="n"/>
      <c r="E171" s="40" t="n"/>
      <c r="F171" s="42" t="n"/>
      <c r="G171" s="45" t="n"/>
      <c r="H171" s="46" t="n"/>
      <c r="I171" s="40" t="n"/>
    </row>
    <row r="172">
      <c r="A172" s="39" t="n"/>
      <c r="B172" s="39" t="n"/>
      <c r="C172" s="40" t="n"/>
      <c r="D172" s="40" t="n"/>
      <c r="E172" s="40" t="n"/>
      <c r="F172" s="42" t="n"/>
      <c r="G172" s="45" t="n"/>
      <c r="H172" s="46" t="n"/>
      <c r="I172" s="40" t="n"/>
    </row>
    <row r="173">
      <c r="A173" s="39" t="n"/>
      <c r="B173" s="39" t="n"/>
      <c r="C173" s="40" t="n"/>
      <c r="D173" s="40" t="n"/>
      <c r="E173" s="40" t="n"/>
      <c r="F173" s="42" t="n"/>
      <c r="G173" s="45" t="n"/>
      <c r="H173" s="46" t="n"/>
      <c r="I173" s="40" t="n"/>
    </row>
    <row r="174">
      <c r="A174" s="39" t="n"/>
      <c r="B174" s="39" t="n"/>
      <c r="C174" s="40" t="n"/>
      <c r="D174" s="40" t="n"/>
      <c r="E174" s="40" t="n"/>
      <c r="F174" s="42" t="n"/>
      <c r="G174" s="45" t="n"/>
      <c r="H174" s="46" t="n"/>
      <c r="I174" s="40" t="n"/>
    </row>
    <row r="175">
      <c r="A175" s="39" t="n"/>
      <c r="B175" s="39" t="n"/>
      <c r="C175" s="40" t="n"/>
      <c r="D175" s="40" t="n"/>
      <c r="E175" s="40" t="n"/>
      <c r="F175" s="42" t="n"/>
      <c r="G175" s="45" t="n"/>
      <c r="H175" s="46" t="n"/>
      <c r="I175" s="40" t="n"/>
    </row>
    <row r="176">
      <c r="A176" s="39" t="n"/>
      <c r="B176" s="39" t="n"/>
      <c r="C176" s="40" t="n"/>
      <c r="D176" s="40" t="n"/>
      <c r="E176" s="40" t="n"/>
      <c r="F176" s="42" t="n"/>
      <c r="G176" s="45" t="n"/>
      <c r="H176" s="46" t="n"/>
      <c r="I176" s="40" t="n"/>
    </row>
    <row r="177">
      <c r="A177" s="39" t="n"/>
      <c r="B177" s="39" t="n"/>
      <c r="C177" s="40" t="n"/>
      <c r="D177" s="40" t="n"/>
      <c r="E177" s="40" t="n"/>
      <c r="F177" s="42" t="n"/>
      <c r="G177" s="45" t="n"/>
      <c r="H177" s="46" t="n"/>
      <c r="I177" s="40" t="n"/>
    </row>
    <row r="178">
      <c r="A178" s="39" t="n"/>
      <c r="B178" s="39" t="n"/>
      <c r="C178" s="40" t="n"/>
      <c r="D178" s="40" t="n"/>
      <c r="E178" s="40" t="n"/>
      <c r="F178" s="42" t="n"/>
      <c r="G178" s="45" t="n"/>
      <c r="H178" s="46" t="n"/>
      <c r="I178" s="40" t="n"/>
    </row>
    <row r="179">
      <c r="A179" s="39" t="n"/>
      <c r="B179" s="39" t="n"/>
      <c r="C179" s="40" t="n"/>
      <c r="D179" s="40" t="n"/>
      <c r="E179" s="40" t="n"/>
      <c r="F179" s="42" t="n"/>
      <c r="G179" s="45" t="n"/>
      <c r="H179" s="46" t="n"/>
      <c r="I179" s="40" t="n"/>
    </row>
    <row r="180">
      <c r="A180" s="39" t="n"/>
      <c r="B180" s="39" t="n"/>
      <c r="C180" s="40" t="n"/>
      <c r="D180" s="40" t="n"/>
      <c r="E180" s="40" t="n"/>
      <c r="F180" s="42" t="n"/>
      <c r="G180" s="45" t="n"/>
      <c r="H180" s="46" t="n"/>
      <c r="I180" s="40" t="n"/>
    </row>
    <row r="181">
      <c r="A181" s="39" t="n"/>
      <c r="B181" s="39" t="n"/>
      <c r="C181" s="40" t="n"/>
      <c r="D181" s="40" t="n"/>
      <c r="E181" s="40" t="n"/>
      <c r="F181" s="42" t="n"/>
      <c r="G181" s="45" t="n"/>
      <c r="H181" s="46" t="n"/>
      <c r="I181" s="40" t="n"/>
    </row>
    <row r="182">
      <c r="A182" s="39" t="n"/>
      <c r="B182" s="39" t="n"/>
      <c r="C182" s="40" t="n"/>
      <c r="D182" s="40" t="n"/>
      <c r="E182" s="40" t="n"/>
      <c r="F182" s="42" t="n"/>
      <c r="G182" s="45" t="n"/>
      <c r="H182" s="46" t="n"/>
      <c r="I182" s="40" t="n"/>
    </row>
    <row r="183">
      <c r="A183" s="39" t="n"/>
      <c r="B183" s="39" t="n"/>
      <c r="C183" s="40" t="n"/>
      <c r="D183" s="40" t="n"/>
      <c r="E183" s="40" t="n"/>
      <c r="F183" s="42" t="n"/>
      <c r="G183" s="45" t="n"/>
      <c r="H183" s="46" t="n"/>
      <c r="I183" s="40" t="n"/>
    </row>
    <row r="184">
      <c r="A184" s="39" t="n"/>
      <c r="B184" s="39" t="n"/>
      <c r="C184" s="40" t="n"/>
      <c r="D184" s="40" t="n"/>
      <c r="E184" s="40" t="n"/>
      <c r="F184" s="42" t="n"/>
      <c r="G184" s="45" t="n"/>
      <c r="H184" s="46" t="n"/>
      <c r="I184" s="40" t="n"/>
    </row>
    <row r="185">
      <c r="A185" s="39" t="n"/>
      <c r="B185" s="39" t="n"/>
      <c r="C185" s="40" t="n"/>
      <c r="D185" s="40" t="n"/>
      <c r="E185" s="40" t="n"/>
      <c r="F185" s="42" t="n"/>
      <c r="G185" s="45" t="n"/>
      <c r="H185" s="46" t="n"/>
      <c r="I185" s="40" t="n"/>
    </row>
    <row r="186">
      <c r="A186" s="39" t="n"/>
      <c r="B186" s="39" t="n"/>
      <c r="C186" s="40" t="n"/>
      <c r="D186" s="40" t="n"/>
      <c r="E186" s="40" t="n"/>
      <c r="F186" s="42" t="n"/>
      <c r="G186" s="45" t="n"/>
      <c r="H186" s="46" t="n"/>
      <c r="I186" s="40" t="n"/>
    </row>
    <row r="187">
      <c r="A187" s="39" t="n"/>
      <c r="B187" s="39" t="n"/>
      <c r="C187" s="40" t="n"/>
      <c r="D187" s="40" t="n"/>
      <c r="E187" s="40" t="n"/>
      <c r="F187" s="42" t="n"/>
      <c r="G187" s="45" t="n"/>
      <c r="H187" s="46" t="n"/>
      <c r="I187" s="40" t="n"/>
    </row>
    <row r="188">
      <c r="A188" s="39" t="n"/>
      <c r="B188" s="39" t="n"/>
      <c r="C188" s="40" t="n"/>
      <c r="D188" s="40" t="n"/>
      <c r="E188" s="40" t="n"/>
      <c r="F188" s="42" t="n"/>
      <c r="G188" s="45" t="n"/>
      <c r="H188" s="46" t="n"/>
      <c r="I188" s="40" t="n"/>
    </row>
    <row r="189">
      <c r="A189" s="39" t="n"/>
      <c r="B189" s="39" t="n"/>
      <c r="C189" s="40" t="n"/>
      <c r="D189" s="40" t="n"/>
      <c r="E189" s="40" t="n"/>
      <c r="F189" s="42" t="n"/>
      <c r="G189" s="45" t="n"/>
      <c r="H189" s="46" t="n"/>
      <c r="I189" s="40" t="n"/>
    </row>
    <row r="190">
      <c r="A190" s="39" t="n"/>
      <c r="B190" s="39" t="n"/>
      <c r="C190" s="40" t="n"/>
      <c r="D190" s="40" t="n"/>
      <c r="E190" s="40" t="n"/>
      <c r="F190" s="42" t="n"/>
      <c r="G190" s="45" t="n"/>
      <c r="H190" s="46" t="n"/>
      <c r="I190" s="40" t="n"/>
    </row>
    <row r="191">
      <c r="A191" s="39" t="n"/>
      <c r="B191" s="39" t="n"/>
      <c r="C191" s="40" t="n"/>
      <c r="D191" s="40" t="n"/>
      <c r="E191" s="40" t="n"/>
      <c r="F191" s="42" t="n"/>
      <c r="G191" s="45" t="n"/>
      <c r="H191" s="46" t="n"/>
      <c r="I191" s="40" t="n"/>
    </row>
    <row r="192">
      <c r="A192" s="39" t="n"/>
      <c r="B192" s="39" t="n"/>
      <c r="C192" s="40" t="n"/>
      <c r="D192" s="40" t="n"/>
      <c r="E192" s="40" t="n"/>
      <c r="F192" s="42" t="n"/>
      <c r="G192" s="45" t="n"/>
      <c r="H192" s="46" t="n"/>
      <c r="I192" s="40" t="n"/>
    </row>
    <row r="193">
      <c r="A193" s="39" t="n"/>
      <c r="B193" s="39" t="n"/>
      <c r="C193" s="40" t="n"/>
      <c r="D193" s="40" t="n"/>
      <c r="E193" s="40" t="n"/>
      <c r="F193" s="42" t="n"/>
      <c r="G193" s="45" t="n"/>
      <c r="H193" s="46" t="n"/>
      <c r="I193" s="40" t="n"/>
    </row>
    <row r="194">
      <c r="A194" s="39" t="n"/>
      <c r="B194" s="39" t="n"/>
      <c r="C194" s="40" t="n"/>
      <c r="D194" s="40" t="n"/>
      <c r="E194" s="40" t="n"/>
      <c r="F194" s="42" t="n"/>
      <c r="G194" s="45" t="n"/>
      <c r="H194" s="46" t="n"/>
      <c r="I194" s="40" t="n"/>
    </row>
    <row r="195">
      <c r="A195" s="39" t="n"/>
      <c r="B195" s="39" t="n"/>
      <c r="C195" s="40" t="n"/>
      <c r="D195" s="40" t="n"/>
      <c r="E195" s="40" t="n"/>
      <c r="F195" s="42" t="n"/>
      <c r="G195" s="45" t="n"/>
      <c r="H195" s="46" t="n"/>
      <c r="I195" s="40" t="n"/>
    </row>
    <row r="196">
      <c r="A196" s="39" t="n"/>
      <c r="B196" s="39" t="n"/>
      <c r="C196" s="40" t="n"/>
      <c r="D196" s="40" t="n"/>
      <c r="E196" s="40" t="n"/>
      <c r="F196" s="42" t="n"/>
      <c r="G196" s="45" t="n"/>
      <c r="H196" s="46" t="n"/>
      <c r="I196" s="40" t="n"/>
    </row>
    <row r="197">
      <c r="A197" s="39" t="n"/>
      <c r="B197" s="39" t="n"/>
      <c r="C197" s="40" t="n"/>
      <c r="D197" s="40" t="n"/>
      <c r="E197" s="40" t="n"/>
      <c r="F197" s="42" t="n"/>
      <c r="G197" s="45" t="n"/>
      <c r="H197" s="46" t="n"/>
      <c r="I197" s="40" t="n"/>
    </row>
    <row r="198">
      <c r="A198" s="39" t="n"/>
      <c r="B198" s="39" t="n"/>
      <c r="C198" s="40" t="n"/>
      <c r="D198" s="40" t="n"/>
      <c r="E198" s="40" t="n"/>
      <c r="F198" s="42" t="n"/>
      <c r="G198" s="45" t="n"/>
      <c r="H198" s="46" t="n"/>
      <c r="I198" s="40" t="n"/>
    </row>
    <row r="199">
      <c r="A199" s="39" t="n"/>
      <c r="B199" s="39" t="n"/>
      <c r="C199" s="40" t="n"/>
      <c r="D199" s="40" t="n"/>
      <c r="E199" s="40" t="n"/>
      <c r="F199" s="42" t="n"/>
      <c r="G199" s="45" t="n"/>
      <c r="H199" s="46" t="n"/>
      <c r="I199" s="40" t="n"/>
    </row>
    <row r="200">
      <c r="A200" s="39" t="n"/>
      <c r="B200" s="39" t="n"/>
      <c r="C200" s="40" t="n"/>
      <c r="D200" s="40" t="n"/>
      <c r="E200" s="40" t="n"/>
      <c r="F200" s="42" t="n"/>
      <c r="G200" s="45" t="n"/>
      <c r="H200" s="46" t="n"/>
      <c r="I200" s="40" t="n"/>
    </row>
    <row r="201">
      <c r="A201" s="39" t="n"/>
      <c r="B201" s="39" t="n"/>
      <c r="C201" s="40" t="n"/>
      <c r="D201" s="40" t="n"/>
      <c r="E201" s="40" t="n"/>
      <c r="F201" s="42" t="n"/>
      <c r="G201" s="45" t="n"/>
      <c r="H201" s="46" t="n"/>
      <c r="I201" s="40" t="n"/>
    </row>
    <row r="202">
      <c r="A202" s="39" t="n"/>
      <c r="B202" s="39" t="n"/>
      <c r="C202" s="40" t="n"/>
      <c r="D202" s="40" t="n"/>
      <c r="E202" s="40" t="n"/>
      <c r="F202" s="42" t="n"/>
      <c r="G202" s="45" t="n"/>
      <c r="H202" s="46" t="n"/>
      <c r="I202" s="40" t="n"/>
    </row>
    <row r="203">
      <c r="A203" s="39" t="n"/>
      <c r="B203" s="39" t="n"/>
      <c r="C203" s="40" t="n"/>
      <c r="D203" s="40" t="n"/>
      <c r="E203" s="40" t="n"/>
      <c r="F203" s="42" t="n"/>
      <c r="G203" s="45" t="n"/>
      <c r="H203" s="46" t="n"/>
      <c r="I203" s="40" t="n"/>
    </row>
    <row r="204">
      <c r="A204" s="39" t="n"/>
      <c r="B204" s="39" t="n"/>
      <c r="C204" s="40" t="n"/>
      <c r="D204" s="40" t="n"/>
      <c r="E204" s="40" t="n"/>
      <c r="F204" s="42" t="n"/>
      <c r="G204" s="45" t="n"/>
      <c r="H204" s="46" t="n"/>
      <c r="I204" s="40" t="n"/>
    </row>
    <row r="206">
      <c r="A206" s="20" t="inlineStr">
        <is>
          <t>Horas gastas antes: se o caso já vinha de antes, anote quantas horas ele consumiu até o dia em que você começou a lançar aqui (uma estimativa honesta serve). Elas entram no total do caso pelo custo-hora médio.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I204"/>
  <mergeCells count="2">
    <mergeCell ref="A1:I1"/>
    <mergeCell ref="A2:I2"/>
  </mergeCells>
  <dataValidations count="4">
    <dataValidation sqref="D5:D204" showDropDown="0" showInputMessage="0" showErrorMessage="0" allowBlank="1" type="list">
      <formula1>=OFFSET(Config!$A$12,0,0,MAX(1,COUNTA(Config!$A$12:$A$21)),1)</formula1>
    </dataValidation>
    <dataValidation sqref="E5:E204" showDropDown="0" showInputMessage="0" showErrorMessage="1" allowBlank="1" type="list">
      <formula1>"Fixo,Hora,Êxito,Misto,Interno"</formula1>
    </dataValidation>
    <dataValidation sqref="I5:I204" showDropDown="0" showInputMessage="0" showErrorMessage="0" allowBlank="1" type="list">
      <formula1>"Consultivo,Inicial,Instrução,Sentença,Recurso,Execução,Acordo,Encerrado"</formula1>
    </dataValidation>
    <dataValidation sqref="F5:H20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30" customWidth="1" min="4" max="4"/>
    <col width="8" customWidth="1" min="5" max="5"/>
    <col width="11" customWidth="1" min="6" max="6"/>
    <col width="26" customWidth="1" min="7" max="7"/>
    <col width="13" customWidth="1" min="8" max="8"/>
    <col width="6" customWidth="1" min="9" max="9"/>
    <col width="7" customWidth="1" min="10" max="10"/>
  </cols>
  <sheetData>
    <row r="1" ht="28" customHeight="1">
      <c r="A1" s="5" t="inlineStr">
        <is>
          <t>Lançamentos de horas</t>
        </is>
      </c>
    </row>
    <row r="2">
      <c r="A2" s="6" t="inlineStr">
        <is>
          <t>Uma linha por pessoa, por dia, por caso. Pessoa, caso e atividade vêm de listas; cliente, custo e mês são calculados.</t>
        </is>
      </c>
    </row>
    <row r="4" ht="26" customHeight="1">
      <c r="A4" s="22" t="inlineStr">
        <is>
          <t>Data</t>
        </is>
      </c>
      <c r="B4" s="22" t="inlineStr">
        <is>
          <t>Pessoa</t>
        </is>
      </c>
      <c r="C4" s="22" t="inlineStr">
        <is>
          <t>Caso</t>
        </is>
      </c>
      <c r="D4" s="22" t="inlineStr">
        <is>
          <t>Atividade</t>
        </is>
      </c>
      <c r="E4" s="22" t="inlineStr">
        <is>
          <t>Horas</t>
        </is>
      </c>
      <c r="F4" s="22" t="inlineStr">
        <is>
          <t>Faturável?</t>
        </is>
      </c>
      <c r="G4" s="22" t="inlineStr">
        <is>
          <t>Cliente</t>
        </is>
      </c>
      <c r="H4" s="22" t="inlineStr">
        <is>
          <t>Custo (R$)</t>
        </is>
      </c>
      <c r="I4" s="22" t="inlineStr">
        <is>
          <t>Mês</t>
        </is>
      </c>
      <c r="J4" s="22" t="inlineStr">
        <is>
          <t>Ano</t>
        </is>
      </c>
    </row>
    <row r="5">
      <c r="A5" s="47" t="n">
        <v>46204</v>
      </c>
      <c r="B5" s="40" t="inlineStr">
        <is>
          <t>Rafael Lima</t>
        </is>
      </c>
      <c r="C5" s="39" t="inlineStr">
        <is>
          <t>9236009-85.2026.8.26.0452</t>
        </is>
      </c>
      <c r="D5" s="39" t="inlineStr">
        <is>
          <t>Análise de documentos</t>
        </is>
      </c>
      <c r="E5" s="46" t="n">
        <v>3</v>
      </c>
      <c r="F5" s="40" t="inlineStr">
        <is>
          <t>Sim</t>
        </is>
      </c>
      <c r="G5" s="24">
        <f>IF(C5="","",IFERROR(INDEX(Casos!$B$5:$B$204,MATCH(C5,Casos!$A$5:$A$204,0)),""))</f>
        <v/>
      </c>
      <c r="H5" s="29">
        <f>IF(OR(B5="",E5=""),"",E5*IFERROR(INDEX(Config!$D$12:$D$21,MATCH(B5,Config!$A$12:$A$21,0)),Config!$B$23))</f>
        <v/>
      </c>
      <c r="I5" s="23">
        <f>IF(A5="","",MONTH(A5))</f>
        <v/>
      </c>
      <c r="J5" s="23">
        <f>IF(A5="","",YEAR(A5))</f>
        <v/>
      </c>
    </row>
    <row r="6">
      <c r="A6" s="47" t="n">
        <v>46205</v>
      </c>
      <c r="B6" s="40" t="inlineStr">
        <is>
          <t>Júlia Prado</t>
        </is>
      </c>
      <c r="C6" s="39" t="inlineStr">
        <is>
          <t>9717671-36.2026.8.26.0445</t>
        </is>
      </c>
      <c r="D6" s="39" t="inlineStr">
        <is>
          <t>Diligência externa</t>
        </is>
      </c>
      <c r="E6" s="46" t="n">
        <v>1.5</v>
      </c>
      <c r="F6" s="40" t="inlineStr">
        <is>
          <t>Sim</t>
        </is>
      </c>
      <c r="G6" s="24">
        <f>IF(C6="","",IFERROR(INDEX(Casos!$B$5:$B$204,MATCH(C6,Casos!$A$5:$A$204,0)),""))</f>
        <v/>
      </c>
      <c r="H6" s="29">
        <f>IF(OR(B6="",E6=""),"",E6*IFERROR(INDEX(Config!$D$12:$D$21,MATCH(B6,Config!$A$12:$A$21,0)),Config!$B$23))</f>
        <v/>
      </c>
      <c r="I6" s="23">
        <f>IF(A6="","",MONTH(A6))</f>
        <v/>
      </c>
      <c r="J6" s="23">
        <f>IF(A6="","",YEAR(A6))</f>
        <v/>
      </c>
    </row>
    <row r="7">
      <c r="A7" s="47" t="n">
        <v>46205</v>
      </c>
      <c r="B7" s="40" t="inlineStr">
        <is>
          <t>Marina Ferraz</t>
        </is>
      </c>
      <c r="C7" s="39" t="inlineStr">
        <is>
          <t>6545676-47.2025.8.26.0126</t>
        </is>
      </c>
      <c r="D7" s="39" t="inlineStr">
        <is>
          <t>Diligência externa</t>
        </is>
      </c>
      <c r="E7" s="46" t="n">
        <v>1.5</v>
      </c>
      <c r="F7" s="40" t="inlineStr">
        <is>
          <t>Sim</t>
        </is>
      </c>
      <c r="G7" s="24">
        <f>IF(C7="","",IFERROR(INDEX(Casos!$B$5:$B$204,MATCH(C7,Casos!$A$5:$A$204,0)),""))</f>
        <v/>
      </c>
      <c r="H7" s="29">
        <f>IF(OR(B7="",E7=""),"",E7*IFERROR(INDEX(Config!$D$12:$D$21,MATCH(B7,Config!$A$12:$A$21,0)),Config!$B$23))</f>
        <v/>
      </c>
      <c r="I7" s="23">
        <f>IF(A7="","",MONTH(A7))</f>
        <v/>
      </c>
      <c r="J7" s="23">
        <f>IF(A7="","",YEAR(A7))</f>
        <v/>
      </c>
    </row>
    <row r="8">
      <c r="A8" s="47" t="n">
        <v>46205</v>
      </c>
      <c r="B8" s="40" t="inlineStr">
        <is>
          <t>Rafael Lima</t>
        </is>
      </c>
      <c r="C8" s="39" t="inlineStr">
        <is>
          <t>3930894-43.2025.8.26.0476</t>
        </is>
      </c>
      <c r="D8" s="39" t="inlineStr">
        <is>
          <t>Audiência</t>
        </is>
      </c>
      <c r="E8" s="46" t="n">
        <v>2.5</v>
      </c>
      <c r="F8" s="40" t="inlineStr">
        <is>
          <t>Sim</t>
        </is>
      </c>
      <c r="G8" s="24">
        <f>IF(C8="","",IFERROR(INDEX(Casos!$B$5:$B$204,MATCH(C8,Casos!$A$5:$A$204,0)),""))</f>
        <v/>
      </c>
      <c r="H8" s="29">
        <f>IF(OR(B8="",E8=""),"",E8*IFERROR(INDEX(Config!$D$12:$D$21,MATCH(B8,Config!$A$12:$A$21,0)),Config!$B$23))</f>
        <v/>
      </c>
      <c r="I8" s="23">
        <f>IF(A8="","",MONTH(A8))</f>
        <v/>
      </c>
      <c r="J8" s="23">
        <f>IF(A8="","",YEAR(A8))</f>
        <v/>
      </c>
    </row>
    <row r="9">
      <c r="A9" s="47" t="n">
        <v>46206</v>
      </c>
      <c r="B9" s="40" t="inlineStr">
        <is>
          <t>Júlia Prado</t>
        </is>
      </c>
      <c r="C9" s="39" t="inlineStr">
        <is>
          <t>9236009-85.2026.8.26.0452</t>
        </is>
      </c>
      <c r="D9" s="39" t="inlineStr">
        <is>
          <t>Análise de documentos</t>
        </is>
      </c>
      <c r="E9" s="46" t="n">
        <v>2.5</v>
      </c>
      <c r="F9" s="40" t="inlineStr">
        <is>
          <t>Sim</t>
        </is>
      </c>
      <c r="G9" s="24">
        <f>IF(C9="","",IFERROR(INDEX(Casos!$B$5:$B$204,MATCH(C9,Casos!$A$5:$A$204,0)),""))</f>
        <v/>
      </c>
      <c r="H9" s="29">
        <f>IF(OR(B9="",E9=""),"",E9*IFERROR(INDEX(Config!$D$12:$D$21,MATCH(B9,Config!$A$12:$A$21,0)),Config!$B$23))</f>
        <v/>
      </c>
      <c r="I9" s="23">
        <f>IF(A9="","",MONTH(A9))</f>
        <v/>
      </c>
      <c r="J9" s="23">
        <f>IF(A9="","",YEAR(A9))</f>
        <v/>
      </c>
    </row>
    <row r="10">
      <c r="A10" s="47" t="n">
        <v>46206</v>
      </c>
      <c r="B10" s="40" t="inlineStr">
        <is>
          <t>Júlia Prado</t>
        </is>
      </c>
      <c r="C10" s="39" t="inlineStr">
        <is>
          <t>9236009-85.2026.8.26.0452</t>
        </is>
      </c>
      <c r="D10" s="39" t="inlineStr">
        <is>
          <t>Análise de documentos</t>
        </is>
      </c>
      <c r="E10" s="46" t="n">
        <v>3</v>
      </c>
      <c r="F10" s="40" t="inlineStr">
        <is>
          <t>Sim</t>
        </is>
      </c>
      <c r="G10" s="24">
        <f>IF(C10="","",IFERROR(INDEX(Casos!$B$5:$B$204,MATCH(C10,Casos!$A$5:$A$204,0)),""))</f>
        <v/>
      </c>
      <c r="H10" s="29">
        <f>IF(OR(B10="",E10=""),"",E10*IFERROR(INDEX(Config!$D$12:$D$21,MATCH(B10,Config!$A$12:$A$21,0)),Config!$B$23))</f>
        <v/>
      </c>
      <c r="I10" s="23">
        <f>IF(A10="","",MONTH(A10))</f>
        <v/>
      </c>
      <c r="J10" s="23">
        <f>IF(A10="","",YEAR(A10))</f>
        <v/>
      </c>
    </row>
    <row r="11">
      <c r="A11" s="47" t="n">
        <v>46206</v>
      </c>
      <c r="B11" s="40" t="inlineStr">
        <is>
          <t>Rafael Lima</t>
        </is>
      </c>
      <c r="C11" s="39" t="inlineStr">
        <is>
          <t>5470559-73.2026.8.26.0380</t>
        </is>
      </c>
      <c r="D11" s="39" t="inlineStr">
        <is>
          <t>Deslocamento</t>
        </is>
      </c>
      <c r="E11" s="46" t="n">
        <v>3</v>
      </c>
      <c r="F11" s="40" t="inlineStr">
        <is>
          <t>Não</t>
        </is>
      </c>
      <c r="G11" s="24">
        <f>IF(C11="","",IFERROR(INDEX(Casos!$B$5:$B$204,MATCH(C11,Casos!$A$5:$A$204,0)),""))</f>
        <v/>
      </c>
      <c r="H11" s="29">
        <f>IF(OR(B11="",E11=""),"",E11*IFERROR(INDEX(Config!$D$12:$D$21,MATCH(B11,Config!$A$12:$A$21,0)),Config!$B$23))</f>
        <v/>
      </c>
      <c r="I11" s="23">
        <f>IF(A11="","",MONTH(A11))</f>
        <v/>
      </c>
      <c r="J11" s="23">
        <f>IF(A11="","",YEAR(A11))</f>
        <v/>
      </c>
    </row>
    <row r="12">
      <c r="A12" s="47" t="n">
        <v>46209</v>
      </c>
      <c r="B12" s="40" t="inlineStr">
        <is>
          <t>Marina Ferraz</t>
        </is>
      </c>
      <c r="C12" s="39" t="inlineStr">
        <is>
          <t>7598076-58.2025.8.26.0552</t>
        </is>
      </c>
      <c r="D12" s="39" t="inlineStr">
        <is>
          <t>Administrativo do caso</t>
        </is>
      </c>
      <c r="E12" s="46" t="n">
        <v>0.5</v>
      </c>
      <c r="F12" s="40" t="inlineStr">
        <is>
          <t>Sim</t>
        </is>
      </c>
      <c r="G12" s="24">
        <f>IF(C12="","",IFERROR(INDEX(Casos!$B$5:$B$204,MATCH(C12,Casos!$A$5:$A$204,0)),""))</f>
        <v/>
      </c>
      <c r="H12" s="29">
        <f>IF(OR(B12="",E12=""),"",E12*IFERROR(INDEX(Config!$D$12:$D$21,MATCH(B12,Config!$A$12:$A$21,0)),Config!$B$23))</f>
        <v/>
      </c>
      <c r="I12" s="23">
        <f>IF(A12="","",MONTH(A12))</f>
        <v/>
      </c>
      <c r="J12" s="23">
        <f>IF(A12="","",YEAR(A12))</f>
        <v/>
      </c>
    </row>
    <row r="13">
      <c r="A13" s="47" t="n">
        <v>46209</v>
      </c>
      <c r="B13" s="40" t="inlineStr">
        <is>
          <t>Rafael Lima</t>
        </is>
      </c>
      <c r="C13" s="39" t="inlineStr">
        <is>
          <t>9225646-96.2026.8.26.0322</t>
        </is>
      </c>
      <c r="D13" s="39" t="inlineStr">
        <is>
          <t>Diligência externa</t>
        </is>
      </c>
      <c r="E13" s="46" t="n">
        <v>2</v>
      </c>
      <c r="F13" s="40" t="inlineStr">
        <is>
          <t>Sim</t>
        </is>
      </c>
      <c r="G13" s="24">
        <f>IF(C13="","",IFERROR(INDEX(Casos!$B$5:$B$204,MATCH(C13,Casos!$A$5:$A$204,0)),""))</f>
        <v/>
      </c>
      <c r="H13" s="29">
        <f>IF(OR(B13="",E13=""),"",E13*IFERROR(INDEX(Config!$D$12:$D$21,MATCH(B13,Config!$A$12:$A$21,0)),Config!$B$23))</f>
        <v/>
      </c>
      <c r="I13" s="23">
        <f>IF(A13="","",MONTH(A13))</f>
        <v/>
      </c>
      <c r="J13" s="23">
        <f>IF(A13="","",YEAR(A13))</f>
        <v/>
      </c>
    </row>
    <row r="14">
      <c r="A14" s="47" t="n">
        <v>46209</v>
      </c>
      <c r="B14" s="40" t="inlineStr">
        <is>
          <t>Rafael Lima</t>
        </is>
      </c>
      <c r="C14" s="39" t="inlineStr">
        <is>
          <t>Gestão do escritório</t>
        </is>
      </c>
      <c r="D14" s="39" t="inlineStr">
        <is>
          <t>Gestão do escritório</t>
        </is>
      </c>
      <c r="E14" s="46" t="n">
        <v>2.5</v>
      </c>
      <c r="F14" s="40" t="inlineStr">
        <is>
          <t>Não</t>
        </is>
      </c>
      <c r="G14" s="24">
        <f>IF(C14="","",IFERROR(INDEX(Casos!$B$5:$B$204,MATCH(C14,Casos!$A$5:$A$204,0)),""))</f>
        <v/>
      </c>
      <c r="H14" s="29">
        <f>IF(OR(B14="",E14=""),"",E14*IFERROR(INDEX(Config!$D$12:$D$21,MATCH(B14,Config!$A$12:$A$21,0)),Config!$B$23))</f>
        <v/>
      </c>
      <c r="I14" s="23">
        <f>IF(A14="","",MONTH(A14))</f>
        <v/>
      </c>
      <c r="J14" s="23">
        <f>IF(A14="","",YEAR(A14))</f>
        <v/>
      </c>
    </row>
    <row r="15">
      <c r="A15" s="47" t="n">
        <v>46210</v>
      </c>
      <c r="B15" s="40" t="inlineStr">
        <is>
          <t>Júlia Prado</t>
        </is>
      </c>
      <c r="C15" s="39" t="inlineStr">
        <is>
          <t>8986364-51.2026.8.26.0700</t>
        </is>
      </c>
      <c r="D15" s="39" t="inlineStr">
        <is>
          <t>Elaboração de documento</t>
        </is>
      </c>
      <c r="E15" s="46" t="n">
        <v>3.5</v>
      </c>
      <c r="F15" s="40" t="inlineStr">
        <is>
          <t>Sim</t>
        </is>
      </c>
      <c r="G15" s="24">
        <f>IF(C15="","",IFERROR(INDEX(Casos!$B$5:$B$204,MATCH(C15,Casos!$A$5:$A$204,0)),""))</f>
        <v/>
      </c>
      <c r="H15" s="29">
        <f>IF(OR(B15="",E15=""),"",E15*IFERROR(INDEX(Config!$D$12:$D$21,MATCH(B15,Config!$A$12:$A$21,0)),Config!$B$23))</f>
        <v/>
      </c>
      <c r="I15" s="23">
        <f>IF(A15="","",MONTH(A15))</f>
        <v/>
      </c>
      <c r="J15" s="23">
        <f>IF(A15="","",YEAR(A15))</f>
        <v/>
      </c>
    </row>
    <row r="16">
      <c r="A16" s="47" t="n">
        <v>46210</v>
      </c>
      <c r="B16" s="40" t="inlineStr">
        <is>
          <t>Marina Ferraz</t>
        </is>
      </c>
      <c r="C16" s="39" t="inlineStr">
        <is>
          <t>8986364-51.2026.8.26.0700</t>
        </is>
      </c>
      <c r="D16" s="39" t="inlineStr">
        <is>
          <t>Elaboração de documento</t>
        </is>
      </c>
      <c r="E16" s="46" t="n">
        <v>2.5</v>
      </c>
      <c r="F16" s="40" t="inlineStr">
        <is>
          <t>Sim</t>
        </is>
      </c>
      <c r="G16" s="24">
        <f>IF(C16="","",IFERROR(INDEX(Casos!$B$5:$B$204,MATCH(C16,Casos!$A$5:$A$204,0)),""))</f>
        <v/>
      </c>
      <c r="H16" s="29">
        <f>IF(OR(B16="",E16=""),"",E16*IFERROR(INDEX(Config!$D$12:$D$21,MATCH(B16,Config!$A$12:$A$21,0)),Config!$B$23))</f>
        <v/>
      </c>
      <c r="I16" s="23">
        <f>IF(A16="","",MONTH(A16))</f>
        <v/>
      </c>
      <c r="J16" s="23">
        <f>IF(A16="","",YEAR(A16))</f>
        <v/>
      </c>
    </row>
    <row r="17">
      <c r="A17" s="47" t="n">
        <v>46210</v>
      </c>
      <c r="B17" s="40" t="inlineStr">
        <is>
          <t>Marina Ferraz</t>
        </is>
      </c>
      <c r="C17" s="39" t="inlineStr">
        <is>
          <t>6545676-47.2025.8.26.0126</t>
        </is>
      </c>
      <c r="D17" s="39" t="inlineStr">
        <is>
          <t>Audiência</t>
        </is>
      </c>
      <c r="E17" s="46" t="n">
        <v>2.5</v>
      </c>
      <c r="F17" s="40" t="inlineStr">
        <is>
          <t>Sim</t>
        </is>
      </c>
      <c r="G17" s="24">
        <f>IF(C17="","",IFERROR(INDEX(Casos!$B$5:$B$204,MATCH(C17,Casos!$A$5:$A$204,0)),""))</f>
        <v/>
      </c>
      <c r="H17" s="29">
        <f>IF(OR(B17="",E17=""),"",E17*IFERROR(INDEX(Config!$D$12:$D$21,MATCH(B17,Config!$A$12:$A$21,0)),Config!$B$23))</f>
        <v/>
      </c>
      <c r="I17" s="23">
        <f>IF(A17="","",MONTH(A17))</f>
        <v/>
      </c>
      <c r="J17" s="23">
        <f>IF(A17="","",YEAR(A17))</f>
        <v/>
      </c>
    </row>
    <row r="18">
      <c r="A18" s="47" t="n">
        <v>46210</v>
      </c>
      <c r="B18" s="40" t="inlineStr">
        <is>
          <t>Rafael Lima</t>
        </is>
      </c>
      <c r="C18" s="39" t="inlineStr">
        <is>
          <t>3310587-30.2026.8.26.0678</t>
        </is>
      </c>
      <c r="D18" s="39" t="inlineStr">
        <is>
          <t>Elaboração de documento</t>
        </is>
      </c>
      <c r="E18" s="46" t="n">
        <v>4</v>
      </c>
      <c r="F18" s="40" t="inlineStr">
        <is>
          <t>Sim</t>
        </is>
      </c>
      <c r="G18" s="24">
        <f>IF(C18="","",IFERROR(INDEX(Casos!$B$5:$B$204,MATCH(C18,Casos!$A$5:$A$204,0)),""))</f>
        <v/>
      </c>
      <c r="H18" s="29">
        <f>IF(OR(B18="",E18=""),"",E18*IFERROR(INDEX(Config!$D$12:$D$21,MATCH(B18,Config!$A$12:$A$21,0)),Config!$B$23))</f>
        <v/>
      </c>
      <c r="I18" s="23">
        <f>IF(A18="","",MONTH(A18))</f>
        <v/>
      </c>
      <c r="J18" s="23">
        <f>IF(A18="","",YEAR(A18))</f>
        <v/>
      </c>
    </row>
    <row r="19">
      <c r="A19" s="47" t="n">
        <v>46210</v>
      </c>
      <c r="B19" s="40" t="inlineStr">
        <is>
          <t>Rafael Lima</t>
        </is>
      </c>
      <c r="C19" s="39" t="inlineStr">
        <is>
          <t>Captação e propostas</t>
        </is>
      </c>
      <c r="D19" s="39" t="inlineStr">
        <is>
          <t>Captação e propostas</t>
        </is>
      </c>
      <c r="E19" s="46" t="n">
        <v>1.5</v>
      </c>
      <c r="F19" s="40" t="inlineStr">
        <is>
          <t>Não</t>
        </is>
      </c>
      <c r="G19" s="24">
        <f>IF(C19="","",IFERROR(INDEX(Casos!$B$5:$B$204,MATCH(C19,Casos!$A$5:$A$204,0)),""))</f>
        <v/>
      </c>
      <c r="H19" s="29">
        <f>IF(OR(B19="",E19=""),"",E19*IFERROR(INDEX(Config!$D$12:$D$21,MATCH(B19,Config!$A$12:$A$21,0)),Config!$B$23))</f>
        <v/>
      </c>
      <c r="I19" s="23">
        <f>IF(A19="","",MONTH(A19))</f>
        <v/>
      </c>
      <c r="J19" s="23">
        <f>IF(A19="","",YEAR(A19))</f>
        <v/>
      </c>
    </row>
    <row r="20">
      <c r="A20" s="47" t="n">
        <v>46211</v>
      </c>
      <c r="B20" s="40" t="inlineStr">
        <is>
          <t>Júlia Prado</t>
        </is>
      </c>
      <c r="C20" s="39" t="inlineStr">
        <is>
          <t>9778116-95.2026.8.26.0106</t>
        </is>
      </c>
      <c r="D20" s="39" t="inlineStr">
        <is>
          <t>Deslocamento</t>
        </is>
      </c>
      <c r="E20" s="46" t="n">
        <v>4</v>
      </c>
      <c r="F20" s="40" t="inlineStr">
        <is>
          <t>Não</t>
        </is>
      </c>
      <c r="G20" s="24">
        <f>IF(C20="","",IFERROR(INDEX(Casos!$B$5:$B$204,MATCH(C20,Casos!$A$5:$A$204,0)),""))</f>
        <v/>
      </c>
      <c r="H20" s="29">
        <f>IF(OR(B20="",E20=""),"",E20*IFERROR(INDEX(Config!$D$12:$D$21,MATCH(B20,Config!$A$12:$A$21,0)),Config!$B$23))</f>
        <v/>
      </c>
      <c r="I20" s="23">
        <f>IF(A20="","",MONTH(A20))</f>
        <v/>
      </c>
      <c r="J20" s="23">
        <f>IF(A20="","",YEAR(A20))</f>
        <v/>
      </c>
    </row>
    <row r="21">
      <c r="A21" s="47" t="n">
        <v>46211</v>
      </c>
      <c r="B21" s="40" t="inlineStr">
        <is>
          <t>Júlia Prado</t>
        </is>
      </c>
      <c r="C21" s="39" t="inlineStr">
        <is>
          <t>Gestão do escritório</t>
        </is>
      </c>
      <c r="D21" s="39" t="inlineStr">
        <is>
          <t>Gestão do escritório</t>
        </is>
      </c>
      <c r="E21" s="46" t="n">
        <v>2.5</v>
      </c>
      <c r="F21" s="40" t="inlineStr">
        <is>
          <t>Não</t>
        </is>
      </c>
      <c r="G21" s="24">
        <f>IF(C21="","",IFERROR(INDEX(Casos!$B$5:$B$204,MATCH(C21,Casos!$A$5:$A$204,0)),""))</f>
        <v/>
      </c>
      <c r="H21" s="29">
        <f>IF(OR(B21="",E21=""),"",E21*IFERROR(INDEX(Config!$D$12:$D$21,MATCH(B21,Config!$A$12:$A$21,0)),Config!$B$23))</f>
        <v/>
      </c>
      <c r="I21" s="23">
        <f>IF(A21="","",MONTH(A21))</f>
        <v/>
      </c>
      <c r="J21" s="23">
        <f>IF(A21="","",YEAR(A21))</f>
        <v/>
      </c>
    </row>
    <row r="22">
      <c r="A22" s="47" t="n">
        <v>46211</v>
      </c>
      <c r="B22" s="40" t="inlineStr">
        <is>
          <t>Marina Ferraz</t>
        </is>
      </c>
      <c r="C22" s="39" t="inlineStr">
        <is>
          <t>4397912-47.2025.8.26.0276</t>
        </is>
      </c>
      <c r="D22" s="39" t="inlineStr">
        <is>
          <t>Pesquisa e estudo do caso</t>
        </is>
      </c>
      <c r="E22" s="46" t="n">
        <v>3.5</v>
      </c>
      <c r="F22" s="40" t="inlineStr">
        <is>
          <t>Sim</t>
        </is>
      </c>
      <c r="G22" s="24">
        <f>IF(C22="","",IFERROR(INDEX(Casos!$B$5:$B$204,MATCH(C22,Casos!$A$5:$A$204,0)),""))</f>
        <v/>
      </c>
      <c r="H22" s="29">
        <f>IF(OR(B22="",E22=""),"",E22*IFERROR(INDEX(Config!$D$12:$D$21,MATCH(B22,Config!$A$12:$A$21,0)),Config!$B$23))</f>
        <v/>
      </c>
      <c r="I22" s="23">
        <f>IF(A22="","",MONTH(A22))</f>
        <v/>
      </c>
      <c r="J22" s="23">
        <f>IF(A22="","",YEAR(A22))</f>
        <v/>
      </c>
    </row>
    <row r="23">
      <c r="A23" s="47" t="n">
        <v>46211</v>
      </c>
      <c r="B23" s="40" t="inlineStr">
        <is>
          <t>Marina Ferraz</t>
        </is>
      </c>
      <c r="C23" s="39" t="inlineStr">
        <is>
          <t>7658179-42.2026.8.26.0152</t>
        </is>
      </c>
      <c r="D23" s="39" t="inlineStr">
        <is>
          <t>Pesquisa e estudo do caso</t>
        </is>
      </c>
      <c r="E23" s="46" t="n">
        <v>2</v>
      </c>
      <c r="F23" s="40" t="inlineStr">
        <is>
          <t>Sim</t>
        </is>
      </c>
      <c r="G23" s="24">
        <f>IF(C23="","",IFERROR(INDEX(Casos!$B$5:$B$204,MATCH(C23,Casos!$A$5:$A$204,0)),""))</f>
        <v/>
      </c>
      <c r="H23" s="29">
        <f>IF(OR(B23="",E23=""),"",E23*IFERROR(INDEX(Config!$D$12:$D$21,MATCH(B23,Config!$A$12:$A$21,0)),Config!$B$23))</f>
        <v/>
      </c>
      <c r="I23" s="23">
        <f>IF(A23="","",MONTH(A23))</f>
        <v/>
      </c>
      <c r="J23" s="23">
        <f>IF(A23="","",YEAR(A23))</f>
        <v/>
      </c>
    </row>
    <row r="24">
      <c r="A24" s="47" t="n">
        <v>46211</v>
      </c>
      <c r="B24" s="40" t="inlineStr">
        <is>
          <t>Marina Ferraz</t>
        </is>
      </c>
      <c r="C24" s="39" t="inlineStr">
        <is>
          <t>Gestão do escritório</t>
        </is>
      </c>
      <c r="D24" s="39" t="inlineStr">
        <is>
          <t>Gestão do escritório</t>
        </is>
      </c>
      <c r="E24" s="46" t="n">
        <v>2.5</v>
      </c>
      <c r="F24" s="40" t="inlineStr">
        <is>
          <t>Não</t>
        </is>
      </c>
      <c r="G24" s="24">
        <f>IF(C24="","",IFERROR(INDEX(Casos!$B$5:$B$204,MATCH(C24,Casos!$A$5:$A$204,0)),""))</f>
        <v/>
      </c>
      <c r="H24" s="29">
        <f>IF(OR(B24="",E24=""),"",E24*IFERROR(INDEX(Config!$D$12:$D$21,MATCH(B24,Config!$A$12:$A$21,0)),Config!$B$23))</f>
        <v/>
      </c>
      <c r="I24" s="23">
        <f>IF(A24="","",MONTH(A24))</f>
        <v/>
      </c>
      <c r="J24" s="23">
        <f>IF(A24="","",YEAR(A24))</f>
        <v/>
      </c>
    </row>
    <row r="25">
      <c r="A25" s="47" t="n">
        <v>46212</v>
      </c>
      <c r="B25" s="40" t="inlineStr">
        <is>
          <t>Marina Ferraz</t>
        </is>
      </c>
      <c r="C25" s="39" t="inlineStr">
        <is>
          <t>5297049-18.2026.8.26.0015</t>
        </is>
      </c>
      <c r="D25" s="39" t="inlineStr">
        <is>
          <t>Reunião com cliente</t>
        </is>
      </c>
      <c r="E25" s="46" t="n">
        <v>3.5</v>
      </c>
      <c r="F25" s="40" t="inlineStr">
        <is>
          <t>Sim</t>
        </is>
      </c>
      <c r="G25" s="24">
        <f>IF(C25="","",IFERROR(INDEX(Casos!$B$5:$B$204,MATCH(C25,Casos!$A$5:$A$204,0)),""))</f>
        <v/>
      </c>
      <c r="H25" s="29">
        <f>IF(OR(B25="",E25=""),"",E25*IFERROR(INDEX(Config!$D$12:$D$21,MATCH(B25,Config!$A$12:$A$21,0)),Config!$B$23))</f>
        <v/>
      </c>
      <c r="I25" s="23">
        <f>IF(A25="","",MONTH(A25))</f>
        <v/>
      </c>
      <c r="J25" s="23">
        <f>IF(A25="","",YEAR(A25))</f>
        <v/>
      </c>
    </row>
    <row r="26">
      <c r="A26" s="47" t="n">
        <v>46212</v>
      </c>
      <c r="B26" s="40" t="inlineStr">
        <is>
          <t>Marina Ferraz</t>
        </is>
      </c>
      <c r="C26" s="39" t="inlineStr">
        <is>
          <t>Captação e propostas</t>
        </is>
      </c>
      <c r="D26" s="39" t="inlineStr">
        <is>
          <t>Captação e propostas</t>
        </is>
      </c>
      <c r="E26" s="46" t="n">
        <v>2</v>
      </c>
      <c r="F26" s="40" t="inlineStr">
        <is>
          <t>Não</t>
        </is>
      </c>
      <c r="G26" s="24">
        <f>IF(C26="","",IFERROR(INDEX(Casos!$B$5:$B$204,MATCH(C26,Casos!$A$5:$A$204,0)),""))</f>
        <v/>
      </c>
      <c r="H26" s="29">
        <f>IF(OR(B26="",E26=""),"",E26*IFERROR(INDEX(Config!$D$12:$D$21,MATCH(B26,Config!$A$12:$A$21,0)),Config!$B$23))</f>
        <v/>
      </c>
      <c r="I26" s="23">
        <f>IF(A26="","",MONTH(A26))</f>
        <v/>
      </c>
      <c r="J26" s="23">
        <f>IF(A26="","",YEAR(A26))</f>
        <v/>
      </c>
    </row>
    <row r="27">
      <c r="A27" s="47" t="n">
        <v>46212</v>
      </c>
      <c r="B27" s="40" t="inlineStr">
        <is>
          <t>Rafael Lima</t>
        </is>
      </c>
      <c r="C27" s="39" t="inlineStr">
        <is>
          <t>8986364-51.2026.8.26.0700</t>
        </is>
      </c>
      <c r="D27" s="39" t="inlineStr">
        <is>
          <t>Administrativo do caso</t>
        </is>
      </c>
      <c r="E27" s="46" t="n">
        <v>2.5</v>
      </c>
      <c r="F27" s="40" t="inlineStr">
        <is>
          <t>Não</t>
        </is>
      </c>
      <c r="G27" s="24">
        <f>IF(C27="","",IFERROR(INDEX(Casos!$B$5:$B$204,MATCH(C27,Casos!$A$5:$A$204,0)),""))</f>
        <v/>
      </c>
      <c r="H27" s="29">
        <f>IF(OR(B27="",E27=""),"",E27*IFERROR(INDEX(Config!$D$12:$D$21,MATCH(B27,Config!$A$12:$A$21,0)),Config!$B$23))</f>
        <v/>
      </c>
      <c r="I27" s="23">
        <f>IF(A27="","",MONTH(A27))</f>
        <v/>
      </c>
      <c r="J27" s="23">
        <f>IF(A27="","",YEAR(A27))</f>
        <v/>
      </c>
    </row>
    <row r="28">
      <c r="A28" s="47" t="n">
        <v>46216</v>
      </c>
      <c r="B28" s="40" t="inlineStr">
        <is>
          <t>Marina Ferraz</t>
        </is>
      </c>
      <c r="C28" s="39" t="inlineStr">
        <is>
          <t>9717671-36.2026.8.26.0445</t>
        </is>
      </c>
      <c r="D28" s="39" t="inlineStr">
        <is>
          <t>Análise de documentos</t>
        </is>
      </c>
      <c r="E28" s="46" t="n">
        <v>2.5</v>
      </c>
      <c r="F28" s="40" t="inlineStr">
        <is>
          <t>Sim</t>
        </is>
      </c>
      <c r="G28" s="24">
        <f>IF(C28="","",IFERROR(INDEX(Casos!$B$5:$B$204,MATCH(C28,Casos!$A$5:$A$204,0)),""))</f>
        <v/>
      </c>
      <c r="H28" s="29">
        <f>IF(OR(B28="",E28=""),"",E28*IFERROR(INDEX(Config!$D$12:$D$21,MATCH(B28,Config!$A$12:$A$21,0)),Config!$B$23))</f>
        <v/>
      </c>
      <c r="I28" s="23">
        <f>IF(A28="","",MONTH(A28))</f>
        <v/>
      </c>
      <c r="J28" s="23">
        <f>IF(A28="","",YEAR(A28))</f>
        <v/>
      </c>
    </row>
    <row r="29">
      <c r="A29" s="47" t="n">
        <v>46216</v>
      </c>
      <c r="B29" s="40" t="inlineStr">
        <is>
          <t>Marina Ferraz</t>
        </is>
      </c>
      <c r="C29" s="39" t="inlineStr">
        <is>
          <t>7658179-42.2026.8.26.0152</t>
        </is>
      </c>
      <c r="D29" s="39" t="inlineStr">
        <is>
          <t>Audiência</t>
        </is>
      </c>
      <c r="E29" s="46" t="n">
        <v>1</v>
      </c>
      <c r="F29" s="40" t="inlineStr">
        <is>
          <t>Sim</t>
        </is>
      </c>
      <c r="G29" s="24">
        <f>IF(C29="","",IFERROR(INDEX(Casos!$B$5:$B$204,MATCH(C29,Casos!$A$5:$A$204,0)),""))</f>
        <v/>
      </c>
      <c r="H29" s="29">
        <f>IF(OR(B29="",E29=""),"",E29*IFERROR(INDEX(Config!$D$12:$D$21,MATCH(B29,Config!$A$12:$A$21,0)),Config!$B$23))</f>
        <v/>
      </c>
      <c r="I29" s="23">
        <f>IF(A29="","",MONTH(A29))</f>
        <v/>
      </c>
      <c r="J29" s="23">
        <f>IF(A29="","",YEAR(A29))</f>
        <v/>
      </c>
    </row>
    <row r="30">
      <c r="A30" s="47" t="n">
        <v>46216</v>
      </c>
      <c r="B30" s="40" t="inlineStr">
        <is>
          <t>Rafael Lima</t>
        </is>
      </c>
      <c r="C30" s="39" t="inlineStr">
        <is>
          <t>4112092-92.2025.8.26.0646</t>
        </is>
      </c>
      <c r="D30" s="39" t="inlineStr">
        <is>
          <t>Deslocamento</t>
        </is>
      </c>
      <c r="E30" s="46" t="n">
        <v>1</v>
      </c>
      <c r="F30" s="40" t="inlineStr">
        <is>
          <t>Não</t>
        </is>
      </c>
      <c r="G30" s="24">
        <f>IF(C30="","",IFERROR(INDEX(Casos!$B$5:$B$204,MATCH(C30,Casos!$A$5:$A$204,0)),""))</f>
        <v/>
      </c>
      <c r="H30" s="29">
        <f>IF(OR(B30="",E30=""),"",E30*IFERROR(INDEX(Config!$D$12:$D$21,MATCH(B30,Config!$A$12:$A$21,0)),Config!$B$23))</f>
        <v/>
      </c>
      <c r="I30" s="23">
        <f>IF(A30="","",MONTH(A30))</f>
        <v/>
      </c>
      <c r="J30" s="23">
        <f>IF(A30="","",YEAR(A30))</f>
        <v/>
      </c>
    </row>
    <row r="31">
      <c r="A31" s="47" t="n">
        <v>46217</v>
      </c>
      <c r="B31" s="40" t="inlineStr">
        <is>
          <t>Marina Ferraz</t>
        </is>
      </c>
      <c r="C31" s="39" t="inlineStr">
        <is>
          <t>9717671-36.2026.8.26.0445</t>
        </is>
      </c>
      <c r="D31" s="39" t="inlineStr">
        <is>
          <t>Reunião com cliente</t>
        </is>
      </c>
      <c r="E31" s="46" t="n">
        <v>3</v>
      </c>
      <c r="F31" s="40" t="inlineStr">
        <is>
          <t>Sim</t>
        </is>
      </c>
      <c r="G31" s="24">
        <f>IF(C31="","",IFERROR(INDEX(Casos!$B$5:$B$204,MATCH(C31,Casos!$A$5:$A$204,0)),""))</f>
        <v/>
      </c>
      <c r="H31" s="29">
        <f>IF(OR(B31="",E31=""),"",E31*IFERROR(INDEX(Config!$D$12:$D$21,MATCH(B31,Config!$A$12:$A$21,0)),Config!$B$23))</f>
        <v/>
      </c>
      <c r="I31" s="23">
        <f>IF(A31="","",MONTH(A31))</f>
        <v/>
      </c>
      <c r="J31" s="23">
        <f>IF(A31="","",YEAR(A31))</f>
        <v/>
      </c>
    </row>
    <row r="32">
      <c r="A32" s="47" t="n">
        <v>46217</v>
      </c>
      <c r="B32" s="40" t="inlineStr">
        <is>
          <t>Marina Ferraz</t>
        </is>
      </c>
      <c r="C32" s="39" t="inlineStr">
        <is>
          <t>3003874-97.2026.8.26.0384</t>
        </is>
      </c>
      <c r="D32" s="39" t="inlineStr">
        <is>
          <t>Pesquisa e estudo do caso</t>
        </is>
      </c>
      <c r="E32" s="46" t="n">
        <v>1</v>
      </c>
      <c r="F32" s="40" t="inlineStr">
        <is>
          <t>Sim</t>
        </is>
      </c>
      <c r="G32" s="24">
        <f>IF(C32="","",IFERROR(INDEX(Casos!$B$5:$B$204,MATCH(C32,Casos!$A$5:$A$204,0)),""))</f>
        <v/>
      </c>
      <c r="H32" s="29">
        <f>IF(OR(B32="",E32=""),"",E32*IFERROR(INDEX(Config!$D$12:$D$21,MATCH(B32,Config!$A$12:$A$21,0)),Config!$B$23))</f>
        <v/>
      </c>
      <c r="I32" s="23">
        <f>IF(A32="","",MONTH(A32))</f>
        <v/>
      </c>
      <c r="J32" s="23">
        <f>IF(A32="","",YEAR(A32))</f>
        <v/>
      </c>
    </row>
    <row r="33">
      <c r="A33" s="47" t="n">
        <v>46217</v>
      </c>
      <c r="B33" s="40" t="inlineStr">
        <is>
          <t>Rafael Lima</t>
        </is>
      </c>
      <c r="C33" s="39" t="inlineStr">
        <is>
          <t>6258696-95.2026.8.26.0598</t>
        </is>
      </c>
      <c r="D33" s="39" t="inlineStr">
        <is>
          <t>Diligência externa</t>
        </is>
      </c>
      <c r="E33" s="46" t="n">
        <v>3</v>
      </c>
      <c r="F33" s="40" t="inlineStr">
        <is>
          <t>Sim</t>
        </is>
      </c>
      <c r="G33" s="24">
        <f>IF(C33="","",IFERROR(INDEX(Casos!$B$5:$B$204,MATCH(C33,Casos!$A$5:$A$204,0)),""))</f>
        <v/>
      </c>
      <c r="H33" s="29">
        <f>IF(OR(B33="",E33=""),"",E33*IFERROR(INDEX(Config!$D$12:$D$21,MATCH(B33,Config!$A$12:$A$21,0)),Config!$B$23))</f>
        <v/>
      </c>
      <c r="I33" s="23">
        <f>IF(A33="","",MONTH(A33))</f>
        <v/>
      </c>
      <c r="J33" s="23">
        <f>IF(A33="","",YEAR(A33))</f>
        <v/>
      </c>
    </row>
    <row r="34">
      <c r="A34" s="47" t="n">
        <v>46218</v>
      </c>
      <c r="B34" s="40" t="inlineStr">
        <is>
          <t>Júlia Prado</t>
        </is>
      </c>
      <c r="C34" s="39" t="inlineStr">
        <is>
          <t>6258696-95.2026.8.26.0598</t>
        </is>
      </c>
      <c r="D34" s="39" t="inlineStr">
        <is>
          <t>Deslocamento</t>
        </is>
      </c>
      <c r="E34" s="46" t="n">
        <v>1.5</v>
      </c>
      <c r="F34" s="40" t="inlineStr">
        <is>
          <t>Não</t>
        </is>
      </c>
      <c r="G34" s="24">
        <f>IF(C34="","",IFERROR(INDEX(Casos!$B$5:$B$204,MATCH(C34,Casos!$A$5:$A$204,0)),""))</f>
        <v/>
      </c>
      <c r="H34" s="29">
        <f>IF(OR(B34="",E34=""),"",E34*IFERROR(INDEX(Config!$D$12:$D$21,MATCH(B34,Config!$A$12:$A$21,0)),Config!$B$23))</f>
        <v/>
      </c>
      <c r="I34" s="23">
        <f>IF(A34="","",MONTH(A34))</f>
        <v/>
      </c>
      <c r="J34" s="23">
        <f>IF(A34="","",YEAR(A34))</f>
        <v/>
      </c>
    </row>
    <row r="35">
      <c r="A35" s="47" t="n">
        <v>46218</v>
      </c>
      <c r="B35" s="40" t="inlineStr">
        <is>
          <t>Júlia Prado</t>
        </is>
      </c>
      <c r="C35" s="39" t="inlineStr">
        <is>
          <t>8986364-51.2026.8.26.0700</t>
        </is>
      </c>
      <c r="D35" s="39" t="inlineStr">
        <is>
          <t>Diligência externa</t>
        </is>
      </c>
      <c r="E35" s="46" t="n">
        <v>3</v>
      </c>
      <c r="F35" s="40" t="inlineStr">
        <is>
          <t>Sim</t>
        </is>
      </c>
      <c r="G35" s="24">
        <f>IF(C35="","",IFERROR(INDEX(Casos!$B$5:$B$204,MATCH(C35,Casos!$A$5:$A$204,0)),""))</f>
        <v/>
      </c>
      <c r="H35" s="29">
        <f>IF(OR(B35="",E35=""),"",E35*IFERROR(INDEX(Config!$D$12:$D$21,MATCH(B35,Config!$A$12:$A$21,0)),Config!$B$23))</f>
        <v/>
      </c>
      <c r="I35" s="23">
        <f>IF(A35="","",MONTH(A35))</f>
        <v/>
      </c>
      <c r="J35" s="23">
        <f>IF(A35="","",YEAR(A35))</f>
        <v/>
      </c>
    </row>
    <row r="36">
      <c r="A36" s="47" t="n">
        <v>46218</v>
      </c>
      <c r="B36" s="40" t="inlineStr">
        <is>
          <t>Júlia Prado</t>
        </is>
      </c>
      <c r="C36" s="39" t="inlineStr">
        <is>
          <t>Gestão do escritório</t>
        </is>
      </c>
      <c r="D36" s="39" t="inlineStr">
        <is>
          <t>Gestão do escritório</t>
        </is>
      </c>
      <c r="E36" s="46" t="n">
        <v>2.5</v>
      </c>
      <c r="F36" s="40" t="inlineStr">
        <is>
          <t>Não</t>
        </is>
      </c>
      <c r="G36" s="24">
        <f>IF(C36="","",IFERROR(INDEX(Casos!$B$5:$B$204,MATCH(C36,Casos!$A$5:$A$204,0)),""))</f>
        <v/>
      </c>
      <c r="H36" s="29">
        <f>IF(OR(B36="",E36=""),"",E36*IFERROR(INDEX(Config!$D$12:$D$21,MATCH(B36,Config!$A$12:$A$21,0)),Config!$B$23))</f>
        <v/>
      </c>
      <c r="I36" s="23">
        <f>IF(A36="","",MONTH(A36))</f>
        <v/>
      </c>
      <c r="J36" s="23">
        <f>IF(A36="","",YEAR(A36))</f>
        <v/>
      </c>
    </row>
    <row r="37">
      <c r="A37" s="47" t="n">
        <v>46218</v>
      </c>
      <c r="B37" s="40" t="inlineStr">
        <is>
          <t>Marina Ferraz</t>
        </is>
      </c>
      <c r="C37" s="39" t="inlineStr">
        <is>
          <t>9717671-36.2026.8.26.0445</t>
        </is>
      </c>
      <c r="D37" s="39" t="inlineStr">
        <is>
          <t>Análise de documentos</t>
        </is>
      </c>
      <c r="E37" s="46" t="n">
        <v>3.5</v>
      </c>
      <c r="F37" s="40" t="inlineStr">
        <is>
          <t>Sim</t>
        </is>
      </c>
      <c r="G37" s="24">
        <f>IF(C37="","",IFERROR(INDEX(Casos!$B$5:$B$204,MATCH(C37,Casos!$A$5:$A$204,0)),""))</f>
        <v/>
      </c>
      <c r="H37" s="29">
        <f>IF(OR(B37="",E37=""),"",E37*IFERROR(INDEX(Config!$D$12:$D$21,MATCH(B37,Config!$A$12:$A$21,0)),Config!$B$23))</f>
        <v/>
      </c>
      <c r="I37" s="23">
        <f>IF(A37="","",MONTH(A37))</f>
        <v/>
      </c>
      <c r="J37" s="23">
        <f>IF(A37="","",YEAR(A37))</f>
        <v/>
      </c>
    </row>
    <row r="38">
      <c r="A38" s="47" t="n">
        <v>46218</v>
      </c>
      <c r="B38" s="40" t="inlineStr">
        <is>
          <t>Rafael Lima</t>
        </is>
      </c>
      <c r="C38" s="39" t="inlineStr">
        <is>
          <t>6710873-21.2025.8.26.0571</t>
        </is>
      </c>
      <c r="D38" s="39" t="inlineStr">
        <is>
          <t>Pesquisa e estudo do caso</t>
        </is>
      </c>
      <c r="E38" s="46" t="n">
        <v>2.5</v>
      </c>
      <c r="F38" s="40" t="inlineStr">
        <is>
          <t>Sim</t>
        </is>
      </c>
      <c r="G38" s="24">
        <f>IF(C38="","",IFERROR(INDEX(Casos!$B$5:$B$204,MATCH(C38,Casos!$A$5:$A$204,0)),""))</f>
        <v/>
      </c>
      <c r="H38" s="29">
        <f>IF(OR(B38="",E38=""),"",E38*IFERROR(INDEX(Config!$D$12:$D$21,MATCH(B38,Config!$A$12:$A$21,0)),Config!$B$23))</f>
        <v/>
      </c>
      <c r="I38" s="23">
        <f>IF(A38="","",MONTH(A38))</f>
        <v/>
      </c>
      <c r="J38" s="23">
        <f>IF(A38="","",YEAR(A38))</f>
        <v/>
      </c>
    </row>
    <row r="39">
      <c r="A39" s="47" t="n">
        <v>46218</v>
      </c>
      <c r="B39" s="40" t="inlineStr">
        <is>
          <t>Rafael Lima</t>
        </is>
      </c>
      <c r="C39" s="39" t="inlineStr">
        <is>
          <t>5470559-73.2026.8.26.0380</t>
        </is>
      </c>
      <c r="D39" s="39" t="inlineStr">
        <is>
          <t>Atendimento por telefone ou WhatsApp</t>
        </is>
      </c>
      <c r="E39" s="46" t="n">
        <v>4</v>
      </c>
      <c r="F39" s="40" t="inlineStr">
        <is>
          <t>Sim</t>
        </is>
      </c>
      <c r="G39" s="24">
        <f>IF(C39="","",IFERROR(INDEX(Casos!$B$5:$B$204,MATCH(C39,Casos!$A$5:$A$204,0)),""))</f>
        <v/>
      </c>
      <c r="H39" s="29">
        <f>IF(OR(B39="",E39=""),"",E39*IFERROR(INDEX(Config!$D$12:$D$21,MATCH(B39,Config!$A$12:$A$21,0)),Config!$B$23))</f>
        <v/>
      </c>
      <c r="I39" s="23">
        <f>IF(A39="","",MONTH(A39))</f>
        <v/>
      </c>
      <c r="J39" s="23">
        <f>IF(A39="","",YEAR(A39))</f>
        <v/>
      </c>
    </row>
    <row r="40">
      <c r="A40" s="47" t="n">
        <v>46219</v>
      </c>
      <c r="B40" s="40" t="inlineStr">
        <is>
          <t>Júlia Prado</t>
        </is>
      </c>
      <c r="C40" s="39" t="inlineStr">
        <is>
          <t>9778116-95.2026.8.26.0106</t>
        </is>
      </c>
      <c r="D40" s="39" t="inlineStr">
        <is>
          <t>Análise de documentos</t>
        </is>
      </c>
      <c r="E40" s="46" t="n">
        <v>2</v>
      </c>
      <c r="F40" s="40" t="inlineStr">
        <is>
          <t>Sim</t>
        </is>
      </c>
      <c r="G40" s="24">
        <f>IF(C40="","",IFERROR(INDEX(Casos!$B$5:$B$204,MATCH(C40,Casos!$A$5:$A$204,0)),""))</f>
        <v/>
      </c>
      <c r="H40" s="29">
        <f>IF(OR(B40="",E40=""),"",E40*IFERROR(INDEX(Config!$D$12:$D$21,MATCH(B40,Config!$A$12:$A$21,0)),Config!$B$23))</f>
        <v/>
      </c>
      <c r="I40" s="23">
        <f>IF(A40="","",MONTH(A40))</f>
        <v/>
      </c>
      <c r="J40" s="23">
        <f>IF(A40="","",YEAR(A40))</f>
        <v/>
      </c>
    </row>
    <row r="41">
      <c r="A41" s="47" t="n">
        <v>46219</v>
      </c>
      <c r="B41" s="40" t="inlineStr">
        <is>
          <t>Júlia Prado</t>
        </is>
      </c>
      <c r="C41" s="39" t="inlineStr">
        <is>
          <t>6258696-95.2026.8.26.0598</t>
        </is>
      </c>
      <c r="D41" s="39" t="inlineStr">
        <is>
          <t>Elaboração de documento</t>
        </is>
      </c>
      <c r="E41" s="46" t="n">
        <v>2</v>
      </c>
      <c r="F41" s="40" t="inlineStr">
        <is>
          <t>Sim</t>
        </is>
      </c>
      <c r="G41" s="24">
        <f>IF(C41="","",IFERROR(INDEX(Casos!$B$5:$B$204,MATCH(C41,Casos!$A$5:$A$204,0)),""))</f>
        <v/>
      </c>
      <c r="H41" s="29">
        <f>IF(OR(B41="",E41=""),"",E41*IFERROR(INDEX(Config!$D$12:$D$21,MATCH(B41,Config!$A$12:$A$21,0)),Config!$B$23))</f>
        <v/>
      </c>
      <c r="I41" s="23">
        <f>IF(A41="","",MONTH(A41))</f>
        <v/>
      </c>
      <c r="J41" s="23">
        <f>IF(A41="","",YEAR(A41))</f>
        <v/>
      </c>
    </row>
    <row r="42">
      <c r="A42" s="47" t="n">
        <v>46219</v>
      </c>
      <c r="B42" s="40" t="inlineStr">
        <is>
          <t>Júlia Prado</t>
        </is>
      </c>
      <c r="C42" s="39" t="inlineStr">
        <is>
          <t>6877173-50.2026.8.26.0467</t>
        </is>
      </c>
      <c r="D42" s="39" t="inlineStr">
        <is>
          <t>Audiência</t>
        </is>
      </c>
      <c r="E42" s="46" t="n">
        <v>4.5</v>
      </c>
      <c r="F42" s="40" t="inlineStr">
        <is>
          <t>Sim</t>
        </is>
      </c>
      <c r="G42" s="24">
        <f>IF(C42="","",IFERROR(INDEX(Casos!$B$5:$B$204,MATCH(C42,Casos!$A$5:$A$204,0)),""))</f>
        <v/>
      </c>
      <c r="H42" s="29">
        <f>IF(OR(B42="",E42=""),"",E42*IFERROR(INDEX(Config!$D$12:$D$21,MATCH(B42,Config!$A$12:$A$21,0)),Config!$B$23))</f>
        <v/>
      </c>
      <c r="I42" s="23">
        <f>IF(A42="","",MONTH(A42))</f>
        <v/>
      </c>
      <c r="J42" s="23">
        <f>IF(A42="","",YEAR(A42))</f>
        <v/>
      </c>
    </row>
    <row r="43">
      <c r="A43" s="47" t="n">
        <v>46219</v>
      </c>
      <c r="B43" s="40" t="inlineStr">
        <is>
          <t>Marina Ferraz</t>
        </is>
      </c>
      <c r="C43" s="39" t="inlineStr">
        <is>
          <t>6258696-95.2026.8.26.0598</t>
        </is>
      </c>
      <c r="D43" s="39" t="inlineStr">
        <is>
          <t>Pesquisa e estudo do caso</t>
        </is>
      </c>
      <c r="E43" s="46" t="n">
        <v>3</v>
      </c>
      <c r="F43" s="40" t="inlineStr">
        <is>
          <t>Sim</t>
        </is>
      </c>
      <c r="G43" s="24">
        <f>IF(C43="","",IFERROR(INDEX(Casos!$B$5:$B$204,MATCH(C43,Casos!$A$5:$A$204,0)),""))</f>
        <v/>
      </c>
      <c r="H43" s="29">
        <f>IF(OR(B43="",E43=""),"",E43*IFERROR(INDEX(Config!$D$12:$D$21,MATCH(B43,Config!$A$12:$A$21,0)),Config!$B$23))</f>
        <v/>
      </c>
      <c r="I43" s="23">
        <f>IF(A43="","",MONTH(A43))</f>
        <v/>
      </c>
      <c r="J43" s="23">
        <f>IF(A43="","",YEAR(A43))</f>
        <v/>
      </c>
    </row>
    <row r="44">
      <c r="A44" s="47" t="n">
        <v>46219</v>
      </c>
      <c r="B44" s="40" t="inlineStr">
        <is>
          <t>Rafael Lima</t>
        </is>
      </c>
      <c r="C44" s="39" t="inlineStr">
        <is>
          <t>9225646-96.2026.8.26.0322</t>
        </is>
      </c>
      <c r="D44" s="39" t="inlineStr">
        <is>
          <t>Deslocamento</t>
        </is>
      </c>
      <c r="E44" s="46" t="n">
        <v>1.5</v>
      </c>
      <c r="F44" s="40" t="inlineStr">
        <is>
          <t>Não</t>
        </is>
      </c>
      <c r="G44" s="24">
        <f>IF(C44="","",IFERROR(INDEX(Casos!$B$5:$B$204,MATCH(C44,Casos!$A$5:$A$204,0)),""))</f>
        <v/>
      </c>
      <c r="H44" s="29">
        <f>IF(OR(B44="",E44=""),"",E44*IFERROR(INDEX(Config!$D$12:$D$21,MATCH(B44,Config!$A$12:$A$21,0)),Config!$B$23))</f>
        <v/>
      </c>
      <c r="I44" s="23">
        <f>IF(A44="","",MONTH(A44))</f>
        <v/>
      </c>
      <c r="J44" s="23">
        <f>IF(A44="","",YEAR(A44))</f>
        <v/>
      </c>
    </row>
    <row r="45">
      <c r="A45" s="47" t="n">
        <v>46219</v>
      </c>
      <c r="B45" s="40" t="inlineStr">
        <is>
          <t>Rafael Lima</t>
        </is>
      </c>
      <c r="C45" s="39" t="inlineStr">
        <is>
          <t>Gestão do escritório</t>
        </is>
      </c>
      <c r="D45" s="39" t="inlineStr">
        <is>
          <t>Gestão do escritório</t>
        </is>
      </c>
      <c r="E45" s="46" t="n">
        <v>2</v>
      </c>
      <c r="F45" s="40" t="inlineStr">
        <is>
          <t>Não</t>
        </is>
      </c>
      <c r="G45" s="24">
        <f>IF(C45="","",IFERROR(INDEX(Casos!$B$5:$B$204,MATCH(C45,Casos!$A$5:$A$204,0)),""))</f>
        <v/>
      </c>
      <c r="H45" s="29">
        <f>IF(OR(B45="",E45=""),"",E45*IFERROR(INDEX(Config!$D$12:$D$21,MATCH(B45,Config!$A$12:$A$21,0)),Config!$B$23))</f>
        <v/>
      </c>
      <c r="I45" s="23">
        <f>IF(A45="","",MONTH(A45))</f>
        <v/>
      </c>
      <c r="J45" s="23">
        <f>IF(A45="","",YEAR(A45))</f>
        <v/>
      </c>
    </row>
    <row r="46">
      <c r="A46" s="47" t="n">
        <v>46220</v>
      </c>
      <c r="B46" s="40" t="inlineStr">
        <is>
          <t>Marina Ferraz</t>
        </is>
      </c>
      <c r="C46" s="39" t="inlineStr">
        <is>
          <t>Gestão do escritório</t>
        </is>
      </c>
      <c r="D46" s="39" t="inlineStr">
        <is>
          <t>Gestão do escritório</t>
        </is>
      </c>
      <c r="E46" s="46" t="n">
        <v>1</v>
      </c>
      <c r="F46" s="40" t="inlineStr">
        <is>
          <t>Não</t>
        </is>
      </c>
      <c r="G46" s="24">
        <f>IF(C46="","",IFERROR(INDEX(Casos!$B$5:$B$204,MATCH(C46,Casos!$A$5:$A$204,0)),""))</f>
        <v/>
      </c>
      <c r="H46" s="29">
        <f>IF(OR(B46="",E46=""),"",E46*IFERROR(INDEX(Config!$D$12:$D$21,MATCH(B46,Config!$A$12:$A$21,0)),Config!$B$23))</f>
        <v/>
      </c>
      <c r="I46" s="23">
        <f>IF(A46="","",MONTH(A46))</f>
        <v/>
      </c>
      <c r="J46" s="23">
        <f>IF(A46="","",YEAR(A46))</f>
        <v/>
      </c>
    </row>
    <row r="47">
      <c r="A47" s="47" t="n">
        <v>46220</v>
      </c>
      <c r="B47" s="40" t="inlineStr">
        <is>
          <t>Rafael Lima</t>
        </is>
      </c>
      <c r="C47" s="39" t="inlineStr">
        <is>
          <t>9717671-36.2026.8.26.0445</t>
        </is>
      </c>
      <c r="D47" s="39" t="inlineStr">
        <is>
          <t>Administrativo do caso</t>
        </is>
      </c>
      <c r="E47" s="46" t="n">
        <v>2.5</v>
      </c>
      <c r="F47" s="40" t="inlineStr">
        <is>
          <t>Não</t>
        </is>
      </c>
      <c r="G47" s="24">
        <f>IF(C47="","",IFERROR(INDEX(Casos!$B$5:$B$204,MATCH(C47,Casos!$A$5:$A$204,0)),""))</f>
        <v/>
      </c>
      <c r="H47" s="29">
        <f>IF(OR(B47="",E47=""),"",E47*IFERROR(INDEX(Config!$D$12:$D$21,MATCH(B47,Config!$A$12:$A$21,0)),Config!$B$23))</f>
        <v/>
      </c>
      <c r="I47" s="23">
        <f>IF(A47="","",MONTH(A47))</f>
        <v/>
      </c>
      <c r="J47" s="23">
        <f>IF(A47="","",YEAR(A47))</f>
        <v/>
      </c>
    </row>
    <row r="48">
      <c r="A48" s="47" t="n">
        <v>46223</v>
      </c>
      <c r="B48" s="40" t="inlineStr">
        <is>
          <t>Marina Ferraz</t>
        </is>
      </c>
      <c r="C48" s="39" t="inlineStr">
        <is>
          <t>Gestão do escritório</t>
        </is>
      </c>
      <c r="D48" s="39" t="inlineStr">
        <is>
          <t>Gestão do escritório</t>
        </is>
      </c>
      <c r="E48" s="46" t="n">
        <v>2</v>
      </c>
      <c r="F48" s="40" t="inlineStr">
        <is>
          <t>Não</t>
        </is>
      </c>
      <c r="G48" s="24">
        <f>IF(C48="","",IFERROR(INDEX(Casos!$B$5:$B$204,MATCH(C48,Casos!$A$5:$A$204,0)),""))</f>
        <v/>
      </c>
      <c r="H48" s="29">
        <f>IF(OR(B48="",E48=""),"",E48*IFERROR(INDEX(Config!$D$12:$D$21,MATCH(B48,Config!$A$12:$A$21,0)),Config!$B$23))</f>
        <v/>
      </c>
      <c r="I48" s="23">
        <f>IF(A48="","",MONTH(A48))</f>
        <v/>
      </c>
      <c r="J48" s="23">
        <f>IF(A48="","",YEAR(A48))</f>
        <v/>
      </c>
    </row>
    <row r="49">
      <c r="A49" s="47" t="n">
        <v>46223</v>
      </c>
      <c r="B49" s="40" t="inlineStr">
        <is>
          <t>Rafael Lima</t>
        </is>
      </c>
      <c r="C49" s="39" t="inlineStr">
        <is>
          <t>3310587-30.2026.8.26.0678</t>
        </is>
      </c>
      <c r="D49" s="39" t="inlineStr">
        <is>
          <t>Audiência</t>
        </is>
      </c>
      <c r="E49" s="46" t="n">
        <v>1</v>
      </c>
      <c r="F49" s="40" t="inlineStr">
        <is>
          <t>Sim</t>
        </is>
      </c>
      <c r="G49" s="24">
        <f>IF(C49="","",IFERROR(INDEX(Casos!$B$5:$B$204,MATCH(C49,Casos!$A$5:$A$204,0)),""))</f>
        <v/>
      </c>
      <c r="H49" s="29">
        <f>IF(OR(B49="",E49=""),"",E49*IFERROR(INDEX(Config!$D$12:$D$21,MATCH(B49,Config!$A$12:$A$21,0)),Config!$B$23))</f>
        <v/>
      </c>
      <c r="I49" s="23">
        <f>IF(A49="","",MONTH(A49))</f>
        <v/>
      </c>
      <c r="J49" s="23">
        <f>IF(A49="","",YEAR(A49))</f>
        <v/>
      </c>
    </row>
    <row r="50">
      <c r="A50" s="47" t="n">
        <v>46223</v>
      </c>
      <c r="B50" s="40" t="inlineStr">
        <is>
          <t>Rafael Lima</t>
        </is>
      </c>
      <c r="C50" s="39" t="inlineStr">
        <is>
          <t>Captação e propostas</t>
        </is>
      </c>
      <c r="D50" s="39" t="inlineStr">
        <is>
          <t>Captação e propostas</t>
        </is>
      </c>
      <c r="E50" s="46" t="n">
        <v>2</v>
      </c>
      <c r="F50" s="40" t="inlineStr">
        <is>
          <t>Não</t>
        </is>
      </c>
      <c r="G50" s="24">
        <f>IF(C50="","",IFERROR(INDEX(Casos!$B$5:$B$204,MATCH(C50,Casos!$A$5:$A$204,0)),""))</f>
        <v/>
      </c>
      <c r="H50" s="29">
        <f>IF(OR(B50="",E50=""),"",E50*IFERROR(INDEX(Config!$D$12:$D$21,MATCH(B50,Config!$A$12:$A$21,0)),Config!$B$23))</f>
        <v/>
      </c>
      <c r="I50" s="23">
        <f>IF(A50="","",MONTH(A50))</f>
        <v/>
      </c>
      <c r="J50" s="23">
        <f>IF(A50="","",YEAR(A50))</f>
        <v/>
      </c>
    </row>
    <row r="51">
      <c r="A51" s="47" t="n">
        <v>46224</v>
      </c>
      <c r="B51" s="40" t="inlineStr">
        <is>
          <t>Marina Ferraz</t>
        </is>
      </c>
      <c r="C51" s="39" t="inlineStr">
        <is>
          <t>9717671-36.2026.8.26.0445</t>
        </is>
      </c>
      <c r="D51" s="39" t="inlineStr">
        <is>
          <t>Audiência</t>
        </is>
      </c>
      <c r="E51" s="46" t="n">
        <v>0.5</v>
      </c>
      <c r="F51" s="40" t="inlineStr">
        <is>
          <t>Sim</t>
        </is>
      </c>
      <c r="G51" s="24">
        <f>IF(C51="","",IFERROR(INDEX(Casos!$B$5:$B$204,MATCH(C51,Casos!$A$5:$A$204,0)),""))</f>
        <v/>
      </c>
      <c r="H51" s="29">
        <f>IF(OR(B51="",E51=""),"",E51*IFERROR(INDEX(Config!$D$12:$D$21,MATCH(B51,Config!$A$12:$A$21,0)),Config!$B$23))</f>
        <v/>
      </c>
      <c r="I51" s="23">
        <f>IF(A51="","",MONTH(A51))</f>
        <v/>
      </c>
      <c r="J51" s="23">
        <f>IF(A51="","",YEAR(A51))</f>
        <v/>
      </c>
    </row>
    <row r="52">
      <c r="A52" s="47" t="n">
        <v>46224</v>
      </c>
      <c r="B52" s="40" t="inlineStr">
        <is>
          <t>Marina Ferraz</t>
        </is>
      </c>
      <c r="C52" s="39" t="inlineStr">
        <is>
          <t>5497983-95.2025.8.26.0570</t>
        </is>
      </c>
      <c r="D52" s="39" t="inlineStr">
        <is>
          <t>Deslocamento</t>
        </is>
      </c>
      <c r="E52" s="46" t="n">
        <v>1.5</v>
      </c>
      <c r="F52" s="40" t="inlineStr">
        <is>
          <t>Não</t>
        </is>
      </c>
      <c r="G52" s="24">
        <f>IF(C52="","",IFERROR(INDEX(Casos!$B$5:$B$204,MATCH(C52,Casos!$A$5:$A$204,0)),""))</f>
        <v/>
      </c>
      <c r="H52" s="29">
        <f>IF(OR(B52="",E52=""),"",E52*IFERROR(INDEX(Config!$D$12:$D$21,MATCH(B52,Config!$A$12:$A$21,0)),Config!$B$23))</f>
        <v/>
      </c>
      <c r="I52" s="23">
        <f>IF(A52="","",MONTH(A52))</f>
        <v/>
      </c>
      <c r="J52" s="23">
        <f>IF(A52="","",YEAR(A52))</f>
        <v/>
      </c>
    </row>
    <row r="53">
      <c r="A53" s="47" t="n">
        <v>46224</v>
      </c>
      <c r="B53" s="40" t="inlineStr">
        <is>
          <t>Marina Ferraz</t>
        </is>
      </c>
      <c r="C53" s="39" t="inlineStr">
        <is>
          <t>5297049-18.2026.8.26.0015</t>
        </is>
      </c>
      <c r="D53" s="39" t="inlineStr">
        <is>
          <t>Pesquisa e estudo do caso</t>
        </is>
      </c>
      <c r="E53" s="46" t="n">
        <v>3</v>
      </c>
      <c r="F53" s="40" t="inlineStr">
        <is>
          <t>Sim</t>
        </is>
      </c>
      <c r="G53" s="24">
        <f>IF(C53="","",IFERROR(INDEX(Casos!$B$5:$B$204,MATCH(C53,Casos!$A$5:$A$204,0)),""))</f>
        <v/>
      </c>
      <c r="H53" s="29">
        <f>IF(OR(B53="",E53=""),"",E53*IFERROR(INDEX(Config!$D$12:$D$21,MATCH(B53,Config!$A$12:$A$21,0)),Config!$B$23))</f>
        <v/>
      </c>
      <c r="I53" s="23">
        <f>IF(A53="","",MONTH(A53))</f>
        <v/>
      </c>
      <c r="J53" s="23">
        <f>IF(A53="","",YEAR(A53))</f>
        <v/>
      </c>
    </row>
    <row r="54">
      <c r="A54" s="47" t="n">
        <v>46224</v>
      </c>
      <c r="B54" s="40" t="inlineStr">
        <is>
          <t>Rafael Lima</t>
        </is>
      </c>
      <c r="C54" s="39" t="inlineStr">
        <is>
          <t>4300029-58.2025.8.26.0015</t>
        </is>
      </c>
      <c r="D54" s="39" t="inlineStr">
        <is>
          <t>Pesquisa e estudo do caso</t>
        </is>
      </c>
      <c r="E54" s="46" t="n">
        <v>4.5</v>
      </c>
      <c r="F54" s="40" t="inlineStr">
        <is>
          <t>Sim</t>
        </is>
      </c>
      <c r="G54" s="24">
        <f>IF(C54="","",IFERROR(INDEX(Casos!$B$5:$B$204,MATCH(C54,Casos!$A$5:$A$204,0)),""))</f>
        <v/>
      </c>
      <c r="H54" s="29">
        <f>IF(OR(B54="",E54=""),"",E54*IFERROR(INDEX(Config!$D$12:$D$21,MATCH(B54,Config!$A$12:$A$21,0)),Config!$B$23))</f>
        <v/>
      </c>
      <c r="I54" s="23">
        <f>IF(A54="","",MONTH(A54))</f>
        <v/>
      </c>
      <c r="J54" s="23">
        <f>IF(A54="","",YEAR(A54))</f>
        <v/>
      </c>
    </row>
    <row r="55">
      <c r="A55" s="47" t="n">
        <v>46225</v>
      </c>
      <c r="B55" s="40" t="inlineStr">
        <is>
          <t>Marina Ferraz</t>
        </is>
      </c>
      <c r="C55" s="39" t="inlineStr">
        <is>
          <t>9778116-95.2026.8.26.0106</t>
        </is>
      </c>
      <c r="D55" s="39" t="inlineStr">
        <is>
          <t>Audiência</t>
        </is>
      </c>
      <c r="E55" s="46" t="n">
        <v>2</v>
      </c>
      <c r="F55" s="40" t="inlineStr">
        <is>
          <t>Sim</t>
        </is>
      </c>
      <c r="G55" s="24">
        <f>IF(C55="","",IFERROR(INDEX(Casos!$B$5:$B$204,MATCH(C55,Casos!$A$5:$A$204,0)),""))</f>
        <v/>
      </c>
      <c r="H55" s="29">
        <f>IF(OR(B55="",E55=""),"",E55*IFERROR(INDEX(Config!$D$12:$D$21,MATCH(B55,Config!$A$12:$A$21,0)),Config!$B$23))</f>
        <v/>
      </c>
      <c r="I55" s="23">
        <f>IF(A55="","",MONTH(A55))</f>
        <v/>
      </c>
      <c r="J55" s="23">
        <f>IF(A55="","",YEAR(A55))</f>
        <v/>
      </c>
    </row>
    <row r="56">
      <c r="A56" s="47" t="n">
        <v>46226</v>
      </c>
      <c r="B56" s="40" t="inlineStr">
        <is>
          <t>Marina Ferraz</t>
        </is>
      </c>
      <c r="C56" s="39" t="inlineStr">
        <is>
          <t>6258696-95.2026.8.26.0598</t>
        </is>
      </c>
      <c r="D56" s="39" t="inlineStr">
        <is>
          <t>Reunião com cliente</t>
        </is>
      </c>
      <c r="E56" s="46" t="n">
        <v>2</v>
      </c>
      <c r="F56" s="40" t="inlineStr">
        <is>
          <t>Sim</t>
        </is>
      </c>
      <c r="G56" s="24">
        <f>IF(C56="","",IFERROR(INDEX(Casos!$B$5:$B$204,MATCH(C56,Casos!$A$5:$A$204,0)),""))</f>
        <v/>
      </c>
      <c r="H56" s="29">
        <f>IF(OR(B56="",E56=""),"",E56*IFERROR(INDEX(Config!$D$12:$D$21,MATCH(B56,Config!$A$12:$A$21,0)),Config!$B$23))</f>
        <v/>
      </c>
      <c r="I56" s="23">
        <f>IF(A56="","",MONTH(A56))</f>
        <v/>
      </c>
      <c r="J56" s="23">
        <f>IF(A56="","",YEAR(A56))</f>
        <v/>
      </c>
    </row>
    <row r="57">
      <c r="A57" s="47" t="n">
        <v>46226</v>
      </c>
      <c r="B57" s="40" t="inlineStr">
        <is>
          <t>Marina Ferraz</t>
        </is>
      </c>
      <c r="C57" s="39" t="inlineStr">
        <is>
          <t>Captação e propostas</t>
        </is>
      </c>
      <c r="D57" s="39" t="inlineStr">
        <is>
          <t>Captação e propostas</t>
        </is>
      </c>
      <c r="E57" s="46" t="n">
        <v>1.5</v>
      </c>
      <c r="F57" s="40" t="inlineStr">
        <is>
          <t>Não</t>
        </is>
      </c>
      <c r="G57" s="24">
        <f>IF(C57="","",IFERROR(INDEX(Casos!$B$5:$B$204,MATCH(C57,Casos!$A$5:$A$204,0)),""))</f>
        <v/>
      </c>
      <c r="H57" s="29">
        <f>IF(OR(B57="",E57=""),"",E57*IFERROR(INDEX(Config!$D$12:$D$21,MATCH(B57,Config!$A$12:$A$21,0)),Config!$B$23))</f>
        <v/>
      </c>
      <c r="I57" s="23">
        <f>IF(A57="","",MONTH(A57))</f>
        <v/>
      </c>
      <c r="J57" s="23">
        <f>IF(A57="","",YEAR(A57))</f>
        <v/>
      </c>
    </row>
    <row r="58">
      <c r="A58" s="47" t="n">
        <v>46227</v>
      </c>
      <c r="B58" s="40" t="inlineStr">
        <is>
          <t>Júlia Prado</t>
        </is>
      </c>
      <c r="C58" s="39" t="inlineStr">
        <is>
          <t>2650441-66.2026.8.26.0528</t>
        </is>
      </c>
      <c r="D58" s="39" t="inlineStr">
        <is>
          <t>Deslocamento</t>
        </is>
      </c>
      <c r="E58" s="46" t="n">
        <v>2.5</v>
      </c>
      <c r="F58" s="40" t="inlineStr">
        <is>
          <t>Não</t>
        </is>
      </c>
      <c r="G58" s="24">
        <f>IF(C58="","",IFERROR(INDEX(Casos!$B$5:$B$204,MATCH(C58,Casos!$A$5:$A$204,0)),""))</f>
        <v/>
      </c>
      <c r="H58" s="29">
        <f>IF(OR(B58="",E58=""),"",E58*IFERROR(INDEX(Config!$D$12:$D$21,MATCH(B58,Config!$A$12:$A$21,0)),Config!$B$23))</f>
        <v/>
      </c>
      <c r="I58" s="23">
        <f>IF(A58="","",MONTH(A58))</f>
        <v/>
      </c>
      <c r="J58" s="23">
        <f>IF(A58="","",YEAR(A58))</f>
        <v/>
      </c>
    </row>
    <row r="59">
      <c r="A59" s="47" t="n">
        <v>46227</v>
      </c>
      <c r="B59" s="40" t="inlineStr">
        <is>
          <t>Júlia Prado</t>
        </is>
      </c>
      <c r="C59" s="39" t="inlineStr">
        <is>
          <t>9802987-45.2025.8.26.0097</t>
        </is>
      </c>
      <c r="D59" s="39" t="inlineStr">
        <is>
          <t>Administrativo do caso</t>
        </is>
      </c>
      <c r="E59" s="46" t="n">
        <v>2</v>
      </c>
      <c r="F59" s="40" t="inlineStr">
        <is>
          <t>Não</t>
        </is>
      </c>
      <c r="G59" s="24">
        <f>IF(C59="","",IFERROR(INDEX(Casos!$B$5:$B$204,MATCH(C59,Casos!$A$5:$A$204,0)),""))</f>
        <v/>
      </c>
      <c r="H59" s="29">
        <f>IF(OR(B59="",E59=""),"",E59*IFERROR(INDEX(Config!$D$12:$D$21,MATCH(B59,Config!$A$12:$A$21,0)),Config!$B$23))</f>
        <v/>
      </c>
      <c r="I59" s="23">
        <f>IF(A59="","",MONTH(A59))</f>
        <v/>
      </c>
      <c r="J59" s="23">
        <f>IF(A59="","",YEAR(A59))</f>
        <v/>
      </c>
    </row>
    <row r="60">
      <c r="A60" s="47" t="n">
        <v>46227</v>
      </c>
      <c r="B60" s="40" t="inlineStr">
        <is>
          <t>Júlia Prado</t>
        </is>
      </c>
      <c r="C60" s="39" t="inlineStr">
        <is>
          <t>Gestão do escritório</t>
        </is>
      </c>
      <c r="D60" s="39" t="inlineStr">
        <is>
          <t>Gestão do escritório</t>
        </is>
      </c>
      <c r="E60" s="46" t="n">
        <v>1.5</v>
      </c>
      <c r="F60" s="40" t="inlineStr">
        <is>
          <t>Não</t>
        </is>
      </c>
      <c r="G60" s="24">
        <f>IF(C60="","",IFERROR(INDEX(Casos!$B$5:$B$204,MATCH(C60,Casos!$A$5:$A$204,0)),""))</f>
        <v/>
      </c>
      <c r="H60" s="29">
        <f>IF(OR(B60="",E60=""),"",E60*IFERROR(INDEX(Config!$D$12:$D$21,MATCH(B60,Config!$A$12:$A$21,0)),Config!$B$23))</f>
        <v/>
      </c>
      <c r="I60" s="23">
        <f>IF(A60="","",MONTH(A60))</f>
        <v/>
      </c>
      <c r="J60" s="23">
        <f>IF(A60="","",YEAR(A60))</f>
        <v/>
      </c>
    </row>
    <row r="61">
      <c r="A61" s="47" t="n">
        <v>46227</v>
      </c>
      <c r="B61" s="40" t="inlineStr">
        <is>
          <t>Marina Ferraz</t>
        </is>
      </c>
      <c r="C61" s="39" t="inlineStr">
        <is>
          <t>9802211-43.2025.8.26.0431</t>
        </is>
      </c>
      <c r="D61" s="39" t="inlineStr">
        <is>
          <t>Diligência externa</t>
        </is>
      </c>
      <c r="E61" s="46" t="n">
        <v>4</v>
      </c>
      <c r="F61" s="40" t="inlineStr">
        <is>
          <t>Sim</t>
        </is>
      </c>
      <c r="G61" s="24">
        <f>IF(C61="","",IFERROR(INDEX(Casos!$B$5:$B$204,MATCH(C61,Casos!$A$5:$A$204,0)),""))</f>
        <v/>
      </c>
      <c r="H61" s="29">
        <f>IF(OR(B61="",E61=""),"",E61*IFERROR(INDEX(Config!$D$12:$D$21,MATCH(B61,Config!$A$12:$A$21,0)),Config!$B$23))</f>
        <v/>
      </c>
      <c r="I61" s="23">
        <f>IF(A61="","",MONTH(A61))</f>
        <v/>
      </c>
      <c r="J61" s="23">
        <f>IF(A61="","",YEAR(A61))</f>
        <v/>
      </c>
    </row>
    <row r="62">
      <c r="A62" s="47" t="n">
        <v>46227</v>
      </c>
      <c r="B62" s="40" t="inlineStr">
        <is>
          <t>Rafael Lima</t>
        </is>
      </c>
      <c r="C62" s="39" t="inlineStr">
        <is>
          <t>Gestão do escritório</t>
        </is>
      </c>
      <c r="D62" s="39" t="inlineStr">
        <is>
          <t>Gestão do escritório</t>
        </is>
      </c>
      <c r="E62" s="46" t="n">
        <v>2.5</v>
      </c>
      <c r="F62" s="40" t="inlineStr">
        <is>
          <t>Não</t>
        </is>
      </c>
      <c r="G62" s="24">
        <f>IF(C62="","",IFERROR(INDEX(Casos!$B$5:$B$204,MATCH(C62,Casos!$A$5:$A$204,0)),""))</f>
        <v/>
      </c>
      <c r="H62" s="29">
        <f>IF(OR(B62="",E62=""),"",E62*IFERROR(INDEX(Config!$D$12:$D$21,MATCH(B62,Config!$A$12:$A$21,0)),Config!$B$23))</f>
        <v/>
      </c>
      <c r="I62" s="23">
        <f>IF(A62="","",MONTH(A62))</f>
        <v/>
      </c>
      <c r="J62" s="23">
        <f>IF(A62="","",YEAR(A62))</f>
        <v/>
      </c>
    </row>
    <row r="63">
      <c r="A63" s="47" t="n">
        <v>46230</v>
      </c>
      <c r="B63" s="40" t="inlineStr">
        <is>
          <t>Marina Ferraz</t>
        </is>
      </c>
      <c r="C63" s="39" t="inlineStr">
        <is>
          <t>4352718-43.2025.8.26.0498</t>
        </is>
      </c>
      <c r="D63" s="39" t="inlineStr">
        <is>
          <t>Análise de documentos</t>
        </is>
      </c>
      <c r="E63" s="46" t="n">
        <v>1</v>
      </c>
      <c r="F63" s="40" t="inlineStr">
        <is>
          <t>Sim</t>
        </is>
      </c>
      <c r="G63" s="24">
        <f>IF(C63="","",IFERROR(INDEX(Casos!$B$5:$B$204,MATCH(C63,Casos!$A$5:$A$204,0)),""))</f>
        <v/>
      </c>
      <c r="H63" s="29">
        <f>IF(OR(B63="",E63=""),"",E63*IFERROR(INDEX(Config!$D$12:$D$21,MATCH(B63,Config!$A$12:$A$21,0)),Config!$B$23))</f>
        <v/>
      </c>
      <c r="I63" s="23">
        <f>IF(A63="","",MONTH(A63))</f>
        <v/>
      </c>
      <c r="J63" s="23">
        <f>IF(A63="","",YEAR(A63))</f>
        <v/>
      </c>
    </row>
    <row r="64">
      <c r="A64" s="47" t="n">
        <v>46230</v>
      </c>
      <c r="B64" s="40" t="inlineStr">
        <is>
          <t>Marina Ferraz</t>
        </is>
      </c>
      <c r="C64" s="39" t="inlineStr">
        <is>
          <t>6258696-95.2026.8.26.0598</t>
        </is>
      </c>
      <c r="D64" s="39" t="inlineStr">
        <is>
          <t>Administrativo do caso</t>
        </is>
      </c>
      <c r="E64" s="46" t="n">
        <v>1.5</v>
      </c>
      <c r="F64" s="40" t="inlineStr">
        <is>
          <t>Sim</t>
        </is>
      </c>
      <c r="G64" s="24">
        <f>IF(C64="","",IFERROR(INDEX(Casos!$B$5:$B$204,MATCH(C64,Casos!$A$5:$A$204,0)),""))</f>
        <v/>
      </c>
      <c r="H64" s="29">
        <f>IF(OR(B64="",E64=""),"",E64*IFERROR(INDEX(Config!$D$12:$D$21,MATCH(B64,Config!$A$12:$A$21,0)),Config!$B$23))</f>
        <v/>
      </c>
      <c r="I64" s="23">
        <f>IF(A64="","",MONTH(A64))</f>
        <v/>
      </c>
      <c r="J64" s="23">
        <f>IF(A64="","",YEAR(A64))</f>
        <v/>
      </c>
    </row>
    <row r="65">
      <c r="A65" s="47" t="n">
        <v>46230</v>
      </c>
      <c r="B65" s="40" t="inlineStr">
        <is>
          <t>Rafael Lima</t>
        </is>
      </c>
      <c r="C65" s="39" t="inlineStr">
        <is>
          <t>9802211-43.2025.8.26.0431</t>
        </is>
      </c>
      <c r="D65" s="39" t="inlineStr">
        <is>
          <t>Elaboração de documento</t>
        </is>
      </c>
      <c r="E65" s="46" t="n">
        <v>2.5</v>
      </c>
      <c r="F65" s="40" t="inlineStr">
        <is>
          <t>Sim</t>
        </is>
      </c>
      <c r="G65" s="24">
        <f>IF(C65="","",IFERROR(INDEX(Casos!$B$5:$B$204,MATCH(C65,Casos!$A$5:$A$204,0)),""))</f>
        <v/>
      </c>
      <c r="H65" s="29">
        <f>IF(OR(B65="",E65=""),"",E65*IFERROR(INDEX(Config!$D$12:$D$21,MATCH(B65,Config!$A$12:$A$21,0)),Config!$B$23))</f>
        <v/>
      </c>
      <c r="I65" s="23">
        <f>IF(A65="","",MONTH(A65))</f>
        <v/>
      </c>
      <c r="J65" s="23">
        <f>IF(A65="","",YEAR(A65))</f>
        <v/>
      </c>
    </row>
    <row r="66">
      <c r="A66" s="47" t="n">
        <v>46230</v>
      </c>
      <c r="B66" s="40" t="inlineStr">
        <is>
          <t>Rafael Lima</t>
        </is>
      </c>
      <c r="C66" s="39" t="inlineStr">
        <is>
          <t>2650441-66.2026.8.26.0528</t>
        </is>
      </c>
      <c r="D66" s="39" t="inlineStr">
        <is>
          <t>Diligência externa</t>
        </is>
      </c>
      <c r="E66" s="46" t="n">
        <v>3</v>
      </c>
      <c r="F66" s="40" t="inlineStr">
        <is>
          <t>Sim</t>
        </is>
      </c>
      <c r="G66" s="24">
        <f>IF(C66="","",IFERROR(INDEX(Casos!$B$5:$B$204,MATCH(C66,Casos!$A$5:$A$204,0)),""))</f>
        <v/>
      </c>
      <c r="H66" s="29">
        <f>IF(OR(B66="",E66=""),"",E66*IFERROR(INDEX(Config!$D$12:$D$21,MATCH(B66,Config!$A$12:$A$21,0)),Config!$B$23))</f>
        <v/>
      </c>
      <c r="I66" s="23">
        <f>IF(A66="","",MONTH(A66))</f>
        <v/>
      </c>
      <c r="J66" s="23">
        <f>IF(A66="","",YEAR(A66))</f>
        <v/>
      </c>
    </row>
    <row r="67">
      <c r="A67" s="47" t="n">
        <v>46230</v>
      </c>
      <c r="B67" s="40" t="inlineStr">
        <is>
          <t>Rafael Lima</t>
        </is>
      </c>
      <c r="C67" s="39" t="inlineStr">
        <is>
          <t>9717671-36.2026.8.26.0445</t>
        </is>
      </c>
      <c r="D67" s="39" t="inlineStr">
        <is>
          <t>Pesquisa e estudo do caso</t>
        </is>
      </c>
      <c r="E67" s="46" t="n">
        <v>3</v>
      </c>
      <c r="F67" s="40" t="inlineStr">
        <is>
          <t>Sim</t>
        </is>
      </c>
      <c r="G67" s="24">
        <f>IF(C67="","",IFERROR(INDEX(Casos!$B$5:$B$204,MATCH(C67,Casos!$A$5:$A$204,0)),""))</f>
        <v/>
      </c>
      <c r="H67" s="29">
        <f>IF(OR(B67="",E67=""),"",E67*IFERROR(INDEX(Config!$D$12:$D$21,MATCH(B67,Config!$A$12:$A$21,0)),Config!$B$23))</f>
        <v/>
      </c>
      <c r="I67" s="23">
        <f>IF(A67="","",MONTH(A67))</f>
        <v/>
      </c>
      <c r="J67" s="23">
        <f>IF(A67="","",YEAR(A67))</f>
        <v/>
      </c>
    </row>
    <row r="68">
      <c r="A68" s="47" t="n">
        <v>46230</v>
      </c>
      <c r="B68" s="40" t="inlineStr">
        <is>
          <t>Rafael Lima</t>
        </is>
      </c>
      <c r="C68" s="39" t="inlineStr">
        <is>
          <t>1191416-90.2025.8.26.0249</t>
        </is>
      </c>
      <c r="D68" s="39" t="inlineStr">
        <is>
          <t>Análise de documentos</t>
        </is>
      </c>
      <c r="E68" s="46" t="n">
        <v>4.5</v>
      </c>
      <c r="F68" s="40" t="inlineStr">
        <is>
          <t>Sim</t>
        </is>
      </c>
      <c r="G68" s="24">
        <f>IF(C68="","",IFERROR(INDEX(Casos!$B$5:$B$204,MATCH(C68,Casos!$A$5:$A$204,0)),""))</f>
        <v/>
      </c>
      <c r="H68" s="29">
        <f>IF(OR(B68="",E68=""),"",E68*IFERROR(INDEX(Config!$D$12:$D$21,MATCH(B68,Config!$A$12:$A$21,0)),Config!$B$23))</f>
        <v/>
      </c>
      <c r="I68" s="23">
        <f>IF(A68="","",MONTH(A68))</f>
        <v/>
      </c>
      <c r="J68" s="23">
        <f>IF(A68="","",YEAR(A68))</f>
        <v/>
      </c>
    </row>
    <row r="69">
      <c r="A69" s="47" t="n">
        <v>46230</v>
      </c>
      <c r="B69" s="40" t="inlineStr">
        <is>
          <t>Rafael Lima</t>
        </is>
      </c>
      <c r="C69" s="39" t="inlineStr">
        <is>
          <t>Gestão do escritório</t>
        </is>
      </c>
      <c r="D69" s="39" t="inlineStr">
        <is>
          <t>Gestão do escritório</t>
        </is>
      </c>
      <c r="E69" s="46" t="n">
        <v>1</v>
      </c>
      <c r="F69" s="40" t="inlineStr">
        <is>
          <t>Não</t>
        </is>
      </c>
      <c r="G69" s="24">
        <f>IF(C69="","",IFERROR(INDEX(Casos!$B$5:$B$204,MATCH(C69,Casos!$A$5:$A$204,0)),""))</f>
        <v/>
      </c>
      <c r="H69" s="29">
        <f>IF(OR(B69="",E69=""),"",E69*IFERROR(INDEX(Config!$D$12:$D$21,MATCH(B69,Config!$A$12:$A$21,0)),Config!$B$23))</f>
        <v/>
      </c>
      <c r="I69" s="23">
        <f>IF(A69="","",MONTH(A69))</f>
        <v/>
      </c>
      <c r="J69" s="23">
        <f>IF(A69="","",YEAR(A69))</f>
        <v/>
      </c>
    </row>
    <row r="70">
      <c r="A70" s="47" t="n">
        <v>46231</v>
      </c>
      <c r="B70" s="40" t="inlineStr">
        <is>
          <t>Júlia Prado</t>
        </is>
      </c>
      <c r="C70" s="39" t="inlineStr">
        <is>
          <t>8735513-64.2025.8.26.0093</t>
        </is>
      </c>
      <c r="D70" s="39" t="inlineStr">
        <is>
          <t>Administrativo do caso</t>
        </is>
      </c>
      <c r="E70" s="46" t="n">
        <v>2.5</v>
      </c>
      <c r="F70" s="40" t="inlineStr">
        <is>
          <t>Não</t>
        </is>
      </c>
      <c r="G70" s="24">
        <f>IF(C70="","",IFERROR(INDEX(Casos!$B$5:$B$204,MATCH(C70,Casos!$A$5:$A$204,0)),""))</f>
        <v/>
      </c>
      <c r="H70" s="29">
        <f>IF(OR(B70="",E70=""),"",E70*IFERROR(INDEX(Config!$D$12:$D$21,MATCH(B70,Config!$A$12:$A$21,0)),Config!$B$23))</f>
        <v/>
      </c>
      <c r="I70" s="23">
        <f>IF(A70="","",MONTH(A70))</f>
        <v/>
      </c>
      <c r="J70" s="23">
        <f>IF(A70="","",YEAR(A70))</f>
        <v/>
      </c>
    </row>
    <row r="71">
      <c r="A71" s="47" t="n">
        <v>46231</v>
      </c>
      <c r="B71" s="40" t="inlineStr">
        <is>
          <t>Marina Ferraz</t>
        </is>
      </c>
      <c r="C71" s="39" t="inlineStr">
        <is>
          <t>3118925-55.2025.8.26.0426</t>
        </is>
      </c>
      <c r="D71" s="39" t="inlineStr">
        <is>
          <t>Análise de documentos</t>
        </is>
      </c>
      <c r="E71" s="46" t="n">
        <v>1.5</v>
      </c>
      <c r="F71" s="40" t="inlineStr">
        <is>
          <t>Sim</t>
        </is>
      </c>
      <c r="G71" s="24">
        <f>IF(C71="","",IFERROR(INDEX(Casos!$B$5:$B$204,MATCH(C71,Casos!$A$5:$A$204,0)),""))</f>
        <v/>
      </c>
      <c r="H71" s="29">
        <f>IF(OR(B71="",E71=""),"",E71*IFERROR(INDEX(Config!$D$12:$D$21,MATCH(B71,Config!$A$12:$A$21,0)),Config!$B$23))</f>
        <v/>
      </c>
      <c r="I71" s="23">
        <f>IF(A71="","",MONTH(A71))</f>
        <v/>
      </c>
      <c r="J71" s="23">
        <f>IF(A71="","",YEAR(A71))</f>
        <v/>
      </c>
    </row>
    <row r="72">
      <c r="A72" s="47" t="n">
        <v>46231</v>
      </c>
      <c r="B72" s="40" t="inlineStr">
        <is>
          <t>Rafael Lima</t>
        </is>
      </c>
      <c r="C72" s="39" t="inlineStr">
        <is>
          <t>2650441-66.2026.8.26.0528</t>
        </is>
      </c>
      <c r="D72" s="39" t="inlineStr">
        <is>
          <t>Deslocamento</t>
        </is>
      </c>
      <c r="E72" s="46" t="n">
        <v>4.5</v>
      </c>
      <c r="F72" s="40" t="inlineStr">
        <is>
          <t>Sim</t>
        </is>
      </c>
      <c r="G72" s="24">
        <f>IF(C72="","",IFERROR(INDEX(Casos!$B$5:$B$204,MATCH(C72,Casos!$A$5:$A$204,0)),""))</f>
        <v/>
      </c>
      <c r="H72" s="29">
        <f>IF(OR(B72="",E72=""),"",E72*IFERROR(INDEX(Config!$D$12:$D$21,MATCH(B72,Config!$A$12:$A$21,0)),Config!$B$23))</f>
        <v/>
      </c>
      <c r="I72" s="23">
        <f>IF(A72="","",MONTH(A72))</f>
        <v/>
      </c>
      <c r="J72" s="23">
        <f>IF(A72="","",YEAR(A72))</f>
        <v/>
      </c>
    </row>
    <row r="73">
      <c r="A73" s="47" t="n">
        <v>46231</v>
      </c>
      <c r="B73" s="40" t="inlineStr">
        <is>
          <t>Rafael Lima</t>
        </is>
      </c>
      <c r="C73" s="39" t="inlineStr">
        <is>
          <t>5470559-73.2026.8.26.0380</t>
        </is>
      </c>
      <c r="D73" s="39" t="inlineStr">
        <is>
          <t>Audiência</t>
        </is>
      </c>
      <c r="E73" s="46" t="n">
        <v>3.5</v>
      </c>
      <c r="F73" s="40" t="inlineStr">
        <is>
          <t>Sim</t>
        </is>
      </c>
      <c r="G73" s="24">
        <f>IF(C73="","",IFERROR(INDEX(Casos!$B$5:$B$204,MATCH(C73,Casos!$A$5:$A$204,0)),""))</f>
        <v/>
      </c>
      <c r="H73" s="29">
        <f>IF(OR(B73="",E73=""),"",E73*IFERROR(INDEX(Config!$D$12:$D$21,MATCH(B73,Config!$A$12:$A$21,0)),Config!$B$23))</f>
        <v/>
      </c>
      <c r="I73" s="23">
        <f>IF(A73="","",MONTH(A73))</f>
        <v/>
      </c>
      <c r="J73" s="23">
        <f>IF(A73="","",YEAR(A73))</f>
        <v/>
      </c>
    </row>
    <row r="74">
      <c r="A74" s="47" t="n">
        <v>46232</v>
      </c>
      <c r="B74" s="40" t="inlineStr">
        <is>
          <t>Júlia Prado</t>
        </is>
      </c>
      <c r="C74" s="39" t="inlineStr">
        <is>
          <t>Gestão do escritório</t>
        </is>
      </c>
      <c r="D74" s="39" t="inlineStr">
        <is>
          <t>Gestão do escritório</t>
        </is>
      </c>
      <c r="E74" s="46" t="n">
        <v>1.5</v>
      </c>
      <c r="F74" s="40" t="inlineStr">
        <is>
          <t>Não</t>
        </is>
      </c>
      <c r="G74" s="24">
        <f>IF(C74="","",IFERROR(INDEX(Casos!$B$5:$B$204,MATCH(C74,Casos!$A$5:$A$204,0)),""))</f>
        <v/>
      </c>
      <c r="H74" s="29">
        <f>IF(OR(B74="",E74=""),"",E74*IFERROR(INDEX(Config!$D$12:$D$21,MATCH(B74,Config!$A$12:$A$21,0)),Config!$B$23))</f>
        <v/>
      </c>
      <c r="I74" s="23">
        <f>IF(A74="","",MONTH(A74))</f>
        <v/>
      </c>
      <c r="J74" s="23">
        <f>IF(A74="","",YEAR(A74))</f>
        <v/>
      </c>
    </row>
    <row r="75">
      <c r="A75" s="47" t="n">
        <v>46232</v>
      </c>
      <c r="B75" s="40" t="inlineStr">
        <is>
          <t>Rafael Lima</t>
        </is>
      </c>
      <c r="C75" s="39" t="inlineStr">
        <is>
          <t>4397912-47.2025.8.26.0276</t>
        </is>
      </c>
      <c r="D75" s="39" t="inlineStr">
        <is>
          <t>Reunião com cliente</t>
        </is>
      </c>
      <c r="E75" s="46" t="n">
        <v>3</v>
      </c>
      <c r="F75" s="40" t="inlineStr">
        <is>
          <t>Sim</t>
        </is>
      </c>
      <c r="G75" s="24">
        <f>IF(C75="","",IFERROR(INDEX(Casos!$B$5:$B$204,MATCH(C75,Casos!$A$5:$A$204,0)),""))</f>
        <v/>
      </c>
      <c r="H75" s="29">
        <f>IF(OR(B75="",E75=""),"",E75*IFERROR(INDEX(Config!$D$12:$D$21,MATCH(B75,Config!$A$12:$A$21,0)),Config!$B$23))</f>
        <v/>
      </c>
      <c r="I75" s="23">
        <f>IF(A75="","",MONTH(A75))</f>
        <v/>
      </c>
      <c r="J75" s="23">
        <f>IF(A75="","",YEAR(A75))</f>
        <v/>
      </c>
    </row>
    <row r="76">
      <c r="A76" s="47" t="n">
        <v>46232</v>
      </c>
      <c r="B76" s="40" t="inlineStr">
        <is>
          <t>Rafael Lima</t>
        </is>
      </c>
      <c r="C76" s="39" t="inlineStr">
        <is>
          <t>2650441-66.2026.8.26.0528</t>
        </is>
      </c>
      <c r="D76" s="39" t="inlineStr">
        <is>
          <t>Elaboração de documento</t>
        </is>
      </c>
      <c r="E76" s="46" t="n">
        <v>2</v>
      </c>
      <c r="F76" s="40" t="inlineStr">
        <is>
          <t>Sim</t>
        </is>
      </c>
      <c r="G76" s="24">
        <f>IF(C76="","",IFERROR(INDEX(Casos!$B$5:$B$204,MATCH(C76,Casos!$A$5:$A$204,0)),""))</f>
        <v/>
      </c>
      <c r="H76" s="29">
        <f>IF(OR(B76="",E76=""),"",E76*IFERROR(INDEX(Config!$D$12:$D$21,MATCH(B76,Config!$A$12:$A$21,0)),Config!$B$23))</f>
        <v/>
      </c>
      <c r="I76" s="23">
        <f>IF(A76="","",MONTH(A76))</f>
        <v/>
      </c>
      <c r="J76" s="23">
        <f>IF(A76="","",YEAR(A76))</f>
        <v/>
      </c>
    </row>
    <row r="77">
      <c r="A77" s="47" t="n">
        <v>46232</v>
      </c>
      <c r="B77" s="40" t="inlineStr">
        <is>
          <t>Rafael Lima</t>
        </is>
      </c>
      <c r="C77" s="39" t="inlineStr">
        <is>
          <t>8986364-51.2026.8.26.0700</t>
        </is>
      </c>
      <c r="D77" s="39" t="inlineStr">
        <is>
          <t>Atendimento por telefone ou WhatsApp</t>
        </is>
      </c>
      <c r="E77" s="46" t="n">
        <v>3.5</v>
      </c>
      <c r="F77" s="40" t="inlineStr">
        <is>
          <t>Sim</t>
        </is>
      </c>
      <c r="G77" s="24">
        <f>IF(C77="","",IFERROR(INDEX(Casos!$B$5:$B$204,MATCH(C77,Casos!$A$5:$A$204,0)),""))</f>
        <v/>
      </c>
      <c r="H77" s="29">
        <f>IF(OR(B77="",E77=""),"",E77*IFERROR(INDEX(Config!$D$12:$D$21,MATCH(B77,Config!$A$12:$A$21,0)),Config!$B$23))</f>
        <v/>
      </c>
      <c r="I77" s="23">
        <f>IF(A77="","",MONTH(A77))</f>
        <v/>
      </c>
      <c r="J77" s="23">
        <f>IF(A77="","",YEAR(A77))</f>
        <v/>
      </c>
    </row>
    <row r="78">
      <c r="A78" s="47" t="n">
        <v>46233</v>
      </c>
      <c r="B78" s="40" t="inlineStr">
        <is>
          <t>Marina Ferraz</t>
        </is>
      </c>
      <c r="C78" s="39" t="inlineStr">
        <is>
          <t>9236009-85.2026.8.26.0452</t>
        </is>
      </c>
      <c r="D78" s="39" t="inlineStr">
        <is>
          <t>Análise de documentos</t>
        </is>
      </c>
      <c r="E78" s="46" t="n">
        <v>3.5</v>
      </c>
      <c r="F78" s="40" t="inlineStr">
        <is>
          <t>Sim</t>
        </is>
      </c>
      <c r="G78" s="24">
        <f>IF(C78="","",IFERROR(INDEX(Casos!$B$5:$B$204,MATCH(C78,Casos!$A$5:$A$204,0)),""))</f>
        <v/>
      </c>
      <c r="H78" s="29">
        <f>IF(OR(B78="",E78=""),"",E78*IFERROR(INDEX(Config!$D$12:$D$21,MATCH(B78,Config!$A$12:$A$21,0)),Config!$B$23))</f>
        <v/>
      </c>
      <c r="I78" s="23">
        <f>IF(A78="","",MONTH(A78))</f>
        <v/>
      </c>
      <c r="J78" s="23">
        <f>IF(A78="","",YEAR(A78))</f>
        <v/>
      </c>
    </row>
    <row r="79">
      <c r="A79" s="47" t="n">
        <v>46233</v>
      </c>
      <c r="B79" s="40" t="inlineStr">
        <is>
          <t>Rafael Lima</t>
        </is>
      </c>
      <c r="C79" s="39" t="inlineStr">
        <is>
          <t>9225646-96.2026.8.26.0322</t>
        </is>
      </c>
      <c r="D79" s="39" t="inlineStr">
        <is>
          <t>Audiência</t>
        </is>
      </c>
      <c r="E79" s="46" t="n">
        <v>3.5</v>
      </c>
      <c r="F79" s="40" t="inlineStr">
        <is>
          <t>Sim</t>
        </is>
      </c>
      <c r="G79" s="24">
        <f>IF(C79="","",IFERROR(INDEX(Casos!$B$5:$B$204,MATCH(C79,Casos!$A$5:$A$204,0)),""))</f>
        <v/>
      </c>
      <c r="H79" s="29">
        <f>IF(OR(B79="",E79=""),"",E79*IFERROR(INDEX(Config!$D$12:$D$21,MATCH(B79,Config!$A$12:$A$21,0)),Config!$B$23))</f>
        <v/>
      </c>
      <c r="I79" s="23">
        <f>IF(A79="","",MONTH(A79))</f>
        <v/>
      </c>
      <c r="J79" s="23">
        <f>IF(A79="","",YEAR(A79))</f>
        <v/>
      </c>
    </row>
    <row r="80">
      <c r="A80" s="47" t="n">
        <v>46234</v>
      </c>
      <c r="B80" s="40" t="inlineStr">
        <is>
          <t>Júlia Prado</t>
        </is>
      </c>
      <c r="C80" s="39" t="inlineStr">
        <is>
          <t>6710873-21.2025.8.26.0571</t>
        </is>
      </c>
      <c r="D80" s="39" t="inlineStr">
        <is>
          <t>Análise de documentos</t>
        </is>
      </c>
      <c r="E80" s="46" t="n">
        <v>2.5</v>
      </c>
      <c r="F80" s="40" t="inlineStr">
        <is>
          <t>Sim</t>
        </is>
      </c>
      <c r="G80" s="24">
        <f>IF(C80="","",IFERROR(INDEX(Casos!$B$5:$B$204,MATCH(C80,Casos!$A$5:$A$204,0)),""))</f>
        <v/>
      </c>
      <c r="H80" s="29">
        <f>IF(OR(B80="",E80=""),"",E80*IFERROR(INDEX(Config!$D$12:$D$21,MATCH(B80,Config!$A$12:$A$21,0)),Config!$B$23))</f>
        <v/>
      </c>
      <c r="I80" s="23">
        <f>IF(A80="","",MONTH(A80))</f>
        <v/>
      </c>
      <c r="J80" s="23">
        <f>IF(A80="","",YEAR(A80))</f>
        <v/>
      </c>
    </row>
    <row r="81">
      <c r="A81" s="47" t="n">
        <v>46234</v>
      </c>
      <c r="B81" s="40" t="inlineStr">
        <is>
          <t>Marina Ferraz</t>
        </is>
      </c>
      <c r="C81" s="39" t="inlineStr">
        <is>
          <t>9236009-85.2026.8.26.0452</t>
        </is>
      </c>
      <c r="D81" s="39" t="inlineStr">
        <is>
          <t>Análise de documentos</t>
        </is>
      </c>
      <c r="E81" s="46" t="n">
        <v>4.5</v>
      </c>
      <c r="F81" s="40" t="inlineStr">
        <is>
          <t>Sim</t>
        </is>
      </c>
      <c r="G81" s="24">
        <f>IF(C81="","",IFERROR(INDEX(Casos!$B$5:$B$204,MATCH(C81,Casos!$A$5:$A$204,0)),""))</f>
        <v/>
      </c>
      <c r="H81" s="29">
        <f>IF(OR(B81="",E81=""),"",E81*IFERROR(INDEX(Config!$D$12:$D$21,MATCH(B81,Config!$A$12:$A$21,0)),Config!$B$23))</f>
        <v/>
      </c>
      <c r="I81" s="23">
        <f>IF(A81="","",MONTH(A81))</f>
        <v/>
      </c>
      <c r="J81" s="23">
        <f>IF(A81="","",YEAR(A81))</f>
        <v/>
      </c>
    </row>
    <row r="82">
      <c r="A82" s="47" t="n">
        <v>46234</v>
      </c>
      <c r="B82" s="40" t="inlineStr">
        <is>
          <t>Marina Ferraz</t>
        </is>
      </c>
      <c r="C82" s="39" t="inlineStr">
        <is>
          <t>8570388-84.2025.8.26.0560</t>
        </is>
      </c>
      <c r="D82" s="39" t="inlineStr">
        <is>
          <t>Elaboração de documento</t>
        </is>
      </c>
      <c r="E82" s="46" t="n">
        <v>1.5</v>
      </c>
      <c r="F82" s="40" t="inlineStr">
        <is>
          <t>Sim</t>
        </is>
      </c>
      <c r="G82" s="24">
        <f>IF(C82="","",IFERROR(INDEX(Casos!$B$5:$B$204,MATCH(C82,Casos!$A$5:$A$204,0)),""))</f>
        <v/>
      </c>
      <c r="H82" s="29">
        <f>IF(OR(B82="",E82=""),"",E82*IFERROR(INDEX(Config!$D$12:$D$21,MATCH(B82,Config!$A$12:$A$21,0)),Config!$B$23))</f>
        <v/>
      </c>
      <c r="I82" s="23">
        <f>IF(A82="","",MONTH(A82))</f>
        <v/>
      </c>
      <c r="J82" s="23">
        <f>IF(A82="","",YEAR(A82))</f>
        <v/>
      </c>
    </row>
    <row r="83">
      <c r="A83" s="47" t="n">
        <v>46234</v>
      </c>
      <c r="B83" s="40" t="inlineStr">
        <is>
          <t>Marina Ferraz</t>
        </is>
      </c>
      <c r="C83" s="39" t="inlineStr">
        <is>
          <t>Gestão do escritório</t>
        </is>
      </c>
      <c r="D83" s="39" t="inlineStr">
        <is>
          <t>Gestão do escritório</t>
        </is>
      </c>
      <c r="E83" s="46" t="n">
        <v>2.5</v>
      </c>
      <c r="F83" s="40" t="inlineStr">
        <is>
          <t>Não</t>
        </is>
      </c>
      <c r="G83" s="24">
        <f>IF(C83="","",IFERROR(INDEX(Casos!$B$5:$B$204,MATCH(C83,Casos!$A$5:$A$204,0)),""))</f>
        <v/>
      </c>
      <c r="H83" s="29">
        <f>IF(OR(B83="",E83=""),"",E83*IFERROR(INDEX(Config!$D$12:$D$21,MATCH(B83,Config!$A$12:$A$21,0)),Config!$B$23))</f>
        <v/>
      </c>
      <c r="I83" s="23">
        <f>IF(A83="","",MONTH(A83))</f>
        <v/>
      </c>
      <c r="J83" s="23">
        <f>IF(A83="","",YEAR(A83))</f>
        <v/>
      </c>
    </row>
    <row r="84">
      <c r="A84" s="47" t="n">
        <v>46234</v>
      </c>
      <c r="B84" s="40" t="inlineStr">
        <is>
          <t>Rafael Lima</t>
        </is>
      </c>
      <c r="C84" s="39" t="inlineStr">
        <is>
          <t>6904743-30.2025.8.26.0361</t>
        </is>
      </c>
      <c r="D84" s="39" t="inlineStr">
        <is>
          <t>Diligência externa</t>
        </is>
      </c>
      <c r="E84" s="46" t="n">
        <v>2</v>
      </c>
      <c r="F84" s="40" t="inlineStr">
        <is>
          <t>Sim</t>
        </is>
      </c>
      <c r="G84" s="24">
        <f>IF(C84="","",IFERROR(INDEX(Casos!$B$5:$B$204,MATCH(C84,Casos!$A$5:$A$204,0)),""))</f>
        <v/>
      </c>
      <c r="H84" s="29">
        <f>IF(OR(B84="",E84=""),"",E84*IFERROR(INDEX(Config!$D$12:$D$21,MATCH(B84,Config!$A$12:$A$21,0)),Config!$B$23))</f>
        <v/>
      </c>
      <c r="I84" s="23">
        <f>IF(A84="","",MONTH(A84))</f>
        <v/>
      </c>
      <c r="J84" s="23">
        <f>IF(A84="","",YEAR(A84))</f>
        <v/>
      </c>
    </row>
    <row r="85">
      <c r="A85" s="47" t="n">
        <v>46237</v>
      </c>
      <c r="B85" s="40" t="inlineStr">
        <is>
          <t>Júlia Prado</t>
        </is>
      </c>
      <c r="C85" s="39" t="inlineStr">
        <is>
          <t>9236009-85.2026.8.26.0452</t>
        </is>
      </c>
      <c r="D85" s="39" t="inlineStr">
        <is>
          <t>Análise de documentos</t>
        </is>
      </c>
      <c r="E85" s="46" t="n">
        <v>3</v>
      </c>
      <c r="F85" s="40" t="inlineStr">
        <is>
          <t>Sim</t>
        </is>
      </c>
      <c r="G85" s="24">
        <f>IF(C85="","",IFERROR(INDEX(Casos!$B$5:$B$204,MATCH(C85,Casos!$A$5:$A$204,0)),""))</f>
        <v/>
      </c>
      <c r="H85" s="29">
        <f>IF(OR(B85="",E85=""),"",E85*IFERROR(INDEX(Config!$D$12:$D$21,MATCH(B85,Config!$A$12:$A$21,0)),Config!$B$23))</f>
        <v/>
      </c>
      <c r="I85" s="23">
        <f>IF(A85="","",MONTH(A85))</f>
        <v/>
      </c>
      <c r="J85" s="23">
        <f>IF(A85="","",YEAR(A85))</f>
        <v/>
      </c>
    </row>
    <row r="86">
      <c r="A86" s="47" t="n">
        <v>46237</v>
      </c>
      <c r="B86" s="40" t="inlineStr">
        <is>
          <t>Júlia Prado</t>
        </is>
      </c>
      <c r="C86" s="39" t="inlineStr">
        <is>
          <t>8986364-51.2026.8.26.0700</t>
        </is>
      </c>
      <c r="D86" s="39" t="inlineStr">
        <is>
          <t>Pesquisa e estudo do caso</t>
        </is>
      </c>
      <c r="E86" s="46" t="n">
        <v>2</v>
      </c>
      <c r="F86" s="40" t="inlineStr">
        <is>
          <t>Sim</t>
        </is>
      </c>
      <c r="G86" s="24">
        <f>IF(C86="","",IFERROR(INDEX(Casos!$B$5:$B$204,MATCH(C86,Casos!$A$5:$A$204,0)),""))</f>
        <v/>
      </c>
      <c r="H86" s="29">
        <f>IF(OR(B86="",E86=""),"",E86*IFERROR(INDEX(Config!$D$12:$D$21,MATCH(B86,Config!$A$12:$A$21,0)),Config!$B$23))</f>
        <v/>
      </c>
      <c r="I86" s="23">
        <f>IF(A86="","",MONTH(A86))</f>
        <v/>
      </c>
      <c r="J86" s="23">
        <f>IF(A86="","",YEAR(A86))</f>
        <v/>
      </c>
    </row>
    <row r="87">
      <c r="A87" s="47" t="n">
        <v>46237</v>
      </c>
      <c r="B87" s="40" t="inlineStr">
        <is>
          <t>Rafael Lima</t>
        </is>
      </c>
      <c r="C87" s="39" t="inlineStr">
        <is>
          <t>Gestão do escritório</t>
        </is>
      </c>
      <c r="D87" s="39" t="inlineStr">
        <is>
          <t>Gestão do escritório</t>
        </is>
      </c>
      <c r="E87" s="46" t="n">
        <v>1</v>
      </c>
      <c r="F87" s="40" t="inlineStr">
        <is>
          <t>Não</t>
        </is>
      </c>
      <c r="G87" s="24">
        <f>IF(C87="","",IFERROR(INDEX(Casos!$B$5:$B$204,MATCH(C87,Casos!$A$5:$A$204,0)),""))</f>
        <v/>
      </c>
      <c r="H87" s="29">
        <f>IF(OR(B87="",E87=""),"",E87*IFERROR(INDEX(Config!$D$12:$D$21,MATCH(B87,Config!$A$12:$A$21,0)),Config!$B$23))</f>
        <v/>
      </c>
      <c r="I87" s="23">
        <f>IF(A87="","",MONTH(A87))</f>
        <v/>
      </c>
      <c r="J87" s="23">
        <f>IF(A87="","",YEAR(A87))</f>
        <v/>
      </c>
    </row>
    <row r="88">
      <c r="A88" s="47" t="n">
        <v>46238</v>
      </c>
      <c r="B88" s="40" t="inlineStr">
        <is>
          <t>Júlia Prado</t>
        </is>
      </c>
      <c r="C88" s="39" t="inlineStr">
        <is>
          <t>6258696-95.2026.8.26.0598</t>
        </is>
      </c>
      <c r="D88" s="39" t="inlineStr">
        <is>
          <t>Reunião com cliente</t>
        </is>
      </c>
      <c r="E88" s="46" t="n">
        <v>2.5</v>
      </c>
      <c r="F88" s="40" t="inlineStr">
        <is>
          <t>Sim</t>
        </is>
      </c>
      <c r="G88" s="24">
        <f>IF(C88="","",IFERROR(INDEX(Casos!$B$5:$B$204,MATCH(C88,Casos!$A$5:$A$204,0)),""))</f>
        <v/>
      </c>
      <c r="H88" s="29">
        <f>IF(OR(B88="",E88=""),"",E88*IFERROR(INDEX(Config!$D$12:$D$21,MATCH(B88,Config!$A$12:$A$21,0)),Config!$B$23))</f>
        <v/>
      </c>
      <c r="I88" s="23">
        <f>IF(A88="","",MONTH(A88))</f>
        <v/>
      </c>
      <c r="J88" s="23">
        <f>IF(A88="","",YEAR(A88))</f>
        <v/>
      </c>
    </row>
    <row r="89">
      <c r="A89" s="47" t="n">
        <v>46238</v>
      </c>
      <c r="B89" s="40" t="inlineStr">
        <is>
          <t>Júlia Prado</t>
        </is>
      </c>
      <c r="C89" s="39" t="inlineStr">
        <is>
          <t>8986364-51.2026.8.26.0700</t>
        </is>
      </c>
      <c r="D89" s="39" t="inlineStr">
        <is>
          <t>Audiência</t>
        </is>
      </c>
      <c r="E89" s="46" t="n">
        <v>1.5</v>
      </c>
      <c r="F89" s="40" t="inlineStr">
        <is>
          <t>Sim</t>
        </is>
      </c>
      <c r="G89" s="24">
        <f>IF(C89="","",IFERROR(INDEX(Casos!$B$5:$B$204,MATCH(C89,Casos!$A$5:$A$204,0)),""))</f>
        <v/>
      </c>
      <c r="H89" s="29">
        <f>IF(OR(B89="",E89=""),"",E89*IFERROR(INDEX(Config!$D$12:$D$21,MATCH(B89,Config!$A$12:$A$21,0)),Config!$B$23))</f>
        <v/>
      </c>
      <c r="I89" s="23">
        <f>IF(A89="","",MONTH(A89))</f>
        <v/>
      </c>
      <c r="J89" s="23">
        <f>IF(A89="","",YEAR(A89))</f>
        <v/>
      </c>
    </row>
    <row r="90">
      <c r="A90" s="47" t="n">
        <v>46238</v>
      </c>
      <c r="B90" s="40" t="inlineStr">
        <is>
          <t>Júlia Prado</t>
        </is>
      </c>
      <c r="C90" s="39" t="inlineStr">
        <is>
          <t>5297049-18.2026.8.26.0015</t>
        </is>
      </c>
      <c r="D90" s="39" t="inlineStr">
        <is>
          <t>Atendimento por telefone ou WhatsApp</t>
        </is>
      </c>
      <c r="E90" s="46" t="n">
        <v>4</v>
      </c>
      <c r="F90" s="40" t="inlineStr">
        <is>
          <t>Sim</t>
        </is>
      </c>
      <c r="G90" s="24">
        <f>IF(C90="","",IFERROR(INDEX(Casos!$B$5:$B$204,MATCH(C90,Casos!$A$5:$A$204,0)),""))</f>
        <v/>
      </c>
      <c r="H90" s="29">
        <f>IF(OR(B90="",E90=""),"",E90*IFERROR(INDEX(Config!$D$12:$D$21,MATCH(B90,Config!$A$12:$A$21,0)),Config!$B$23))</f>
        <v/>
      </c>
      <c r="I90" s="23">
        <f>IF(A90="","",MONTH(A90))</f>
        <v/>
      </c>
      <c r="J90" s="23">
        <f>IF(A90="","",YEAR(A90))</f>
        <v/>
      </c>
    </row>
    <row r="91">
      <c r="A91" s="47" t="n">
        <v>46238</v>
      </c>
      <c r="B91" s="40" t="inlineStr">
        <is>
          <t>Júlia Prado</t>
        </is>
      </c>
      <c r="C91" s="39" t="inlineStr">
        <is>
          <t>Gestão do escritório</t>
        </is>
      </c>
      <c r="D91" s="39" t="inlineStr">
        <is>
          <t>Gestão do escritório</t>
        </is>
      </c>
      <c r="E91" s="46" t="n">
        <v>1.5</v>
      </c>
      <c r="F91" s="40" t="inlineStr">
        <is>
          <t>Não</t>
        </is>
      </c>
      <c r="G91" s="24">
        <f>IF(C91="","",IFERROR(INDEX(Casos!$B$5:$B$204,MATCH(C91,Casos!$A$5:$A$204,0)),""))</f>
        <v/>
      </c>
      <c r="H91" s="29">
        <f>IF(OR(B91="",E91=""),"",E91*IFERROR(INDEX(Config!$D$12:$D$21,MATCH(B91,Config!$A$12:$A$21,0)),Config!$B$23))</f>
        <v/>
      </c>
      <c r="I91" s="23">
        <f>IF(A91="","",MONTH(A91))</f>
        <v/>
      </c>
      <c r="J91" s="23">
        <f>IF(A91="","",YEAR(A91))</f>
        <v/>
      </c>
    </row>
    <row r="92">
      <c r="A92" s="47" t="n">
        <v>46238</v>
      </c>
      <c r="B92" s="40" t="inlineStr">
        <is>
          <t>Marina Ferraz</t>
        </is>
      </c>
      <c r="C92" s="39" t="inlineStr">
        <is>
          <t>8986364-51.2026.8.26.0700</t>
        </is>
      </c>
      <c r="D92" s="39" t="inlineStr">
        <is>
          <t>Elaboração de documento</t>
        </is>
      </c>
      <c r="E92" s="46" t="n">
        <v>1.5</v>
      </c>
      <c r="F92" s="40" t="inlineStr">
        <is>
          <t>Sim</t>
        </is>
      </c>
      <c r="G92" s="24">
        <f>IF(C92="","",IFERROR(INDEX(Casos!$B$5:$B$204,MATCH(C92,Casos!$A$5:$A$204,0)),""))</f>
        <v/>
      </c>
      <c r="H92" s="29">
        <f>IF(OR(B92="",E92=""),"",E92*IFERROR(INDEX(Config!$D$12:$D$21,MATCH(B92,Config!$A$12:$A$21,0)),Config!$B$23))</f>
        <v/>
      </c>
      <c r="I92" s="23">
        <f>IF(A92="","",MONTH(A92))</f>
        <v/>
      </c>
      <c r="J92" s="23">
        <f>IF(A92="","",YEAR(A92))</f>
        <v/>
      </c>
    </row>
    <row r="93">
      <c r="A93" s="47" t="n">
        <v>46238</v>
      </c>
      <c r="B93" s="40" t="inlineStr">
        <is>
          <t>Marina Ferraz</t>
        </is>
      </c>
      <c r="C93" s="39" t="inlineStr">
        <is>
          <t>8986364-51.2026.8.26.0700</t>
        </is>
      </c>
      <c r="D93" s="39" t="inlineStr">
        <is>
          <t>Atendimento por telefone ou WhatsApp</t>
        </is>
      </c>
      <c r="E93" s="46" t="n">
        <v>3.5</v>
      </c>
      <c r="F93" s="40" t="inlineStr">
        <is>
          <t>Sim</t>
        </is>
      </c>
      <c r="G93" s="24">
        <f>IF(C93="","",IFERROR(INDEX(Casos!$B$5:$B$204,MATCH(C93,Casos!$A$5:$A$204,0)),""))</f>
        <v/>
      </c>
      <c r="H93" s="29">
        <f>IF(OR(B93="",E93=""),"",E93*IFERROR(INDEX(Config!$D$12:$D$21,MATCH(B93,Config!$A$12:$A$21,0)),Config!$B$23))</f>
        <v/>
      </c>
      <c r="I93" s="23">
        <f>IF(A93="","",MONTH(A93))</f>
        <v/>
      </c>
      <c r="J93" s="23">
        <f>IF(A93="","",YEAR(A93))</f>
        <v/>
      </c>
    </row>
    <row r="94">
      <c r="A94" s="47" t="n">
        <v>46238</v>
      </c>
      <c r="B94" s="40" t="inlineStr">
        <is>
          <t>Marina Ferraz</t>
        </is>
      </c>
      <c r="C94" s="39" t="inlineStr">
        <is>
          <t>8986364-51.2026.8.26.0700</t>
        </is>
      </c>
      <c r="D94" s="39" t="inlineStr">
        <is>
          <t>Atendimento por telefone ou WhatsApp</t>
        </is>
      </c>
      <c r="E94" s="46" t="n">
        <v>3</v>
      </c>
      <c r="F94" s="40" t="inlineStr">
        <is>
          <t>Sim</t>
        </is>
      </c>
      <c r="G94" s="24">
        <f>IF(C94="","",IFERROR(INDEX(Casos!$B$5:$B$204,MATCH(C94,Casos!$A$5:$A$204,0)),""))</f>
        <v/>
      </c>
      <c r="H94" s="29">
        <f>IF(OR(B94="",E94=""),"",E94*IFERROR(INDEX(Config!$D$12:$D$21,MATCH(B94,Config!$A$12:$A$21,0)),Config!$B$23))</f>
        <v/>
      </c>
      <c r="I94" s="23">
        <f>IF(A94="","",MONTH(A94))</f>
        <v/>
      </c>
      <c r="J94" s="23">
        <f>IF(A94="","",YEAR(A94))</f>
        <v/>
      </c>
    </row>
    <row r="95">
      <c r="A95" s="47" t="n">
        <v>46238</v>
      </c>
      <c r="B95" s="40" t="inlineStr">
        <is>
          <t>Marina Ferraz</t>
        </is>
      </c>
      <c r="C95" s="39" t="inlineStr">
        <is>
          <t>9717671-36.2026.8.26.0445</t>
        </is>
      </c>
      <c r="D95" s="39" t="inlineStr">
        <is>
          <t>Análise de documentos</t>
        </is>
      </c>
      <c r="E95" s="46" t="n">
        <v>2</v>
      </c>
      <c r="F95" s="40" t="inlineStr">
        <is>
          <t>Sim</t>
        </is>
      </c>
      <c r="G95" s="24">
        <f>IF(C95="","",IFERROR(INDEX(Casos!$B$5:$B$204,MATCH(C95,Casos!$A$5:$A$204,0)),""))</f>
        <v/>
      </c>
      <c r="H95" s="29">
        <f>IF(OR(B95="",E95=""),"",E95*IFERROR(INDEX(Config!$D$12:$D$21,MATCH(B95,Config!$A$12:$A$21,0)),Config!$B$23))</f>
        <v/>
      </c>
      <c r="I95" s="23">
        <f>IF(A95="","",MONTH(A95))</f>
        <v/>
      </c>
      <c r="J95" s="23">
        <f>IF(A95="","",YEAR(A95))</f>
        <v/>
      </c>
    </row>
    <row r="96">
      <c r="A96" s="47" t="n">
        <v>46238</v>
      </c>
      <c r="B96" s="40" t="inlineStr">
        <is>
          <t>Marina Ferraz</t>
        </is>
      </c>
      <c r="C96" s="39" t="inlineStr">
        <is>
          <t>5297049-18.2026.8.26.0015</t>
        </is>
      </c>
      <c r="D96" s="39" t="inlineStr">
        <is>
          <t>Reunião com cliente</t>
        </is>
      </c>
      <c r="E96" s="46" t="n">
        <v>4</v>
      </c>
      <c r="F96" s="40" t="inlineStr">
        <is>
          <t>Sim</t>
        </is>
      </c>
      <c r="G96" s="24">
        <f>IF(C96="","",IFERROR(INDEX(Casos!$B$5:$B$204,MATCH(C96,Casos!$A$5:$A$204,0)),""))</f>
        <v/>
      </c>
      <c r="H96" s="29">
        <f>IF(OR(B96="",E96=""),"",E96*IFERROR(INDEX(Config!$D$12:$D$21,MATCH(B96,Config!$A$12:$A$21,0)),Config!$B$23))</f>
        <v/>
      </c>
      <c r="I96" s="23">
        <f>IF(A96="","",MONTH(A96))</f>
        <v/>
      </c>
      <c r="J96" s="23">
        <f>IF(A96="","",YEAR(A96))</f>
        <v/>
      </c>
    </row>
    <row r="97">
      <c r="A97" s="47" t="n">
        <v>46238</v>
      </c>
      <c r="B97" s="40" t="inlineStr">
        <is>
          <t>Marina Ferraz</t>
        </is>
      </c>
      <c r="C97" s="39" t="inlineStr">
        <is>
          <t>1191416-90.2025.8.26.0249</t>
        </is>
      </c>
      <c r="D97" s="39" t="inlineStr">
        <is>
          <t>Administrativo do caso</t>
        </is>
      </c>
      <c r="E97" s="46" t="n">
        <v>1</v>
      </c>
      <c r="F97" s="40" t="inlineStr">
        <is>
          <t>Não</t>
        </is>
      </c>
      <c r="G97" s="24">
        <f>IF(C97="","",IFERROR(INDEX(Casos!$B$5:$B$204,MATCH(C97,Casos!$A$5:$A$204,0)),""))</f>
        <v/>
      </c>
      <c r="H97" s="29">
        <f>IF(OR(B97="",E97=""),"",E97*IFERROR(INDEX(Config!$D$12:$D$21,MATCH(B97,Config!$A$12:$A$21,0)),Config!$B$23))</f>
        <v/>
      </c>
      <c r="I97" s="23">
        <f>IF(A97="","",MONTH(A97))</f>
        <v/>
      </c>
      <c r="J97" s="23">
        <f>IF(A97="","",YEAR(A97))</f>
        <v/>
      </c>
    </row>
    <row r="98">
      <c r="A98" s="47" t="n">
        <v>46238</v>
      </c>
      <c r="B98" s="40" t="inlineStr">
        <is>
          <t>Marina Ferraz</t>
        </is>
      </c>
      <c r="C98" s="39" t="inlineStr">
        <is>
          <t>Captação e propostas</t>
        </is>
      </c>
      <c r="D98" s="39" t="inlineStr">
        <is>
          <t>Captação e propostas</t>
        </is>
      </c>
      <c r="E98" s="46" t="n">
        <v>2</v>
      </c>
      <c r="F98" s="40" t="inlineStr">
        <is>
          <t>Não</t>
        </is>
      </c>
      <c r="G98" s="24">
        <f>IF(C98="","",IFERROR(INDEX(Casos!$B$5:$B$204,MATCH(C98,Casos!$A$5:$A$204,0)),""))</f>
        <v/>
      </c>
      <c r="H98" s="29">
        <f>IF(OR(B98="",E98=""),"",E98*IFERROR(INDEX(Config!$D$12:$D$21,MATCH(B98,Config!$A$12:$A$21,0)),Config!$B$23))</f>
        <v/>
      </c>
      <c r="I98" s="23">
        <f>IF(A98="","",MONTH(A98))</f>
        <v/>
      </c>
      <c r="J98" s="23">
        <f>IF(A98="","",YEAR(A98))</f>
        <v/>
      </c>
    </row>
    <row r="99">
      <c r="A99" s="47" t="n">
        <v>46238</v>
      </c>
      <c r="B99" s="40" t="inlineStr">
        <is>
          <t>Rafael Lima</t>
        </is>
      </c>
      <c r="C99" s="39" t="inlineStr">
        <is>
          <t>2650441-66.2026.8.26.0528</t>
        </is>
      </c>
      <c r="D99" s="39" t="inlineStr">
        <is>
          <t>Elaboração de documento</t>
        </is>
      </c>
      <c r="E99" s="46" t="n">
        <v>0.5</v>
      </c>
      <c r="F99" s="40" t="inlineStr">
        <is>
          <t>Sim</t>
        </is>
      </c>
      <c r="G99" s="24">
        <f>IF(C99="","",IFERROR(INDEX(Casos!$B$5:$B$204,MATCH(C99,Casos!$A$5:$A$204,0)),""))</f>
        <v/>
      </c>
      <c r="H99" s="29">
        <f>IF(OR(B99="",E99=""),"",E99*IFERROR(INDEX(Config!$D$12:$D$21,MATCH(B99,Config!$A$12:$A$21,0)),Config!$B$23))</f>
        <v/>
      </c>
      <c r="I99" s="23">
        <f>IF(A99="","",MONTH(A99))</f>
        <v/>
      </c>
      <c r="J99" s="23">
        <f>IF(A99="","",YEAR(A99))</f>
        <v/>
      </c>
    </row>
    <row r="100">
      <c r="A100" s="47" t="n">
        <v>46238</v>
      </c>
      <c r="B100" s="40" t="inlineStr">
        <is>
          <t>Rafael Lima</t>
        </is>
      </c>
      <c r="C100" s="39" t="inlineStr">
        <is>
          <t>Captação e propostas</t>
        </is>
      </c>
      <c r="D100" s="39" t="inlineStr">
        <is>
          <t>Captação e propostas</t>
        </is>
      </c>
      <c r="E100" s="46" t="n">
        <v>2</v>
      </c>
      <c r="F100" s="40" t="inlineStr">
        <is>
          <t>Não</t>
        </is>
      </c>
      <c r="G100" s="24">
        <f>IF(C100="","",IFERROR(INDEX(Casos!$B$5:$B$204,MATCH(C100,Casos!$A$5:$A$204,0)),""))</f>
        <v/>
      </c>
      <c r="H100" s="29">
        <f>IF(OR(B100="",E100=""),"",E100*IFERROR(INDEX(Config!$D$12:$D$21,MATCH(B100,Config!$A$12:$A$21,0)),Config!$B$23))</f>
        <v/>
      </c>
      <c r="I100" s="23">
        <f>IF(A100="","",MONTH(A100))</f>
        <v/>
      </c>
      <c r="J100" s="23">
        <f>IF(A100="","",YEAR(A100))</f>
        <v/>
      </c>
    </row>
    <row r="101">
      <c r="A101" s="47" t="n">
        <v>46239</v>
      </c>
      <c r="B101" s="40" t="inlineStr">
        <is>
          <t>Júlia Prado</t>
        </is>
      </c>
      <c r="C101" s="39" t="inlineStr">
        <is>
          <t>6258696-95.2026.8.26.0598</t>
        </is>
      </c>
      <c r="D101" s="39" t="inlineStr">
        <is>
          <t>Deslocamento</t>
        </is>
      </c>
      <c r="E101" s="46" t="n">
        <v>3</v>
      </c>
      <c r="F101" s="40" t="inlineStr">
        <is>
          <t>Não</t>
        </is>
      </c>
      <c r="G101" s="24">
        <f>IF(C101="","",IFERROR(INDEX(Casos!$B$5:$B$204,MATCH(C101,Casos!$A$5:$A$204,0)),""))</f>
        <v/>
      </c>
      <c r="H101" s="29">
        <f>IF(OR(B101="",E101=""),"",E101*IFERROR(INDEX(Config!$D$12:$D$21,MATCH(B101,Config!$A$12:$A$21,0)),Config!$B$23))</f>
        <v/>
      </c>
      <c r="I101" s="23">
        <f>IF(A101="","",MONTH(A101))</f>
        <v/>
      </c>
      <c r="J101" s="23">
        <f>IF(A101="","",YEAR(A101))</f>
        <v/>
      </c>
    </row>
    <row r="102">
      <c r="A102" s="47" t="n">
        <v>46239</v>
      </c>
      <c r="B102" s="40" t="inlineStr">
        <is>
          <t>Júlia Prado</t>
        </is>
      </c>
      <c r="C102" s="39" t="inlineStr">
        <is>
          <t>5497983-95.2025.8.26.0570</t>
        </is>
      </c>
      <c r="D102" s="39" t="inlineStr">
        <is>
          <t>Atendimento por telefone ou WhatsApp</t>
        </is>
      </c>
      <c r="E102" s="46" t="n">
        <v>3</v>
      </c>
      <c r="F102" s="40" t="inlineStr">
        <is>
          <t>Sim</t>
        </is>
      </c>
      <c r="G102" s="24">
        <f>IF(C102="","",IFERROR(INDEX(Casos!$B$5:$B$204,MATCH(C102,Casos!$A$5:$A$204,0)),""))</f>
        <v/>
      </c>
      <c r="H102" s="29">
        <f>IF(OR(B102="",E102=""),"",E102*IFERROR(INDEX(Config!$D$12:$D$21,MATCH(B102,Config!$A$12:$A$21,0)),Config!$B$23))</f>
        <v/>
      </c>
      <c r="I102" s="23">
        <f>IF(A102="","",MONTH(A102))</f>
        <v/>
      </c>
      <c r="J102" s="23">
        <f>IF(A102="","",YEAR(A102))</f>
        <v/>
      </c>
    </row>
    <row r="103">
      <c r="A103" s="47" t="n">
        <v>46239</v>
      </c>
      <c r="B103" s="40" t="inlineStr">
        <is>
          <t>Marina Ferraz</t>
        </is>
      </c>
      <c r="C103" s="39" t="inlineStr">
        <is>
          <t>9778116-95.2026.8.26.0106</t>
        </is>
      </c>
      <c r="D103" s="39" t="inlineStr">
        <is>
          <t>Deslocamento</t>
        </is>
      </c>
      <c r="E103" s="46" t="n">
        <v>4.5</v>
      </c>
      <c r="F103" s="40" t="inlineStr">
        <is>
          <t>Não</t>
        </is>
      </c>
      <c r="G103" s="24">
        <f>IF(C103="","",IFERROR(INDEX(Casos!$B$5:$B$204,MATCH(C103,Casos!$A$5:$A$204,0)),""))</f>
        <v/>
      </c>
      <c r="H103" s="29">
        <f>IF(OR(B103="",E103=""),"",E103*IFERROR(INDEX(Config!$D$12:$D$21,MATCH(B103,Config!$A$12:$A$21,0)),Config!$B$23))</f>
        <v/>
      </c>
      <c r="I103" s="23">
        <f>IF(A103="","",MONTH(A103))</f>
        <v/>
      </c>
      <c r="J103" s="23">
        <f>IF(A103="","",YEAR(A103))</f>
        <v/>
      </c>
    </row>
    <row r="104">
      <c r="A104" s="47" t="n">
        <v>46239</v>
      </c>
      <c r="B104" s="40" t="inlineStr">
        <is>
          <t>Marina Ferraz</t>
        </is>
      </c>
      <c r="C104" s="39" t="inlineStr">
        <is>
          <t>8986364-51.2026.8.26.0700</t>
        </is>
      </c>
      <c r="D104" s="39" t="inlineStr">
        <is>
          <t>Administrativo do caso</t>
        </is>
      </c>
      <c r="E104" s="46" t="n">
        <v>3</v>
      </c>
      <c r="F104" s="40" t="inlineStr">
        <is>
          <t>Não</t>
        </is>
      </c>
      <c r="G104" s="24">
        <f>IF(C104="","",IFERROR(INDEX(Casos!$B$5:$B$204,MATCH(C104,Casos!$A$5:$A$204,0)),""))</f>
        <v/>
      </c>
      <c r="H104" s="29">
        <f>IF(OR(B104="",E104=""),"",E104*IFERROR(INDEX(Config!$D$12:$D$21,MATCH(B104,Config!$A$12:$A$21,0)),Config!$B$23))</f>
        <v/>
      </c>
      <c r="I104" s="23">
        <f>IF(A104="","",MONTH(A104))</f>
        <v/>
      </c>
      <c r="J104" s="23">
        <f>IF(A104="","",YEAR(A104))</f>
        <v/>
      </c>
    </row>
    <row r="105">
      <c r="A105" s="47" t="n">
        <v>46239</v>
      </c>
      <c r="B105" s="40" t="inlineStr">
        <is>
          <t>Rafael Lima</t>
        </is>
      </c>
      <c r="C105" s="39" t="inlineStr">
        <is>
          <t>1941959-24.2026.8.26.0167</t>
        </is>
      </c>
      <c r="D105" s="39" t="inlineStr">
        <is>
          <t>Análise de documentos</t>
        </is>
      </c>
      <c r="E105" s="46" t="n">
        <v>4</v>
      </c>
      <c r="F105" s="40" t="inlineStr">
        <is>
          <t>Sim</t>
        </is>
      </c>
      <c r="G105" s="24">
        <f>IF(C105="","",IFERROR(INDEX(Casos!$B$5:$B$204,MATCH(C105,Casos!$A$5:$A$204,0)),""))</f>
        <v/>
      </c>
      <c r="H105" s="29">
        <f>IF(OR(B105="",E105=""),"",E105*IFERROR(INDEX(Config!$D$12:$D$21,MATCH(B105,Config!$A$12:$A$21,0)),Config!$B$23))</f>
        <v/>
      </c>
      <c r="I105" s="23">
        <f>IF(A105="","",MONTH(A105))</f>
        <v/>
      </c>
      <c r="J105" s="23">
        <f>IF(A105="","",YEAR(A105))</f>
        <v/>
      </c>
    </row>
    <row r="106">
      <c r="A106" s="47" t="n">
        <v>46239</v>
      </c>
      <c r="B106" s="40" t="inlineStr">
        <is>
          <t>Rafael Lima</t>
        </is>
      </c>
      <c r="C106" s="39" t="inlineStr">
        <is>
          <t>1941959-24.2026.8.26.0167</t>
        </is>
      </c>
      <c r="D106" s="39" t="inlineStr">
        <is>
          <t>Pesquisa e estudo do caso</t>
        </is>
      </c>
      <c r="E106" s="46" t="n">
        <v>4.5</v>
      </c>
      <c r="F106" s="40" t="inlineStr">
        <is>
          <t>Sim</t>
        </is>
      </c>
      <c r="G106" s="24">
        <f>IF(C106="","",IFERROR(INDEX(Casos!$B$5:$B$204,MATCH(C106,Casos!$A$5:$A$204,0)),""))</f>
        <v/>
      </c>
      <c r="H106" s="29">
        <f>IF(OR(B106="",E106=""),"",E106*IFERROR(INDEX(Config!$D$12:$D$21,MATCH(B106,Config!$A$12:$A$21,0)),Config!$B$23))</f>
        <v/>
      </c>
      <c r="I106" s="23">
        <f>IF(A106="","",MONTH(A106))</f>
        <v/>
      </c>
      <c r="J106" s="23">
        <f>IF(A106="","",YEAR(A106))</f>
        <v/>
      </c>
    </row>
    <row r="107">
      <c r="A107" s="47" t="n">
        <v>46240</v>
      </c>
      <c r="B107" s="40" t="inlineStr">
        <is>
          <t>Júlia Prado</t>
        </is>
      </c>
      <c r="C107" s="39" t="inlineStr">
        <is>
          <t>6877173-50.2026.8.26.0467</t>
        </is>
      </c>
      <c r="D107" s="39" t="inlineStr">
        <is>
          <t>Deslocamento</t>
        </is>
      </c>
      <c r="E107" s="46" t="n">
        <v>2.5</v>
      </c>
      <c r="F107" s="40" t="inlineStr">
        <is>
          <t>Não</t>
        </is>
      </c>
      <c r="G107" s="24">
        <f>IF(C107="","",IFERROR(INDEX(Casos!$B$5:$B$204,MATCH(C107,Casos!$A$5:$A$204,0)),""))</f>
        <v/>
      </c>
      <c r="H107" s="29">
        <f>IF(OR(B107="",E107=""),"",E107*IFERROR(INDEX(Config!$D$12:$D$21,MATCH(B107,Config!$A$12:$A$21,0)),Config!$B$23))</f>
        <v/>
      </c>
      <c r="I107" s="23">
        <f>IF(A107="","",MONTH(A107))</f>
        <v/>
      </c>
      <c r="J107" s="23">
        <f>IF(A107="","",YEAR(A107))</f>
        <v/>
      </c>
    </row>
    <row r="108">
      <c r="A108" s="47" t="n">
        <v>46240</v>
      </c>
      <c r="B108" s="40" t="inlineStr">
        <is>
          <t>Marina Ferraz</t>
        </is>
      </c>
      <c r="C108" s="39" t="inlineStr">
        <is>
          <t>9802211-43.2025.8.26.0431</t>
        </is>
      </c>
      <c r="D108" s="39" t="inlineStr">
        <is>
          <t>Audiência</t>
        </is>
      </c>
      <c r="E108" s="46" t="n">
        <v>2</v>
      </c>
      <c r="F108" s="40" t="inlineStr">
        <is>
          <t>Sim</t>
        </is>
      </c>
      <c r="G108" s="24">
        <f>IF(C108="","",IFERROR(INDEX(Casos!$B$5:$B$204,MATCH(C108,Casos!$A$5:$A$204,0)),""))</f>
        <v/>
      </c>
      <c r="H108" s="29">
        <f>IF(OR(B108="",E108=""),"",E108*IFERROR(INDEX(Config!$D$12:$D$21,MATCH(B108,Config!$A$12:$A$21,0)),Config!$B$23))</f>
        <v/>
      </c>
      <c r="I108" s="23">
        <f>IF(A108="","",MONTH(A108))</f>
        <v/>
      </c>
      <c r="J108" s="23">
        <f>IF(A108="","",YEAR(A108))</f>
        <v/>
      </c>
    </row>
    <row r="109">
      <c r="A109" s="47" t="n">
        <v>46241</v>
      </c>
      <c r="B109" s="40" t="inlineStr">
        <is>
          <t>Júlia Prado</t>
        </is>
      </c>
      <c r="C109" s="39" t="inlineStr">
        <is>
          <t>6258696-95.2026.8.26.0598</t>
        </is>
      </c>
      <c r="D109" s="39" t="inlineStr">
        <is>
          <t>Deslocamento</t>
        </is>
      </c>
      <c r="E109" s="46" t="n">
        <v>3</v>
      </c>
      <c r="F109" s="40" t="inlineStr">
        <is>
          <t>Não</t>
        </is>
      </c>
      <c r="G109" s="24">
        <f>IF(C109="","",IFERROR(INDEX(Casos!$B$5:$B$204,MATCH(C109,Casos!$A$5:$A$204,0)),""))</f>
        <v/>
      </c>
      <c r="H109" s="29">
        <f>IF(OR(B109="",E109=""),"",E109*IFERROR(INDEX(Config!$D$12:$D$21,MATCH(B109,Config!$A$12:$A$21,0)),Config!$B$23))</f>
        <v/>
      </c>
      <c r="I109" s="23">
        <f>IF(A109="","",MONTH(A109))</f>
        <v/>
      </c>
      <c r="J109" s="23">
        <f>IF(A109="","",YEAR(A109))</f>
        <v/>
      </c>
    </row>
    <row r="110">
      <c r="A110" s="47" t="n">
        <v>46241</v>
      </c>
      <c r="B110" s="40" t="inlineStr">
        <is>
          <t>Marina Ferraz</t>
        </is>
      </c>
      <c r="C110" s="39" t="inlineStr">
        <is>
          <t>5297049-18.2026.8.26.0015</t>
        </is>
      </c>
      <c r="D110" s="39" t="inlineStr">
        <is>
          <t>Atendimento por telefone ou WhatsApp</t>
        </is>
      </c>
      <c r="E110" s="46" t="n">
        <v>3</v>
      </c>
      <c r="F110" s="40" t="inlineStr">
        <is>
          <t>Sim</t>
        </is>
      </c>
      <c r="G110" s="24">
        <f>IF(C110="","",IFERROR(INDEX(Casos!$B$5:$B$204,MATCH(C110,Casos!$A$5:$A$204,0)),""))</f>
        <v/>
      </c>
      <c r="H110" s="29">
        <f>IF(OR(B110="",E110=""),"",E110*IFERROR(INDEX(Config!$D$12:$D$21,MATCH(B110,Config!$A$12:$A$21,0)),Config!$B$23))</f>
        <v/>
      </c>
      <c r="I110" s="23">
        <f>IF(A110="","",MONTH(A110))</f>
        <v/>
      </c>
      <c r="J110" s="23">
        <f>IF(A110="","",YEAR(A110))</f>
        <v/>
      </c>
    </row>
    <row r="111">
      <c r="A111" s="47" t="n">
        <v>46241</v>
      </c>
      <c r="B111" s="40" t="inlineStr">
        <is>
          <t>Marina Ferraz</t>
        </is>
      </c>
      <c r="C111" s="39" t="inlineStr">
        <is>
          <t>5297049-18.2026.8.26.0015</t>
        </is>
      </c>
      <c r="D111" s="39" t="inlineStr">
        <is>
          <t>Administrativo do caso</t>
        </is>
      </c>
      <c r="E111" s="46" t="n">
        <v>3</v>
      </c>
      <c r="F111" s="40" t="inlineStr">
        <is>
          <t>Não</t>
        </is>
      </c>
      <c r="G111" s="24">
        <f>IF(C111="","",IFERROR(INDEX(Casos!$B$5:$B$204,MATCH(C111,Casos!$A$5:$A$204,0)),""))</f>
        <v/>
      </c>
      <c r="H111" s="29">
        <f>IF(OR(B111="",E111=""),"",E111*IFERROR(INDEX(Config!$D$12:$D$21,MATCH(B111,Config!$A$12:$A$21,0)),Config!$B$23))</f>
        <v/>
      </c>
      <c r="I111" s="23">
        <f>IF(A111="","",MONTH(A111))</f>
        <v/>
      </c>
      <c r="J111" s="23">
        <f>IF(A111="","",YEAR(A111))</f>
        <v/>
      </c>
    </row>
    <row r="112">
      <c r="A112" s="47" t="n">
        <v>46241</v>
      </c>
      <c r="B112" s="40" t="inlineStr">
        <is>
          <t>Marina Ferraz</t>
        </is>
      </c>
      <c r="C112" s="39" t="inlineStr">
        <is>
          <t>Gestão do escritório</t>
        </is>
      </c>
      <c r="D112" s="39" t="inlineStr">
        <is>
          <t>Gestão do escritório</t>
        </is>
      </c>
      <c r="E112" s="46" t="n">
        <v>2.5</v>
      </c>
      <c r="F112" s="40" t="inlineStr">
        <is>
          <t>Não</t>
        </is>
      </c>
      <c r="G112" s="24">
        <f>IF(C112="","",IFERROR(INDEX(Casos!$B$5:$B$204,MATCH(C112,Casos!$A$5:$A$204,0)),""))</f>
        <v/>
      </c>
      <c r="H112" s="29">
        <f>IF(OR(B112="",E112=""),"",E112*IFERROR(INDEX(Config!$D$12:$D$21,MATCH(B112,Config!$A$12:$A$21,0)),Config!$B$23))</f>
        <v/>
      </c>
      <c r="I112" s="23">
        <f>IF(A112="","",MONTH(A112))</f>
        <v/>
      </c>
      <c r="J112" s="23">
        <f>IF(A112="","",YEAR(A112))</f>
        <v/>
      </c>
    </row>
    <row r="113">
      <c r="A113" s="47" t="n">
        <v>46241</v>
      </c>
      <c r="B113" s="40" t="inlineStr">
        <is>
          <t>Rafael Lima</t>
        </is>
      </c>
      <c r="C113" s="39" t="inlineStr">
        <is>
          <t>5297049-18.2026.8.26.0015</t>
        </is>
      </c>
      <c r="D113" s="39" t="inlineStr">
        <is>
          <t>Diligência externa</t>
        </is>
      </c>
      <c r="E113" s="46" t="n">
        <v>3.5</v>
      </c>
      <c r="F113" s="40" t="inlineStr">
        <is>
          <t>Sim</t>
        </is>
      </c>
      <c r="G113" s="24">
        <f>IF(C113="","",IFERROR(INDEX(Casos!$B$5:$B$204,MATCH(C113,Casos!$A$5:$A$204,0)),""))</f>
        <v/>
      </c>
      <c r="H113" s="29">
        <f>IF(OR(B113="",E113=""),"",E113*IFERROR(INDEX(Config!$D$12:$D$21,MATCH(B113,Config!$A$12:$A$21,0)),Config!$B$23))</f>
        <v/>
      </c>
      <c r="I113" s="23">
        <f>IF(A113="","",MONTH(A113))</f>
        <v/>
      </c>
      <c r="J113" s="23">
        <f>IF(A113="","",YEAR(A113))</f>
        <v/>
      </c>
    </row>
    <row r="114">
      <c r="A114" s="47" t="n">
        <v>46244</v>
      </c>
      <c r="B114" s="40" t="inlineStr">
        <is>
          <t>Júlia Prado</t>
        </is>
      </c>
      <c r="C114" s="39" t="inlineStr">
        <is>
          <t>5297049-18.2026.8.26.0015</t>
        </is>
      </c>
      <c r="D114" s="39" t="inlineStr">
        <is>
          <t>Diligência externa</t>
        </is>
      </c>
      <c r="E114" s="46" t="n">
        <v>3</v>
      </c>
      <c r="F114" s="40" t="inlineStr">
        <is>
          <t>Sim</t>
        </is>
      </c>
      <c r="G114" s="24">
        <f>IF(C114="","",IFERROR(INDEX(Casos!$B$5:$B$204,MATCH(C114,Casos!$A$5:$A$204,0)),""))</f>
        <v/>
      </c>
      <c r="H114" s="29">
        <f>IF(OR(B114="",E114=""),"",E114*IFERROR(INDEX(Config!$D$12:$D$21,MATCH(B114,Config!$A$12:$A$21,0)),Config!$B$23))</f>
        <v/>
      </c>
      <c r="I114" s="23">
        <f>IF(A114="","",MONTH(A114))</f>
        <v/>
      </c>
      <c r="J114" s="23">
        <f>IF(A114="","",YEAR(A114))</f>
        <v/>
      </c>
    </row>
    <row r="115">
      <c r="A115" s="47" t="n">
        <v>46244</v>
      </c>
      <c r="B115" s="40" t="inlineStr">
        <is>
          <t>Júlia Prado</t>
        </is>
      </c>
      <c r="C115" s="39" t="inlineStr">
        <is>
          <t>Gestão do escritório</t>
        </is>
      </c>
      <c r="D115" s="39" t="inlineStr">
        <is>
          <t>Gestão do escritório</t>
        </is>
      </c>
      <c r="E115" s="46" t="n">
        <v>1</v>
      </c>
      <c r="F115" s="40" t="inlineStr">
        <is>
          <t>Não</t>
        </is>
      </c>
      <c r="G115" s="24">
        <f>IF(C115="","",IFERROR(INDEX(Casos!$B$5:$B$204,MATCH(C115,Casos!$A$5:$A$204,0)),""))</f>
        <v/>
      </c>
      <c r="H115" s="29">
        <f>IF(OR(B115="",E115=""),"",E115*IFERROR(INDEX(Config!$D$12:$D$21,MATCH(B115,Config!$A$12:$A$21,0)),Config!$B$23))</f>
        <v/>
      </c>
      <c r="I115" s="23">
        <f>IF(A115="","",MONTH(A115))</f>
        <v/>
      </c>
      <c r="J115" s="23">
        <f>IF(A115="","",YEAR(A115))</f>
        <v/>
      </c>
    </row>
    <row r="116">
      <c r="A116" s="47" t="n">
        <v>46244</v>
      </c>
      <c r="B116" s="40" t="inlineStr">
        <is>
          <t>Marina Ferraz</t>
        </is>
      </c>
      <c r="C116" s="39" t="inlineStr">
        <is>
          <t>9236009-85.2026.8.26.0452</t>
        </is>
      </c>
      <c r="D116" s="39" t="inlineStr">
        <is>
          <t>Elaboração de documento</t>
        </is>
      </c>
      <c r="E116" s="46" t="n">
        <v>3.5</v>
      </c>
      <c r="F116" s="40" t="inlineStr">
        <is>
          <t>Sim</t>
        </is>
      </c>
      <c r="G116" s="24">
        <f>IF(C116="","",IFERROR(INDEX(Casos!$B$5:$B$204,MATCH(C116,Casos!$A$5:$A$204,0)),""))</f>
        <v/>
      </c>
      <c r="H116" s="29">
        <f>IF(OR(B116="",E116=""),"",E116*IFERROR(INDEX(Config!$D$12:$D$21,MATCH(B116,Config!$A$12:$A$21,0)),Config!$B$23))</f>
        <v/>
      </c>
      <c r="I116" s="23">
        <f>IF(A116="","",MONTH(A116))</f>
        <v/>
      </c>
      <c r="J116" s="23">
        <f>IF(A116="","",YEAR(A116))</f>
        <v/>
      </c>
    </row>
    <row r="117">
      <c r="A117" s="47" t="n">
        <v>46244</v>
      </c>
      <c r="B117" s="40" t="inlineStr">
        <is>
          <t>Rafael Lima</t>
        </is>
      </c>
      <c r="C117" s="39" t="inlineStr">
        <is>
          <t>5297049-18.2026.8.26.0015</t>
        </is>
      </c>
      <c r="D117" s="39" t="inlineStr">
        <is>
          <t>Atendimento por telefone ou WhatsApp</t>
        </is>
      </c>
      <c r="E117" s="46" t="n">
        <v>3</v>
      </c>
      <c r="F117" s="40" t="inlineStr">
        <is>
          <t>Sim</t>
        </is>
      </c>
      <c r="G117" s="24">
        <f>IF(C117="","",IFERROR(INDEX(Casos!$B$5:$B$204,MATCH(C117,Casos!$A$5:$A$204,0)),""))</f>
        <v/>
      </c>
      <c r="H117" s="29">
        <f>IF(OR(B117="",E117=""),"",E117*IFERROR(INDEX(Config!$D$12:$D$21,MATCH(B117,Config!$A$12:$A$21,0)),Config!$B$23))</f>
        <v/>
      </c>
      <c r="I117" s="23">
        <f>IF(A117="","",MONTH(A117))</f>
        <v/>
      </c>
      <c r="J117" s="23">
        <f>IF(A117="","",YEAR(A117))</f>
        <v/>
      </c>
    </row>
    <row r="118">
      <c r="A118" s="47" t="n">
        <v>46244</v>
      </c>
      <c r="B118" s="40" t="inlineStr">
        <is>
          <t>Rafael Lima</t>
        </is>
      </c>
      <c r="C118" s="39" t="inlineStr">
        <is>
          <t>1941959-24.2026.8.26.0167</t>
        </is>
      </c>
      <c r="D118" s="39" t="inlineStr">
        <is>
          <t>Análise de documentos</t>
        </is>
      </c>
      <c r="E118" s="46" t="n">
        <v>1.5</v>
      </c>
      <c r="F118" s="40" t="inlineStr">
        <is>
          <t>Sim</t>
        </is>
      </c>
      <c r="G118" s="24">
        <f>IF(C118="","",IFERROR(INDEX(Casos!$B$5:$B$204,MATCH(C118,Casos!$A$5:$A$204,0)),""))</f>
        <v/>
      </c>
      <c r="H118" s="29">
        <f>IF(OR(B118="",E118=""),"",E118*IFERROR(INDEX(Config!$D$12:$D$21,MATCH(B118,Config!$A$12:$A$21,0)),Config!$B$23))</f>
        <v/>
      </c>
      <c r="I118" s="23">
        <f>IF(A118="","",MONTH(A118))</f>
        <v/>
      </c>
      <c r="J118" s="23">
        <f>IF(A118="","",YEAR(A118))</f>
        <v/>
      </c>
    </row>
    <row r="119">
      <c r="A119" s="47" t="n">
        <v>46245</v>
      </c>
      <c r="B119" s="40" t="inlineStr">
        <is>
          <t>Rafael Lima</t>
        </is>
      </c>
      <c r="C119" s="39" t="inlineStr">
        <is>
          <t>3326285-90.2025.8.26.0608</t>
        </is>
      </c>
      <c r="D119" s="39" t="inlineStr">
        <is>
          <t>Reunião com cliente</t>
        </is>
      </c>
      <c r="E119" s="46" t="n">
        <v>1</v>
      </c>
      <c r="F119" s="40" t="inlineStr">
        <is>
          <t>Sim</t>
        </is>
      </c>
      <c r="G119" s="24">
        <f>IF(C119="","",IFERROR(INDEX(Casos!$B$5:$B$204,MATCH(C119,Casos!$A$5:$A$204,0)),""))</f>
        <v/>
      </c>
      <c r="H119" s="29">
        <f>IF(OR(B119="",E119=""),"",E119*IFERROR(INDEX(Config!$D$12:$D$21,MATCH(B119,Config!$A$12:$A$21,0)),Config!$B$23))</f>
        <v/>
      </c>
      <c r="I119" s="23">
        <f>IF(A119="","",MONTH(A119))</f>
        <v/>
      </c>
      <c r="J119" s="23">
        <f>IF(A119="","",YEAR(A119))</f>
        <v/>
      </c>
    </row>
    <row r="120">
      <c r="A120" s="47" t="n">
        <v>46246</v>
      </c>
      <c r="B120" s="40" t="inlineStr">
        <is>
          <t>Júlia Prado</t>
        </is>
      </c>
      <c r="C120" s="39" t="inlineStr">
        <is>
          <t>9778116-95.2026.8.26.0106</t>
        </is>
      </c>
      <c r="D120" s="39" t="inlineStr">
        <is>
          <t>Audiência</t>
        </is>
      </c>
      <c r="E120" s="46" t="n">
        <v>2</v>
      </c>
      <c r="F120" s="40" t="inlineStr">
        <is>
          <t>Sim</t>
        </is>
      </c>
      <c r="G120" s="24">
        <f>IF(C120="","",IFERROR(INDEX(Casos!$B$5:$B$204,MATCH(C120,Casos!$A$5:$A$204,0)),""))</f>
        <v/>
      </c>
      <c r="H120" s="29">
        <f>IF(OR(B120="",E120=""),"",E120*IFERROR(INDEX(Config!$D$12:$D$21,MATCH(B120,Config!$A$12:$A$21,0)),Config!$B$23))</f>
        <v/>
      </c>
      <c r="I120" s="23">
        <f>IF(A120="","",MONTH(A120))</f>
        <v/>
      </c>
      <c r="J120" s="23">
        <f>IF(A120="","",YEAR(A120))</f>
        <v/>
      </c>
    </row>
    <row r="121">
      <c r="A121" s="47" t="n">
        <v>46246</v>
      </c>
      <c r="B121" s="40" t="inlineStr">
        <is>
          <t>Marina Ferraz</t>
        </is>
      </c>
      <c r="C121" s="39" t="inlineStr">
        <is>
          <t>9236009-85.2026.8.26.0452</t>
        </is>
      </c>
      <c r="D121" s="39" t="inlineStr">
        <is>
          <t>Análise de documentos</t>
        </is>
      </c>
      <c r="E121" s="46" t="n">
        <v>3</v>
      </c>
      <c r="F121" s="40" t="inlineStr">
        <is>
          <t>Sim</t>
        </is>
      </c>
      <c r="G121" s="24">
        <f>IF(C121="","",IFERROR(INDEX(Casos!$B$5:$B$204,MATCH(C121,Casos!$A$5:$A$204,0)),""))</f>
        <v/>
      </c>
      <c r="H121" s="29">
        <f>IF(OR(B121="",E121=""),"",E121*IFERROR(INDEX(Config!$D$12:$D$21,MATCH(B121,Config!$A$12:$A$21,0)),Config!$B$23))</f>
        <v/>
      </c>
      <c r="I121" s="23">
        <f>IF(A121="","",MONTH(A121))</f>
        <v/>
      </c>
      <c r="J121" s="23">
        <f>IF(A121="","",YEAR(A121))</f>
        <v/>
      </c>
    </row>
    <row r="122">
      <c r="A122" s="47" t="n">
        <v>46246</v>
      </c>
      <c r="B122" s="40" t="inlineStr">
        <is>
          <t>Marina Ferraz</t>
        </is>
      </c>
      <c r="C122" s="39" t="inlineStr">
        <is>
          <t>6258696-95.2026.8.26.0598</t>
        </is>
      </c>
      <c r="D122" s="39" t="inlineStr">
        <is>
          <t>Audiência</t>
        </is>
      </c>
      <c r="E122" s="46" t="n">
        <v>1.5</v>
      </c>
      <c r="F122" s="40" t="inlineStr">
        <is>
          <t>Sim</t>
        </is>
      </c>
      <c r="G122" s="24">
        <f>IF(C122="","",IFERROR(INDEX(Casos!$B$5:$B$204,MATCH(C122,Casos!$A$5:$A$204,0)),""))</f>
        <v/>
      </c>
      <c r="H122" s="29">
        <f>IF(OR(B122="",E122=""),"",E122*IFERROR(INDEX(Config!$D$12:$D$21,MATCH(B122,Config!$A$12:$A$21,0)),Config!$B$23))</f>
        <v/>
      </c>
      <c r="I122" s="23">
        <f>IF(A122="","",MONTH(A122))</f>
        <v/>
      </c>
      <c r="J122" s="23">
        <f>IF(A122="","",YEAR(A122))</f>
        <v/>
      </c>
    </row>
    <row r="123">
      <c r="A123" s="47" t="n">
        <v>46246</v>
      </c>
      <c r="B123" s="40" t="inlineStr">
        <is>
          <t>Rafael Lima</t>
        </is>
      </c>
      <c r="C123" s="39" t="inlineStr">
        <is>
          <t>Gestão do escritório</t>
        </is>
      </c>
      <c r="D123" s="39" t="inlineStr">
        <is>
          <t>Gestão do escritório</t>
        </is>
      </c>
      <c r="E123" s="46" t="n">
        <v>2</v>
      </c>
      <c r="F123" s="40" t="inlineStr">
        <is>
          <t>Não</t>
        </is>
      </c>
      <c r="G123" s="24">
        <f>IF(C123="","",IFERROR(INDEX(Casos!$B$5:$B$204,MATCH(C123,Casos!$A$5:$A$204,0)),""))</f>
        <v/>
      </c>
      <c r="H123" s="29">
        <f>IF(OR(B123="",E123=""),"",E123*IFERROR(INDEX(Config!$D$12:$D$21,MATCH(B123,Config!$A$12:$A$21,0)),Config!$B$23))</f>
        <v/>
      </c>
      <c r="I123" s="23">
        <f>IF(A123="","",MONTH(A123))</f>
        <v/>
      </c>
      <c r="J123" s="23">
        <f>IF(A123="","",YEAR(A123))</f>
        <v/>
      </c>
    </row>
    <row r="124">
      <c r="A124" s="47" t="n">
        <v>46247</v>
      </c>
      <c r="B124" s="40" t="inlineStr">
        <is>
          <t>Júlia Prado</t>
        </is>
      </c>
      <c r="C124" s="39" t="inlineStr">
        <is>
          <t>7658179-42.2026.8.26.0152</t>
        </is>
      </c>
      <c r="D124" s="39" t="inlineStr">
        <is>
          <t>Elaboração de documento</t>
        </is>
      </c>
      <c r="E124" s="46" t="n">
        <v>4.5</v>
      </c>
      <c r="F124" s="40" t="inlineStr">
        <is>
          <t>Sim</t>
        </is>
      </c>
      <c r="G124" s="24">
        <f>IF(C124="","",IFERROR(INDEX(Casos!$B$5:$B$204,MATCH(C124,Casos!$A$5:$A$204,0)),""))</f>
        <v/>
      </c>
      <c r="H124" s="29">
        <f>IF(OR(B124="",E124=""),"",E124*IFERROR(INDEX(Config!$D$12:$D$21,MATCH(B124,Config!$A$12:$A$21,0)),Config!$B$23))</f>
        <v/>
      </c>
      <c r="I124" s="23">
        <f>IF(A124="","",MONTH(A124))</f>
        <v/>
      </c>
      <c r="J124" s="23">
        <f>IF(A124="","",YEAR(A124))</f>
        <v/>
      </c>
    </row>
    <row r="125">
      <c r="A125" s="47" t="n">
        <v>46247</v>
      </c>
      <c r="B125" s="40" t="inlineStr">
        <is>
          <t>Marina Ferraz</t>
        </is>
      </c>
      <c r="C125" s="39" t="inlineStr">
        <is>
          <t>9717671-36.2026.8.26.0445</t>
        </is>
      </c>
      <c r="D125" s="39" t="inlineStr">
        <is>
          <t>Atendimento por telefone ou WhatsApp</t>
        </is>
      </c>
      <c r="E125" s="46" t="n">
        <v>3</v>
      </c>
      <c r="F125" s="40" t="inlineStr">
        <is>
          <t>Sim</t>
        </is>
      </c>
      <c r="G125" s="24">
        <f>IF(C125="","",IFERROR(INDEX(Casos!$B$5:$B$204,MATCH(C125,Casos!$A$5:$A$204,0)),""))</f>
        <v/>
      </c>
      <c r="H125" s="29">
        <f>IF(OR(B125="",E125=""),"",E125*IFERROR(INDEX(Config!$D$12:$D$21,MATCH(B125,Config!$A$12:$A$21,0)),Config!$B$23))</f>
        <v/>
      </c>
      <c r="I125" s="23">
        <f>IF(A125="","",MONTH(A125))</f>
        <v/>
      </c>
      <c r="J125" s="23">
        <f>IF(A125="","",YEAR(A125))</f>
        <v/>
      </c>
    </row>
    <row r="126">
      <c r="A126" s="47" t="n">
        <v>46247</v>
      </c>
      <c r="B126" s="40" t="inlineStr">
        <is>
          <t>Marina Ferraz</t>
        </is>
      </c>
      <c r="C126" s="39" t="inlineStr">
        <is>
          <t>9802987-45.2025.8.26.0097</t>
        </is>
      </c>
      <c r="D126" s="39" t="inlineStr">
        <is>
          <t>Atendimento por telefone ou WhatsApp</t>
        </is>
      </c>
      <c r="E126" s="46" t="n">
        <v>3</v>
      </c>
      <c r="F126" s="40" t="inlineStr">
        <is>
          <t>Sim</t>
        </is>
      </c>
      <c r="G126" s="24">
        <f>IF(C126="","",IFERROR(INDEX(Casos!$B$5:$B$204,MATCH(C126,Casos!$A$5:$A$204,0)),""))</f>
        <v/>
      </c>
      <c r="H126" s="29">
        <f>IF(OR(B126="",E126=""),"",E126*IFERROR(INDEX(Config!$D$12:$D$21,MATCH(B126,Config!$A$12:$A$21,0)),Config!$B$23))</f>
        <v/>
      </c>
      <c r="I126" s="23">
        <f>IF(A126="","",MONTH(A126))</f>
        <v/>
      </c>
      <c r="J126" s="23">
        <f>IF(A126="","",YEAR(A126))</f>
        <v/>
      </c>
    </row>
    <row r="127">
      <c r="A127" s="47" t="n">
        <v>46247</v>
      </c>
      <c r="B127" s="40" t="inlineStr">
        <is>
          <t>Marina Ferraz</t>
        </is>
      </c>
      <c r="C127" s="39" t="inlineStr">
        <is>
          <t>5497983-95.2025.8.26.0570</t>
        </is>
      </c>
      <c r="D127" s="39" t="inlineStr">
        <is>
          <t>Deslocamento</t>
        </is>
      </c>
      <c r="E127" s="46" t="n">
        <v>3.5</v>
      </c>
      <c r="F127" s="40" t="inlineStr">
        <is>
          <t>Não</t>
        </is>
      </c>
      <c r="G127" s="24">
        <f>IF(C127="","",IFERROR(INDEX(Casos!$B$5:$B$204,MATCH(C127,Casos!$A$5:$A$204,0)),""))</f>
        <v/>
      </c>
      <c r="H127" s="29">
        <f>IF(OR(B127="",E127=""),"",E127*IFERROR(INDEX(Config!$D$12:$D$21,MATCH(B127,Config!$A$12:$A$21,0)),Config!$B$23))</f>
        <v/>
      </c>
      <c r="I127" s="23">
        <f>IF(A127="","",MONTH(A127))</f>
        <v/>
      </c>
      <c r="J127" s="23">
        <f>IF(A127="","",YEAR(A127))</f>
        <v/>
      </c>
    </row>
    <row r="128">
      <c r="A128" s="47" t="n">
        <v>46247</v>
      </c>
      <c r="B128" s="40" t="inlineStr">
        <is>
          <t>Marina Ferraz</t>
        </is>
      </c>
      <c r="C128" s="39" t="inlineStr">
        <is>
          <t>Gestão do escritório</t>
        </is>
      </c>
      <c r="D128" s="39" t="inlineStr">
        <is>
          <t>Gestão do escritório</t>
        </is>
      </c>
      <c r="E128" s="46" t="n">
        <v>2.5</v>
      </c>
      <c r="F128" s="40" t="inlineStr">
        <is>
          <t>Não</t>
        </is>
      </c>
      <c r="G128" s="24">
        <f>IF(C128="","",IFERROR(INDEX(Casos!$B$5:$B$204,MATCH(C128,Casos!$A$5:$A$204,0)),""))</f>
        <v/>
      </c>
      <c r="H128" s="29">
        <f>IF(OR(B128="",E128=""),"",E128*IFERROR(INDEX(Config!$D$12:$D$21,MATCH(B128,Config!$A$12:$A$21,0)),Config!$B$23))</f>
        <v/>
      </c>
      <c r="I128" s="23">
        <f>IF(A128="","",MONTH(A128))</f>
        <v/>
      </c>
      <c r="J128" s="23">
        <f>IF(A128="","",YEAR(A128))</f>
        <v/>
      </c>
    </row>
    <row r="129">
      <c r="A129" s="47" t="n">
        <v>46247</v>
      </c>
      <c r="B129" s="40" t="inlineStr">
        <is>
          <t>Rafael Lima</t>
        </is>
      </c>
      <c r="C129" s="39" t="inlineStr">
        <is>
          <t>1808451-67.2026.8.26.0657</t>
        </is>
      </c>
      <c r="D129" s="39" t="inlineStr">
        <is>
          <t>Administrativo do caso</t>
        </is>
      </c>
      <c r="E129" s="46" t="n">
        <v>3.5</v>
      </c>
      <c r="F129" s="40" t="inlineStr">
        <is>
          <t>Não</t>
        </is>
      </c>
      <c r="G129" s="24">
        <f>IF(C129="","",IFERROR(INDEX(Casos!$B$5:$B$204,MATCH(C129,Casos!$A$5:$A$204,0)),""))</f>
        <v/>
      </c>
      <c r="H129" s="29">
        <f>IF(OR(B129="",E129=""),"",E129*IFERROR(INDEX(Config!$D$12:$D$21,MATCH(B129,Config!$A$12:$A$21,0)),Config!$B$23))</f>
        <v/>
      </c>
      <c r="I129" s="23">
        <f>IF(A129="","",MONTH(A129))</f>
        <v/>
      </c>
      <c r="J129" s="23">
        <f>IF(A129="","",YEAR(A129))</f>
        <v/>
      </c>
    </row>
    <row r="130">
      <c r="A130" s="47" t="n">
        <v>46248</v>
      </c>
      <c r="B130" s="40" t="inlineStr">
        <is>
          <t>Júlia Prado</t>
        </is>
      </c>
      <c r="C130" s="39" t="inlineStr">
        <is>
          <t>6877173-50.2026.8.26.0467</t>
        </is>
      </c>
      <c r="D130" s="39" t="inlineStr">
        <is>
          <t>Audiência</t>
        </is>
      </c>
      <c r="E130" s="46" t="n">
        <v>1.5</v>
      </c>
      <c r="F130" s="40" t="inlineStr">
        <is>
          <t>Sim</t>
        </is>
      </c>
      <c r="G130" s="24">
        <f>IF(C130="","",IFERROR(INDEX(Casos!$B$5:$B$204,MATCH(C130,Casos!$A$5:$A$204,0)),""))</f>
        <v/>
      </c>
      <c r="H130" s="29">
        <f>IF(OR(B130="",E130=""),"",E130*IFERROR(INDEX(Config!$D$12:$D$21,MATCH(B130,Config!$A$12:$A$21,0)),Config!$B$23))</f>
        <v/>
      </c>
      <c r="I130" s="23">
        <f>IF(A130="","",MONTH(A130))</f>
        <v/>
      </c>
      <c r="J130" s="23">
        <f>IF(A130="","",YEAR(A130))</f>
        <v/>
      </c>
    </row>
    <row r="131">
      <c r="A131" s="47" t="n">
        <v>46248</v>
      </c>
      <c r="B131" s="40" t="inlineStr">
        <is>
          <t>Marina Ferraz</t>
        </is>
      </c>
      <c r="C131" s="39" t="inlineStr">
        <is>
          <t>8986364-51.2026.8.26.0700</t>
        </is>
      </c>
      <c r="D131" s="39" t="inlineStr">
        <is>
          <t>Deslocamento</t>
        </is>
      </c>
      <c r="E131" s="46" t="n">
        <v>4</v>
      </c>
      <c r="F131" s="40" t="inlineStr">
        <is>
          <t>Não</t>
        </is>
      </c>
      <c r="G131" s="24">
        <f>IF(C131="","",IFERROR(INDEX(Casos!$B$5:$B$204,MATCH(C131,Casos!$A$5:$A$204,0)),""))</f>
        <v/>
      </c>
      <c r="H131" s="29">
        <f>IF(OR(B131="",E131=""),"",E131*IFERROR(INDEX(Config!$D$12:$D$21,MATCH(B131,Config!$A$12:$A$21,0)),Config!$B$23))</f>
        <v/>
      </c>
      <c r="I131" s="23">
        <f>IF(A131="","",MONTH(A131))</f>
        <v/>
      </c>
      <c r="J131" s="23">
        <f>IF(A131="","",YEAR(A131))</f>
        <v/>
      </c>
    </row>
    <row r="132">
      <c r="A132" s="47" t="n">
        <v>46248</v>
      </c>
      <c r="B132" s="40" t="inlineStr">
        <is>
          <t>Marina Ferraz</t>
        </is>
      </c>
      <c r="C132" s="39" t="inlineStr">
        <is>
          <t>5297049-18.2026.8.26.0015</t>
        </is>
      </c>
      <c r="D132" s="39" t="inlineStr">
        <is>
          <t>Pesquisa e estudo do caso</t>
        </is>
      </c>
      <c r="E132" s="46" t="n">
        <v>3</v>
      </c>
      <c r="F132" s="40" t="inlineStr">
        <is>
          <t>Sim</t>
        </is>
      </c>
      <c r="G132" s="24">
        <f>IF(C132="","",IFERROR(INDEX(Casos!$B$5:$B$204,MATCH(C132,Casos!$A$5:$A$204,0)),""))</f>
        <v/>
      </c>
      <c r="H132" s="29">
        <f>IF(OR(B132="",E132=""),"",E132*IFERROR(INDEX(Config!$D$12:$D$21,MATCH(B132,Config!$A$12:$A$21,0)),Config!$B$23))</f>
        <v/>
      </c>
      <c r="I132" s="23">
        <f>IF(A132="","",MONTH(A132))</f>
        <v/>
      </c>
      <c r="J132" s="23">
        <f>IF(A132="","",YEAR(A132))</f>
        <v/>
      </c>
    </row>
    <row r="133">
      <c r="A133" s="47" t="n">
        <v>46248</v>
      </c>
      <c r="B133" s="40" t="inlineStr">
        <is>
          <t>Rafael Lima</t>
        </is>
      </c>
      <c r="C133" s="39" t="inlineStr">
        <is>
          <t>1808451-67.2026.8.26.0657</t>
        </is>
      </c>
      <c r="D133" s="39" t="inlineStr">
        <is>
          <t>Elaboração de documento</t>
        </is>
      </c>
      <c r="E133" s="46" t="n">
        <v>3</v>
      </c>
      <c r="F133" s="40" t="inlineStr">
        <is>
          <t>Sim</t>
        </is>
      </c>
      <c r="G133" s="24">
        <f>IF(C133="","",IFERROR(INDEX(Casos!$B$5:$B$204,MATCH(C133,Casos!$A$5:$A$204,0)),""))</f>
        <v/>
      </c>
      <c r="H133" s="29">
        <f>IF(OR(B133="",E133=""),"",E133*IFERROR(INDEX(Config!$D$12:$D$21,MATCH(B133,Config!$A$12:$A$21,0)),Config!$B$23))</f>
        <v/>
      </c>
      <c r="I133" s="23">
        <f>IF(A133="","",MONTH(A133))</f>
        <v/>
      </c>
      <c r="J133" s="23">
        <f>IF(A133="","",YEAR(A133))</f>
        <v/>
      </c>
    </row>
    <row r="134">
      <c r="A134" s="47" t="n">
        <v>46248</v>
      </c>
      <c r="B134" s="40" t="inlineStr">
        <is>
          <t>Rafael Lima</t>
        </is>
      </c>
      <c r="C134" s="39" t="inlineStr">
        <is>
          <t>1191416-90.2025.8.26.0249</t>
        </is>
      </c>
      <c r="D134" s="39" t="inlineStr">
        <is>
          <t>Audiência</t>
        </is>
      </c>
      <c r="E134" s="46" t="n">
        <v>3</v>
      </c>
      <c r="F134" s="40" t="inlineStr">
        <is>
          <t>Sim</t>
        </is>
      </c>
      <c r="G134" s="24">
        <f>IF(C134="","",IFERROR(INDEX(Casos!$B$5:$B$204,MATCH(C134,Casos!$A$5:$A$204,0)),""))</f>
        <v/>
      </c>
      <c r="H134" s="29">
        <f>IF(OR(B134="",E134=""),"",E134*IFERROR(INDEX(Config!$D$12:$D$21,MATCH(B134,Config!$A$12:$A$21,0)),Config!$B$23))</f>
        <v/>
      </c>
      <c r="I134" s="23">
        <f>IF(A134="","",MONTH(A134))</f>
        <v/>
      </c>
      <c r="J134" s="23">
        <f>IF(A134="","",YEAR(A134))</f>
        <v/>
      </c>
    </row>
    <row r="135">
      <c r="A135" s="47" t="n">
        <v>46251</v>
      </c>
      <c r="B135" s="40" t="inlineStr">
        <is>
          <t>Marina Ferraz</t>
        </is>
      </c>
      <c r="C135" s="39" t="inlineStr">
        <is>
          <t>5626517-53.2026.8.26.0206</t>
        </is>
      </c>
      <c r="D135" s="39" t="inlineStr">
        <is>
          <t>Análise de documentos</t>
        </is>
      </c>
      <c r="E135" s="46" t="n">
        <v>2.5</v>
      </c>
      <c r="F135" s="40" t="inlineStr">
        <is>
          <t>Sim</t>
        </is>
      </c>
      <c r="G135" s="24">
        <f>IF(C135="","",IFERROR(INDEX(Casos!$B$5:$B$204,MATCH(C135,Casos!$A$5:$A$204,0)),""))</f>
        <v/>
      </c>
      <c r="H135" s="29">
        <f>IF(OR(B135="",E135=""),"",E135*IFERROR(INDEX(Config!$D$12:$D$21,MATCH(B135,Config!$A$12:$A$21,0)),Config!$B$23))</f>
        <v/>
      </c>
      <c r="I135" s="23">
        <f>IF(A135="","",MONTH(A135))</f>
        <v/>
      </c>
      <c r="J135" s="23">
        <f>IF(A135="","",YEAR(A135))</f>
        <v/>
      </c>
    </row>
    <row r="136">
      <c r="A136" s="47" t="n">
        <v>46251</v>
      </c>
      <c r="B136" s="40" t="inlineStr">
        <is>
          <t>Marina Ferraz</t>
        </is>
      </c>
      <c r="C136" s="39" t="inlineStr">
        <is>
          <t>Gestão do escritório</t>
        </is>
      </c>
      <c r="D136" s="39" t="inlineStr">
        <is>
          <t>Gestão do escritório</t>
        </is>
      </c>
      <c r="E136" s="46" t="n">
        <v>1</v>
      </c>
      <c r="F136" s="40" t="inlineStr">
        <is>
          <t>Não</t>
        </is>
      </c>
      <c r="G136" s="24">
        <f>IF(C136="","",IFERROR(INDEX(Casos!$B$5:$B$204,MATCH(C136,Casos!$A$5:$A$204,0)),""))</f>
        <v/>
      </c>
      <c r="H136" s="29">
        <f>IF(OR(B136="",E136=""),"",E136*IFERROR(INDEX(Config!$D$12:$D$21,MATCH(B136,Config!$A$12:$A$21,0)),Config!$B$23))</f>
        <v/>
      </c>
      <c r="I136" s="23">
        <f>IF(A136="","",MONTH(A136))</f>
        <v/>
      </c>
      <c r="J136" s="23">
        <f>IF(A136="","",YEAR(A136))</f>
        <v/>
      </c>
    </row>
    <row r="137">
      <c r="A137" s="47" t="n">
        <v>46251</v>
      </c>
      <c r="B137" s="40" t="inlineStr">
        <is>
          <t>Marina Ferraz</t>
        </is>
      </c>
      <c r="C137" s="39" t="inlineStr">
        <is>
          <t>Captação e propostas</t>
        </is>
      </c>
      <c r="D137" s="39" t="inlineStr">
        <is>
          <t>Captação e propostas</t>
        </is>
      </c>
      <c r="E137" s="46" t="n">
        <v>1</v>
      </c>
      <c r="F137" s="40" t="inlineStr">
        <is>
          <t>Não</t>
        </is>
      </c>
      <c r="G137" s="24">
        <f>IF(C137="","",IFERROR(INDEX(Casos!$B$5:$B$204,MATCH(C137,Casos!$A$5:$A$204,0)),""))</f>
        <v/>
      </c>
      <c r="H137" s="29">
        <f>IF(OR(B137="",E137=""),"",E137*IFERROR(INDEX(Config!$D$12:$D$21,MATCH(B137,Config!$A$12:$A$21,0)),Config!$B$23))</f>
        <v/>
      </c>
      <c r="I137" s="23">
        <f>IF(A137="","",MONTH(A137))</f>
        <v/>
      </c>
      <c r="J137" s="23">
        <f>IF(A137="","",YEAR(A137))</f>
        <v/>
      </c>
    </row>
    <row r="138">
      <c r="A138" s="47" t="n">
        <v>46252</v>
      </c>
      <c r="B138" s="40" t="inlineStr">
        <is>
          <t>Júlia Prado</t>
        </is>
      </c>
      <c r="C138" s="39" t="inlineStr">
        <is>
          <t>1941959-24.2026.8.26.0167</t>
        </is>
      </c>
      <c r="D138" s="39" t="inlineStr">
        <is>
          <t>Pesquisa e estudo do caso</t>
        </is>
      </c>
      <c r="E138" s="46" t="n">
        <v>1.5</v>
      </c>
      <c r="F138" s="40" t="inlineStr">
        <is>
          <t>Sim</t>
        </is>
      </c>
      <c r="G138" s="24">
        <f>IF(C138="","",IFERROR(INDEX(Casos!$B$5:$B$204,MATCH(C138,Casos!$A$5:$A$204,0)),""))</f>
        <v/>
      </c>
      <c r="H138" s="29">
        <f>IF(OR(B138="",E138=""),"",E138*IFERROR(INDEX(Config!$D$12:$D$21,MATCH(B138,Config!$A$12:$A$21,0)),Config!$B$23))</f>
        <v/>
      </c>
      <c r="I138" s="23">
        <f>IF(A138="","",MONTH(A138))</f>
        <v/>
      </c>
      <c r="J138" s="23">
        <f>IF(A138="","",YEAR(A138))</f>
        <v/>
      </c>
    </row>
    <row r="139">
      <c r="A139" s="47" t="n">
        <v>46252</v>
      </c>
      <c r="B139" s="40" t="inlineStr">
        <is>
          <t>Marina Ferraz</t>
        </is>
      </c>
      <c r="C139" s="39" t="inlineStr">
        <is>
          <t>6877173-50.2026.8.26.0467</t>
        </is>
      </c>
      <c r="D139" s="39" t="inlineStr">
        <is>
          <t>Audiência</t>
        </is>
      </c>
      <c r="E139" s="46" t="n">
        <v>2</v>
      </c>
      <c r="F139" s="40" t="inlineStr">
        <is>
          <t>Sim</t>
        </is>
      </c>
      <c r="G139" s="24">
        <f>IF(C139="","",IFERROR(INDEX(Casos!$B$5:$B$204,MATCH(C139,Casos!$A$5:$A$204,0)),""))</f>
        <v/>
      </c>
      <c r="H139" s="29">
        <f>IF(OR(B139="",E139=""),"",E139*IFERROR(INDEX(Config!$D$12:$D$21,MATCH(B139,Config!$A$12:$A$21,0)),Config!$B$23))</f>
        <v/>
      </c>
      <c r="I139" s="23">
        <f>IF(A139="","",MONTH(A139))</f>
        <v/>
      </c>
      <c r="J139" s="23">
        <f>IF(A139="","",YEAR(A139))</f>
        <v/>
      </c>
    </row>
    <row r="140">
      <c r="A140" s="47" t="n">
        <v>46252</v>
      </c>
      <c r="B140" s="40" t="inlineStr">
        <is>
          <t>Rafael Lima</t>
        </is>
      </c>
      <c r="C140" s="39" t="inlineStr">
        <is>
          <t>6258696-95.2026.8.26.0598</t>
        </is>
      </c>
      <c r="D140" s="39" t="inlineStr">
        <is>
          <t>Audiência</t>
        </is>
      </c>
      <c r="E140" s="46" t="n">
        <v>3.5</v>
      </c>
      <c r="F140" s="40" t="inlineStr">
        <is>
          <t>Sim</t>
        </is>
      </c>
      <c r="G140" s="24">
        <f>IF(C140="","",IFERROR(INDEX(Casos!$B$5:$B$204,MATCH(C140,Casos!$A$5:$A$204,0)),""))</f>
        <v/>
      </c>
      <c r="H140" s="29">
        <f>IF(OR(B140="",E140=""),"",E140*IFERROR(INDEX(Config!$D$12:$D$21,MATCH(B140,Config!$A$12:$A$21,0)),Config!$B$23))</f>
        <v/>
      </c>
      <c r="I140" s="23">
        <f>IF(A140="","",MONTH(A140))</f>
        <v/>
      </c>
      <c r="J140" s="23">
        <f>IF(A140="","",YEAR(A140))</f>
        <v/>
      </c>
    </row>
    <row r="141">
      <c r="A141" s="47" t="n">
        <v>46253</v>
      </c>
      <c r="B141" s="40" t="inlineStr">
        <is>
          <t>Júlia Prado</t>
        </is>
      </c>
      <c r="C141" s="39" t="inlineStr">
        <is>
          <t>4397912-47.2025.8.26.0276</t>
        </is>
      </c>
      <c r="D141" s="39" t="inlineStr">
        <is>
          <t>Reunião com cliente</t>
        </is>
      </c>
      <c r="E141" s="46" t="n">
        <v>1.5</v>
      </c>
      <c r="F141" s="40" t="inlineStr">
        <is>
          <t>Sim</t>
        </is>
      </c>
      <c r="G141" s="24">
        <f>IF(C141="","",IFERROR(INDEX(Casos!$B$5:$B$204,MATCH(C141,Casos!$A$5:$A$204,0)),""))</f>
        <v/>
      </c>
      <c r="H141" s="29">
        <f>IF(OR(B141="",E141=""),"",E141*IFERROR(INDEX(Config!$D$12:$D$21,MATCH(B141,Config!$A$12:$A$21,0)),Config!$B$23))</f>
        <v/>
      </c>
      <c r="I141" s="23">
        <f>IF(A141="","",MONTH(A141))</f>
        <v/>
      </c>
      <c r="J141" s="23">
        <f>IF(A141="","",YEAR(A141))</f>
        <v/>
      </c>
    </row>
    <row r="142">
      <c r="A142" s="47" t="n">
        <v>46253</v>
      </c>
      <c r="B142" s="40" t="inlineStr">
        <is>
          <t>Rafael Lima</t>
        </is>
      </c>
      <c r="C142" s="39" t="inlineStr">
        <is>
          <t>6710873-21.2025.8.26.0571</t>
        </is>
      </c>
      <c r="D142" s="39" t="inlineStr">
        <is>
          <t>Análise de documentos</t>
        </is>
      </c>
      <c r="E142" s="46" t="n">
        <v>2</v>
      </c>
      <c r="F142" s="40" t="inlineStr">
        <is>
          <t>Sim</t>
        </is>
      </c>
      <c r="G142" s="24">
        <f>IF(C142="","",IFERROR(INDEX(Casos!$B$5:$B$204,MATCH(C142,Casos!$A$5:$A$204,0)),""))</f>
        <v/>
      </c>
      <c r="H142" s="29">
        <f>IF(OR(B142="",E142=""),"",E142*IFERROR(INDEX(Config!$D$12:$D$21,MATCH(B142,Config!$A$12:$A$21,0)),Config!$B$23))</f>
        <v/>
      </c>
      <c r="I142" s="23">
        <f>IF(A142="","",MONTH(A142))</f>
        <v/>
      </c>
      <c r="J142" s="23">
        <f>IF(A142="","",YEAR(A142))</f>
        <v/>
      </c>
    </row>
    <row r="143">
      <c r="A143" s="47" t="n">
        <v>46253</v>
      </c>
      <c r="B143" s="40" t="inlineStr">
        <is>
          <t>Rafael Lima</t>
        </is>
      </c>
      <c r="C143" s="39" t="inlineStr">
        <is>
          <t>5470559-73.2026.8.26.0380</t>
        </is>
      </c>
      <c r="D143" s="39" t="inlineStr">
        <is>
          <t>Audiência</t>
        </is>
      </c>
      <c r="E143" s="46" t="n">
        <v>4</v>
      </c>
      <c r="F143" s="40" t="inlineStr">
        <is>
          <t>Sim</t>
        </is>
      </c>
      <c r="G143" s="24">
        <f>IF(C143="","",IFERROR(INDEX(Casos!$B$5:$B$204,MATCH(C143,Casos!$A$5:$A$204,0)),""))</f>
        <v/>
      </c>
      <c r="H143" s="29">
        <f>IF(OR(B143="",E143=""),"",E143*IFERROR(INDEX(Config!$D$12:$D$21,MATCH(B143,Config!$A$12:$A$21,0)),Config!$B$23))</f>
        <v/>
      </c>
      <c r="I143" s="23">
        <f>IF(A143="","",MONTH(A143))</f>
        <v/>
      </c>
      <c r="J143" s="23">
        <f>IF(A143="","",YEAR(A143))</f>
        <v/>
      </c>
    </row>
    <row r="144">
      <c r="A144" s="47" t="n">
        <v>46253</v>
      </c>
      <c r="B144" s="40" t="inlineStr">
        <is>
          <t>Rafael Lima</t>
        </is>
      </c>
      <c r="C144" s="39" t="inlineStr">
        <is>
          <t>4300029-58.2025.8.26.0015</t>
        </is>
      </c>
      <c r="D144" s="39" t="inlineStr">
        <is>
          <t>Elaboração de documento</t>
        </is>
      </c>
      <c r="E144" s="46" t="n">
        <v>2.5</v>
      </c>
      <c r="F144" s="40" t="inlineStr">
        <is>
          <t>Sim</t>
        </is>
      </c>
      <c r="G144" s="24">
        <f>IF(C144="","",IFERROR(INDEX(Casos!$B$5:$B$204,MATCH(C144,Casos!$A$5:$A$204,0)),""))</f>
        <v/>
      </c>
      <c r="H144" s="29">
        <f>IF(OR(B144="",E144=""),"",E144*IFERROR(INDEX(Config!$D$12:$D$21,MATCH(B144,Config!$A$12:$A$21,0)),Config!$B$23))</f>
        <v/>
      </c>
      <c r="I144" s="23">
        <f>IF(A144="","",MONTH(A144))</f>
        <v/>
      </c>
      <c r="J144" s="23">
        <f>IF(A144="","",YEAR(A144))</f>
        <v/>
      </c>
    </row>
    <row r="145">
      <c r="A145" s="47" t="n">
        <v>46253</v>
      </c>
      <c r="B145" s="40" t="inlineStr">
        <is>
          <t>Rafael Lima</t>
        </is>
      </c>
      <c r="C145" s="39" t="inlineStr">
        <is>
          <t>5497983-95.2025.8.26.0570</t>
        </is>
      </c>
      <c r="D145" s="39" t="inlineStr">
        <is>
          <t>Audiência</t>
        </is>
      </c>
      <c r="E145" s="46" t="n">
        <v>3.5</v>
      </c>
      <c r="F145" s="40" t="inlineStr">
        <is>
          <t>Sim</t>
        </is>
      </c>
      <c r="G145" s="24">
        <f>IF(C145="","",IFERROR(INDEX(Casos!$B$5:$B$204,MATCH(C145,Casos!$A$5:$A$204,0)),""))</f>
        <v/>
      </c>
      <c r="H145" s="29">
        <f>IF(OR(B145="",E145=""),"",E145*IFERROR(INDEX(Config!$D$12:$D$21,MATCH(B145,Config!$A$12:$A$21,0)),Config!$B$23))</f>
        <v/>
      </c>
      <c r="I145" s="23">
        <f>IF(A145="","",MONTH(A145))</f>
        <v/>
      </c>
      <c r="J145" s="23">
        <f>IF(A145="","",YEAR(A145))</f>
        <v/>
      </c>
    </row>
    <row r="146">
      <c r="A146" s="47" t="n">
        <v>46253</v>
      </c>
      <c r="B146" s="40" t="inlineStr">
        <is>
          <t>Rafael Lima</t>
        </is>
      </c>
      <c r="C146" s="39" t="inlineStr">
        <is>
          <t>Gestão do escritório</t>
        </is>
      </c>
      <c r="D146" s="39" t="inlineStr">
        <is>
          <t>Gestão do escritório</t>
        </is>
      </c>
      <c r="E146" s="46" t="n">
        <v>1.5</v>
      </c>
      <c r="F146" s="40" t="inlineStr">
        <is>
          <t>Não</t>
        </is>
      </c>
      <c r="G146" s="24">
        <f>IF(C146="","",IFERROR(INDEX(Casos!$B$5:$B$204,MATCH(C146,Casos!$A$5:$A$204,0)),""))</f>
        <v/>
      </c>
      <c r="H146" s="29">
        <f>IF(OR(B146="",E146=""),"",E146*IFERROR(INDEX(Config!$D$12:$D$21,MATCH(B146,Config!$A$12:$A$21,0)),Config!$B$23))</f>
        <v/>
      </c>
      <c r="I146" s="23">
        <f>IF(A146="","",MONTH(A146))</f>
        <v/>
      </c>
      <c r="J146" s="23">
        <f>IF(A146="","",YEAR(A146))</f>
        <v/>
      </c>
    </row>
    <row r="147">
      <c r="A147" s="47" t="n">
        <v>46254</v>
      </c>
      <c r="B147" s="40" t="inlineStr">
        <is>
          <t>Júlia Prado</t>
        </is>
      </c>
      <c r="C147" s="39" t="inlineStr">
        <is>
          <t>1941959-24.2026.8.26.0167</t>
        </is>
      </c>
      <c r="D147" s="39" t="inlineStr">
        <is>
          <t>Atendimento por telefone ou WhatsApp</t>
        </is>
      </c>
      <c r="E147" s="46" t="n">
        <v>3</v>
      </c>
      <c r="F147" s="40" t="inlineStr">
        <is>
          <t>Sim</t>
        </is>
      </c>
      <c r="G147" s="24">
        <f>IF(C147="","",IFERROR(INDEX(Casos!$B$5:$B$204,MATCH(C147,Casos!$A$5:$A$204,0)),""))</f>
        <v/>
      </c>
      <c r="H147" s="29">
        <f>IF(OR(B147="",E147=""),"",E147*IFERROR(INDEX(Config!$D$12:$D$21,MATCH(B147,Config!$A$12:$A$21,0)),Config!$B$23))</f>
        <v/>
      </c>
      <c r="I147" s="23">
        <f>IF(A147="","",MONTH(A147))</f>
        <v/>
      </c>
      <c r="J147" s="23">
        <f>IF(A147="","",YEAR(A147))</f>
        <v/>
      </c>
    </row>
    <row r="148">
      <c r="A148" s="47" t="n">
        <v>46254</v>
      </c>
      <c r="B148" s="40" t="inlineStr">
        <is>
          <t>Júlia Prado</t>
        </is>
      </c>
      <c r="C148" s="39" t="inlineStr">
        <is>
          <t>Gestão do escritório</t>
        </is>
      </c>
      <c r="D148" s="39" t="inlineStr">
        <is>
          <t>Gestão do escritório</t>
        </is>
      </c>
      <c r="E148" s="46" t="n">
        <v>1.5</v>
      </c>
      <c r="F148" s="40" t="inlineStr">
        <is>
          <t>Não</t>
        </is>
      </c>
      <c r="G148" s="24">
        <f>IF(C148="","",IFERROR(INDEX(Casos!$B$5:$B$204,MATCH(C148,Casos!$A$5:$A$204,0)),""))</f>
        <v/>
      </c>
      <c r="H148" s="29">
        <f>IF(OR(B148="",E148=""),"",E148*IFERROR(INDEX(Config!$D$12:$D$21,MATCH(B148,Config!$A$12:$A$21,0)),Config!$B$23))</f>
        <v/>
      </c>
      <c r="I148" s="23">
        <f>IF(A148="","",MONTH(A148))</f>
        <v/>
      </c>
      <c r="J148" s="23">
        <f>IF(A148="","",YEAR(A148))</f>
        <v/>
      </c>
    </row>
    <row r="149">
      <c r="A149" s="47" t="n">
        <v>46254</v>
      </c>
      <c r="B149" s="40" t="inlineStr">
        <is>
          <t>Marina Ferraz</t>
        </is>
      </c>
      <c r="C149" s="39" t="inlineStr">
        <is>
          <t>6258696-95.2026.8.26.0598</t>
        </is>
      </c>
      <c r="D149" s="39" t="inlineStr">
        <is>
          <t>Deslocamento</t>
        </is>
      </c>
      <c r="E149" s="46" t="n">
        <v>3</v>
      </c>
      <c r="F149" s="40" t="inlineStr">
        <is>
          <t>Sim</t>
        </is>
      </c>
      <c r="G149" s="24">
        <f>IF(C149="","",IFERROR(INDEX(Casos!$B$5:$B$204,MATCH(C149,Casos!$A$5:$A$204,0)),""))</f>
        <v/>
      </c>
      <c r="H149" s="29">
        <f>IF(OR(B149="",E149=""),"",E149*IFERROR(INDEX(Config!$D$12:$D$21,MATCH(B149,Config!$A$12:$A$21,0)),Config!$B$23))</f>
        <v/>
      </c>
      <c r="I149" s="23">
        <f>IF(A149="","",MONTH(A149))</f>
        <v/>
      </c>
      <c r="J149" s="23">
        <f>IF(A149="","",YEAR(A149))</f>
        <v/>
      </c>
    </row>
    <row r="150">
      <c r="A150" s="47" t="n">
        <v>46254</v>
      </c>
      <c r="B150" s="40" t="inlineStr">
        <is>
          <t>Rafael Lima</t>
        </is>
      </c>
      <c r="C150" s="39" t="inlineStr">
        <is>
          <t>9225646-96.2026.8.26.0322</t>
        </is>
      </c>
      <c r="D150" s="39" t="inlineStr">
        <is>
          <t>Reunião com cliente</t>
        </is>
      </c>
      <c r="E150" s="46" t="n">
        <v>2</v>
      </c>
      <c r="F150" s="40" t="inlineStr">
        <is>
          <t>Sim</t>
        </is>
      </c>
      <c r="G150" s="24">
        <f>IF(C150="","",IFERROR(INDEX(Casos!$B$5:$B$204,MATCH(C150,Casos!$A$5:$A$204,0)),""))</f>
        <v/>
      </c>
      <c r="H150" s="29">
        <f>IF(OR(B150="",E150=""),"",E150*IFERROR(INDEX(Config!$D$12:$D$21,MATCH(B150,Config!$A$12:$A$21,0)),Config!$B$23))</f>
        <v/>
      </c>
      <c r="I150" s="23">
        <f>IF(A150="","",MONTH(A150))</f>
        <v/>
      </c>
      <c r="J150" s="23">
        <f>IF(A150="","",YEAR(A150))</f>
        <v/>
      </c>
    </row>
    <row r="151">
      <c r="A151" s="47" t="n">
        <v>46254</v>
      </c>
      <c r="B151" s="40" t="inlineStr">
        <is>
          <t>Rafael Lima</t>
        </is>
      </c>
      <c r="C151" s="39" t="inlineStr">
        <is>
          <t>6258696-95.2026.8.26.0598</t>
        </is>
      </c>
      <c r="D151" s="39" t="inlineStr">
        <is>
          <t>Análise de documentos</t>
        </is>
      </c>
      <c r="E151" s="46" t="n">
        <v>2</v>
      </c>
      <c r="F151" s="40" t="inlineStr">
        <is>
          <t>Sim</t>
        </is>
      </c>
      <c r="G151" s="24">
        <f>IF(C151="","",IFERROR(INDEX(Casos!$B$5:$B$204,MATCH(C151,Casos!$A$5:$A$204,0)),""))</f>
        <v/>
      </c>
      <c r="H151" s="29">
        <f>IF(OR(B151="",E151=""),"",E151*IFERROR(INDEX(Config!$D$12:$D$21,MATCH(B151,Config!$A$12:$A$21,0)),Config!$B$23))</f>
        <v/>
      </c>
      <c r="I151" s="23">
        <f>IF(A151="","",MONTH(A151))</f>
        <v/>
      </c>
      <c r="J151" s="23">
        <f>IF(A151="","",YEAR(A151))</f>
        <v/>
      </c>
    </row>
    <row r="152">
      <c r="A152" s="47" t="n">
        <v>46255</v>
      </c>
      <c r="B152" s="40" t="inlineStr">
        <is>
          <t>Júlia Prado</t>
        </is>
      </c>
      <c r="C152" s="39" t="inlineStr">
        <is>
          <t>9225646-96.2026.8.26.0322</t>
        </is>
      </c>
      <c r="D152" s="39" t="inlineStr">
        <is>
          <t>Pesquisa e estudo do caso</t>
        </is>
      </c>
      <c r="E152" s="46" t="n">
        <v>1.5</v>
      </c>
      <c r="F152" s="40" t="inlineStr">
        <is>
          <t>Sim</t>
        </is>
      </c>
      <c r="G152" s="24">
        <f>IF(C152="","",IFERROR(INDEX(Casos!$B$5:$B$204,MATCH(C152,Casos!$A$5:$A$204,0)),""))</f>
        <v/>
      </c>
      <c r="H152" s="29">
        <f>IF(OR(B152="",E152=""),"",E152*IFERROR(INDEX(Config!$D$12:$D$21,MATCH(B152,Config!$A$12:$A$21,0)),Config!$B$23))</f>
        <v/>
      </c>
      <c r="I152" s="23">
        <f>IF(A152="","",MONTH(A152))</f>
        <v/>
      </c>
      <c r="J152" s="23">
        <f>IF(A152="","",YEAR(A152))</f>
        <v/>
      </c>
    </row>
    <row r="153">
      <c r="A153" s="47" t="n">
        <v>46255</v>
      </c>
      <c r="B153" s="40" t="inlineStr">
        <is>
          <t>Marina Ferraz</t>
        </is>
      </c>
      <c r="C153" s="39" t="inlineStr">
        <is>
          <t>9802211-43.2025.8.26.0431</t>
        </is>
      </c>
      <c r="D153" s="39" t="inlineStr">
        <is>
          <t>Elaboração de documento</t>
        </is>
      </c>
      <c r="E153" s="46" t="n">
        <v>2</v>
      </c>
      <c r="F153" s="40" t="inlineStr">
        <is>
          <t>Sim</t>
        </is>
      </c>
      <c r="G153" s="24">
        <f>IF(C153="","",IFERROR(INDEX(Casos!$B$5:$B$204,MATCH(C153,Casos!$A$5:$A$204,0)),""))</f>
        <v/>
      </c>
      <c r="H153" s="29">
        <f>IF(OR(B153="",E153=""),"",E153*IFERROR(INDEX(Config!$D$12:$D$21,MATCH(B153,Config!$A$12:$A$21,0)),Config!$B$23))</f>
        <v/>
      </c>
      <c r="I153" s="23">
        <f>IF(A153="","",MONTH(A153))</f>
        <v/>
      </c>
      <c r="J153" s="23">
        <f>IF(A153="","",YEAR(A153))</f>
        <v/>
      </c>
    </row>
    <row r="154">
      <c r="A154" s="47" t="n">
        <v>46255</v>
      </c>
      <c r="B154" s="40" t="inlineStr">
        <is>
          <t>Marina Ferraz</t>
        </is>
      </c>
      <c r="C154" s="39" t="inlineStr">
        <is>
          <t>9802211-43.2025.8.26.0431</t>
        </is>
      </c>
      <c r="D154" s="39" t="inlineStr">
        <is>
          <t>Elaboração de documento</t>
        </is>
      </c>
      <c r="E154" s="46" t="n">
        <v>3</v>
      </c>
      <c r="F154" s="40" t="inlineStr">
        <is>
          <t>Sim</t>
        </is>
      </c>
      <c r="G154" s="24">
        <f>IF(C154="","",IFERROR(INDEX(Casos!$B$5:$B$204,MATCH(C154,Casos!$A$5:$A$204,0)),""))</f>
        <v/>
      </c>
      <c r="H154" s="29">
        <f>IF(OR(B154="",E154=""),"",E154*IFERROR(INDEX(Config!$D$12:$D$21,MATCH(B154,Config!$A$12:$A$21,0)),Config!$B$23))</f>
        <v/>
      </c>
      <c r="I154" s="23">
        <f>IF(A154="","",MONTH(A154))</f>
        <v/>
      </c>
      <c r="J154" s="23">
        <f>IF(A154="","",YEAR(A154))</f>
        <v/>
      </c>
    </row>
    <row r="155">
      <c r="A155" s="47" t="n">
        <v>46255</v>
      </c>
      <c r="B155" s="40" t="inlineStr">
        <is>
          <t>Marina Ferraz</t>
        </is>
      </c>
      <c r="C155" s="39" t="inlineStr">
        <is>
          <t>8570388-84.2025.8.26.0560</t>
        </is>
      </c>
      <c r="D155" s="39" t="inlineStr">
        <is>
          <t>Administrativo do caso</t>
        </is>
      </c>
      <c r="E155" s="46" t="n">
        <v>3</v>
      </c>
      <c r="F155" s="40" t="inlineStr">
        <is>
          <t>Não</t>
        </is>
      </c>
      <c r="G155" s="24">
        <f>IF(C155="","",IFERROR(INDEX(Casos!$B$5:$B$204,MATCH(C155,Casos!$A$5:$A$204,0)),""))</f>
        <v/>
      </c>
      <c r="H155" s="29">
        <f>IF(OR(B155="",E155=""),"",E155*IFERROR(INDEX(Config!$D$12:$D$21,MATCH(B155,Config!$A$12:$A$21,0)),Config!$B$23))</f>
        <v/>
      </c>
      <c r="I155" s="23">
        <f>IF(A155="","",MONTH(A155))</f>
        <v/>
      </c>
      <c r="J155" s="23">
        <f>IF(A155="","",YEAR(A155))</f>
        <v/>
      </c>
    </row>
    <row r="156">
      <c r="A156" s="47" t="n">
        <v>46255</v>
      </c>
      <c r="B156" s="40" t="inlineStr">
        <is>
          <t>Rafael Lima</t>
        </is>
      </c>
      <c r="C156" s="39" t="inlineStr">
        <is>
          <t>9225646-96.2026.8.26.0322</t>
        </is>
      </c>
      <c r="D156" s="39" t="inlineStr">
        <is>
          <t>Reunião com cliente</t>
        </is>
      </c>
      <c r="E156" s="46" t="n">
        <v>3.5</v>
      </c>
      <c r="F156" s="40" t="inlineStr">
        <is>
          <t>Sim</t>
        </is>
      </c>
      <c r="G156" s="24">
        <f>IF(C156="","",IFERROR(INDEX(Casos!$B$5:$B$204,MATCH(C156,Casos!$A$5:$A$204,0)),""))</f>
        <v/>
      </c>
      <c r="H156" s="29">
        <f>IF(OR(B156="",E156=""),"",E156*IFERROR(INDEX(Config!$D$12:$D$21,MATCH(B156,Config!$A$12:$A$21,0)),Config!$B$23))</f>
        <v/>
      </c>
      <c r="I156" s="23">
        <f>IF(A156="","",MONTH(A156))</f>
        <v/>
      </c>
      <c r="J156" s="23">
        <f>IF(A156="","",YEAR(A156))</f>
        <v/>
      </c>
    </row>
    <row r="157">
      <c r="A157" s="47" t="n">
        <v>46255</v>
      </c>
      <c r="B157" s="40" t="inlineStr">
        <is>
          <t>Rafael Lima</t>
        </is>
      </c>
      <c r="C157" s="39" t="inlineStr">
        <is>
          <t>8875326-79.2026.8.26.0258</t>
        </is>
      </c>
      <c r="D157" s="39" t="inlineStr">
        <is>
          <t>Atendimento por telefone ou WhatsApp</t>
        </is>
      </c>
      <c r="E157" s="46" t="n">
        <v>2.5</v>
      </c>
      <c r="F157" s="40" t="inlineStr">
        <is>
          <t>Sim</t>
        </is>
      </c>
      <c r="G157" s="24">
        <f>IF(C157="","",IFERROR(INDEX(Casos!$B$5:$B$204,MATCH(C157,Casos!$A$5:$A$204,0)),""))</f>
        <v/>
      </c>
      <c r="H157" s="29">
        <f>IF(OR(B157="",E157=""),"",E157*IFERROR(INDEX(Config!$D$12:$D$21,MATCH(B157,Config!$A$12:$A$21,0)),Config!$B$23))</f>
        <v/>
      </c>
      <c r="I157" s="23">
        <f>IF(A157="","",MONTH(A157))</f>
        <v/>
      </c>
      <c r="J157" s="23">
        <f>IF(A157="","",YEAR(A157))</f>
        <v/>
      </c>
    </row>
    <row r="158">
      <c r="A158" s="47" t="n">
        <v>46255</v>
      </c>
      <c r="B158" s="40" t="inlineStr">
        <is>
          <t>Rafael Lima</t>
        </is>
      </c>
      <c r="C158" s="39" t="inlineStr">
        <is>
          <t>2650441-66.2026.8.26.0528</t>
        </is>
      </c>
      <c r="D158" s="39" t="inlineStr">
        <is>
          <t>Administrativo do caso</t>
        </is>
      </c>
      <c r="E158" s="46" t="n">
        <v>3</v>
      </c>
      <c r="F158" s="40" t="inlineStr">
        <is>
          <t>Sim</t>
        </is>
      </c>
      <c r="G158" s="24">
        <f>IF(C158="","",IFERROR(INDEX(Casos!$B$5:$B$204,MATCH(C158,Casos!$A$5:$A$204,0)),""))</f>
        <v/>
      </c>
      <c r="H158" s="29">
        <f>IF(OR(B158="",E158=""),"",E158*IFERROR(INDEX(Config!$D$12:$D$21,MATCH(B158,Config!$A$12:$A$21,0)),Config!$B$23))</f>
        <v/>
      </c>
      <c r="I158" s="23">
        <f>IF(A158="","",MONTH(A158))</f>
        <v/>
      </c>
      <c r="J158" s="23">
        <f>IF(A158="","",YEAR(A158))</f>
        <v/>
      </c>
    </row>
    <row r="159">
      <c r="A159" s="47" t="n">
        <v>46255</v>
      </c>
      <c r="B159" s="40" t="inlineStr">
        <is>
          <t>Rafael Lima</t>
        </is>
      </c>
      <c r="C159" s="39" t="inlineStr">
        <is>
          <t>Captação e propostas</t>
        </is>
      </c>
      <c r="D159" s="39" t="inlineStr">
        <is>
          <t>Captação e propostas</t>
        </is>
      </c>
      <c r="E159" s="46" t="n">
        <v>1</v>
      </c>
      <c r="F159" s="40" t="inlineStr">
        <is>
          <t>Não</t>
        </is>
      </c>
      <c r="G159" s="24">
        <f>IF(C159="","",IFERROR(INDEX(Casos!$B$5:$B$204,MATCH(C159,Casos!$A$5:$A$204,0)),""))</f>
        <v/>
      </c>
      <c r="H159" s="29">
        <f>IF(OR(B159="",E159=""),"",E159*IFERROR(INDEX(Config!$D$12:$D$21,MATCH(B159,Config!$A$12:$A$21,0)),Config!$B$23))</f>
        <v/>
      </c>
      <c r="I159" s="23">
        <f>IF(A159="","",MONTH(A159))</f>
        <v/>
      </c>
      <c r="J159" s="23">
        <f>IF(A159="","",YEAR(A159))</f>
        <v/>
      </c>
    </row>
    <row r="160">
      <c r="A160" s="47" t="n">
        <v>46258</v>
      </c>
      <c r="B160" s="40" t="inlineStr">
        <is>
          <t>Júlia Prado</t>
        </is>
      </c>
      <c r="C160" s="39" t="inlineStr">
        <is>
          <t>Gestão do escritório</t>
        </is>
      </c>
      <c r="D160" s="39" t="inlineStr">
        <is>
          <t>Gestão do escritório</t>
        </is>
      </c>
      <c r="E160" s="46" t="n">
        <v>1</v>
      </c>
      <c r="F160" s="40" t="inlineStr">
        <is>
          <t>Não</t>
        </is>
      </c>
      <c r="G160" s="24">
        <f>IF(C160="","",IFERROR(INDEX(Casos!$B$5:$B$204,MATCH(C160,Casos!$A$5:$A$204,0)),""))</f>
        <v/>
      </c>
      <c r="H160" s="29">
        <f>IF(OR(B160="",E160=""),"",E160*IFERROR(INDEX(Config!$D$12:$D$21,MATCH(B160,Config!$A$12:$A$21,0)),Config!$B$23))</f>
        <v/>
      </c>
      <c r="I160" s="23">
        <f>IF(A160="","",MONTH(A160))</f>
        <v/>
      </c>
      <c r="J160" s="23">
        <f>IF(A160="","",YEAR(A160))</f>
        <v/>
      </c>
    </row>
    <row r="161">
      <c r="A161" s="47" t="n">
        <v>46258</v>
      </c>
      <c r="B161" s="40" t="inlineStr">
        <is>
          <t>Marina Ferraz</t>
        </is>
      </c>
      <c r="C161" s="39" t="inlineStr">
        <is>
          <t>5297049-18.2026.8.26.0015</t>
        </is>
      </c>
      <c r="D161" s="39" t="inlineStr">
        <is>
          <t>Administrativo do caso</t>
        </is>
      </c>
      <c r="E161" s="46" t="n">
        <v>3</v>
      </c>
      <c r="F161" s="40" t="inlineStr">
        <is>
          <t>Sim</t>
        </is>
      </c>
      <c r="G161" s="24">
        <f>IF(C161="","",IFERROR(INDEX(Casos!$B$5:$B$204,MATCH(C161,Casos!$A$5:$A$204,0)),""))</f>
        <v/>
      </c>
      <c r="H161" s="29">
        <f>IF(OR(B161="",E161=""),"",E161*IFERROR(INDEX(Config!$D$12:$D$21,MATCH(B161,Config!$A$12:$A$21,0)),Config!$B$23))</f>
        <v/>
      </c>
      <c r="I161" s="23">
        <f>IF(A161="","",MONTH(A161))</f>
        <v/>
      </c>
      <c r="J161" s="23">
        <f>IF(A161="","",YEAR(A161))</f>
        <v/>
      </c>
    </row>
    <row r="162">
      <c r="A162" s="47" t="n">
        <v>46258</v>
      </c>
      <c r="B162" s="40" t="inlineStr">
        <is>
          <t>Rafael Lima</t>
        </is>
      </c>
      <c r="C162" s="39" t="inlineStr">
        <is>
          <t>8735513-64.2025.8.26.0093</t>
        </is>
      </c>
      <c r="D162" s="39" t="inlineStr">
        <is>
          <t>Reunião com cliente</t>
        </is>
      </c>
      <c r="E162" s="46" t="n">
        <v>3</v>
      </c>
      <c r="F162" s="40" t="inlineStr">
        <is>
          <t>Sim</t>
        </is>
      </c>
      <c r="G162" s="24">
        <f>IF(C162="","",IFERROR(INDEX(Casos!$B$5:$B$204,MATCH(C162,Casos!$A$5:$A$204,0)),""))</f>
        <v/>
      </c>
      <c r="H162" s="29">
        <f>IF(OR(B162="",E162=""),"",E162*IFERROR(INDEX(Config!$D$12:$D$21,MATCH(B162,Config!$A$12:$A$21,0)),Config!$B$23))</f>
        <v/>
      </c>
      <c r="I162" s="23">
        <f>IF(A162="","",MONTH(A162))</f>
        <v/>
      </c>
      <c r="J162" s="23">
        <f>IF(A162="","",YEAR(A162))</f>
        <v/>
      </c>
    </row>
    <row r="163">
      <c r="A163" s="47" t="n">
        <v>46258</v>
      </c>
      <c r="B163" s="40" t="inlineStr">
        <is>
          <t>Rafael Lima</t>
        </is>
      </c>
      <c r="C163" s="39" t="inlineStr">
        <is>
          <t>1808451-67.2026.8.26.0657</t>
        </is>
      </c>
      <c r="D163" s="39" t="inlineStr">
        <is>
          <t>Pesquisa e estudo do caso</t>
        </is>
      </c>
      <c r="E163" s="46" t="n">
        <v>3</v>
      </c>
      <c r="F163" s="40" t="inlineStr">
        <is>
          <t>Sim</t>
        </is>
      </c>
      <c r="G163" s="24">
        <f>IF(C163="","",IFERROR(INDEX(Casos!$B$5:$B$204,MATCH(C163,Casos!$A$5:$A$204,0)),""))</f>
        <v/>
      </c>
      <c r="H163" s="29">
        <f>IF(OR(B163="",E163=""),"",E163*IFERROR(INDEX(Config!$D$12:$D$21,MATCH(B163,Config!$A$12:$A$21,0)),Config!$B$23))</f>
        <v/>
      </c>
      <c r="I163" s="23">
        <f>IF(A163="","",MONTH(A163))</f>
        <v/>
      </c>
      <c r="J163" s="23">
        <f>IF(A163="","",YEAR(A163))</f>
        <v/>
      </c>
    </row>
    <row r="164">
      <c r="A164" s="47" t="n">
        <v>46258</v>
      </c>
      <c r="B164" s="40" t="inlineStr">
        <is>
          <t>Rafael Lima</t>
        </is>
      </c>
      <c r="C164" s="39" t="inlineStr">
        <is>
          <t>1941959-24.2026.8.26.0167</t>
        </is>
      </c>
      <c r="D164" s="39" t="inlineStr">
        <is>
          <t>Deslocamento</t>
        </is>
      </c>
      <c r="E164" s="46" t="n">
        <v>2.5</v>
      </c>
      <c r="F164" s="40" t="inlineStr">
        <is>
          <t>Sim</t>
        </is>
      </c>
      <c r="G164" s="24">
        <f>IF(C164="","",IFERROR(INDEX(Casos!$B$5:$B$204,MATCH(C164,Casos!$A$5:$A$204,0)),""))</f>
        <v/>
      </c>
      <c r="H164" s="29">
        <f>IF(OR(B164="",E164=""),"",E164*IFERROR(INDEX(Config!$D$12:$D$21,MATCH(B164,Config!$A$12:$A$21,0)),Config!$B$23))</f>
        <v/>
      </c>
      <c r="I164" s="23">
        <f>IF(A164="","",MONTH(A164))</f>
        <v/>
      </c>
      <c r="J164" s="23">
        <f>IF(A164="","",YEAR(A164))</f>
        <v/>
      </c>
    </row>
    <row r="165">
      <c r="A165" s="47" t="n">
        <v>46259</v>
      </c>
      <c r="B165" s="40" t="inlineStr">
        <is>
          <t>Júlia Prado</t>
        </is>
      </c>
      <c r="C165" s="39" t="inlineStr">
        <is>
          <t>1808451-67.2026.8.26.0657</t>
        </is>
      </c>
      <c r="D165" s="39" t="inlineStr">
        <is>
          <t>Diligência externa</t>
        </is>
      </c>
      <c r="E165" s="46" t="n">
        <v>2.5</v>
      </c>
      <c r="F165" s="40" t="inlineStr">
        <is>
          <t>Sim</t>
        </is>
      </c>
      <c r="G165" s="24">
        <f>IF(C165="","",IFERROR(INDEX(Casos!$B$5:$B$204,MATCH(C165,Casos!$A$5:$A$204,0)),""))</f>
        <v/>
      </c>
      <c r="H165" s="29">
        <f>IF(OR(B165="",E165=""),"",E165*IFERROR(INDEX(Config!$D$12:$D$21,MATCH(B165,Config!$A$12:$A$21,0)),Config!$B$23))</f>
        <v/>
      </c>
      <c r="I165" s="23">
        <f>IF(A165="","",MONTH(A165))</f>
        <v/>
      </c>
      <c r="J165" s="23">
        <f>IF(A165="","",YEAR(A165))</f>
        <v/>
      </c>
    </row>
    <row r="166">
      <c r="A166" s="47" t="n">
        <v>46259</v>
      </c>
      <c r="B166" s="40" t="inlineStr">
        <is>
          <t>Júlia Prado</t>
        </is>
      </c>
      <c r="C166" s="39" t="inlineStr">
        <is>
          <t>9778303-99.2026.8.26.0419</t>
        </is>
      </c>
      <c r="D166" s="39" t="inlineStr">
        <is>
          <t>Deslocamento</t>
        </is>
      </c>
      <c r="E166" s="46" t="n">
        <v>3</v>
      </c>
      <c r="F166" s="40" t="inlineStr">
        <is>
          <t>Não</t>
        </is>
      </c>
      <c r="G166" s="24">
        <f>IF(C166="","",IFERROR(INDEX(Casos!$B$5:$B$204,MATCH(C166,Casos!$A$5:$A$204,0)),""))</f>
        <v/>
      </c>
      <c r="H166" s="29">
        <f>IF(OR(B166="",E166=""),"",E166*IFERROR(INDEX(Config!$D$12:$D$21,MATCH(B166,Config!$A$12:$A$21,0)),Config!$B$23))</f>
        <v/>
      </c>
      <c r="I166" s="23">
        <f>IF(A166="","",MONTH(A166))</f>
        <v/>
      </c>
      <c r="J166" s="23">
        <f>IF(A166="","",YEAR(A166))</f>
        <v/>
      </c>
    </row>
    <row r="167">
      <c r="A167" s="47" t="n">
        <v>46259</v>
      </c>
      <c r="B167" s="40" t="inlineStr">
        <is>
          <t>Júlia Prado</t>
        </is>
      </c>
      <c r="C167" s="39" t="inlineStr">
        <is>
          <t>9778303-99.2026.8.26.0419</t>
        </is>
      </c>
      <c r="D167" s="39" t="inlineStr">
        <is>
          <t>Atendimento por telefone ou WhatsApp</t>
        </is>
      </c>
      <c r="E167" s="46" t="n">
        <v>3</v>
      </c>
      <c r="F167" s="40" t="inlineStr">
        <is>
          <t>Sim</t>
        </is>
      </c>
      <c r="G167" s="24">
        <f>IF(C167="","",IFERROR(INDEX(Casos!$B$5:$B$204,MATCH(C167,Casos!$A$5:$A$204,0)),""))</f>
        <v/>
      </c>
      <c r="H167" s="29">
        <f>IF(OR(B167="",E167=""),"",E167*IFERROR(INDEX(Config!$D$12:$D$21,MATCH(B167,Config!$A$12:$A$21,0)),Config!$B$23))</f>
        <v/>
      </c>
      <c r="I167" s="23">
        <f>IF(A167="","",MONTH(A167))</f>
        <v/>
      </c>
      <c r="J167" s="23">
        <f>IF(A167="","",YEAR(A167))</f>
        <v/>
      </c>
    </row>
    <row r="168">
      <c r="A168" s="47" t="n">
        <v>46259</v>
      </c>
      <c r="B168" s="40" t="inlineStr">
        <is>
          <t>Marina Ferraz</t>
        </is>
      </c>
      <c r="C168" s="39" t="inlineStr">
        <is>
          <t>6258696-95.2026.8.26.0598</t>
        </is>
      </c>
      <c r="D168" s="39" t="inlineStr">
        <is>
          <t>Audiência</t>
        </is>
      </c>
      <c r="E168" s="46" t="n">
        <v>3</v>
      </c>
      <c r="F168" s="40" t="inlineStr">
        <is>
          <t>Sim</t>
        </is>
      </c>
      <c r="G168" s="24">
        <f>IF(C168="","",IFERROR(INDEX(Casos!$B$5:$B$204,MATCH(C168,Casos!$A$5:$A$204,0)),""))</f>
        <v/>
      </c>
      <c r="H168" s="29">
        <f>IF(OR(B168="",E168=""),"",E168*IFERROR(INDEX(Config!$D$12:$D$21,MATCH(B168,Config!$A$12:$A$21,0)),Config!$B$23))</f>
        <v/>
      </c>
      <c r="I168" s="23">
        <f>IF(A168="","",MONTH(A168))</f>
        <v/>
      </c>
      <c r="J168" s="23">
        <f>IF(A168="","",YEAR(A168))</f>
        <v/>
      </c>
    </row>
    <row r="169">
      <c r="A169" s="47" t="n">
        <v>46259</v>
      </c>
      <c r="B169" s="40" t="inlineStr">
        <is>
          <t>Marina Ferraz</t>
        </is>
      </c>
      <c r="C169" s="39" t="inlineStr">
        <is>
          <t>8986364-51.2026.8.26.0700</t>
        </is>
      </c>
      <c r="D169" s="39" t="inlineStr">
        <is>
          <t>Deslocamento</t>
        </is>
      </c>
      <c r="E169" s="46" t="n">
        <v>1.5</v>
      </c>
      <c r="F169" s="40" t="inlineStr">
        <is>
          <t>Sim</t>
        </is>
      </c>
      <c r="G169" s="24">
        <f>IF(C169="","",IFERROR(INDEX(Casos!$B$5:$B$204,MATCH(C169,Casos!$A$5:$A$204,0)),""))</f>
        <v/>
      </c>
      <c r="H169" s="29">
        <f>IF(OR(B169="",E169=""),"",E169*IFERROR(INDEX(Config!$D$12:$D$21,MATCH(B169,Config!$A$12:$A$21,0)),Config!$B$23))</f>
        <v/>
      </c>
      <c r="I169" s="23">
        <f>IF(A169="","",MONTH(A169))</f>
        <v/>
      </c>
      <c r="J169" s="23">
        <f>IF(A169="","",YEAR(A169))</f>
        <v/>
      </c>
    </row>
    <row r="170">
      <c r="A170" s="47" t="n">
        <v>46259</v>
      </c>
      <c r="B170" s="40" t="inlineStr">
        <is>
          <t>Marina Ferraz</t>
        </is>
      </c>
      <c r="C170" s="39" t="inlineStr">
        <is>
          <t>8986364-51.2026.8.26.0700</t>
        </is>
      </c>
      <c r="D170" s="39" t="inlineStr">
        <is>
          <t>Reunião com cliente</t>
        </is>
      </c>
      <c r="E170" s="46" t="n">
        <v>3</v>
      </c>
      <c r="F170" s="40" t="inlineStr">
        <is>
          <t>Sim</t>
        </is>
      </c>
      <c r="G170" s="24">
        <f>IF(C170="","",IFERROR(INDEX(Casos!$B$5:$B$204,MATCH(C170,Casos!$A$5:$A$204,0)),""))</f>
        <v/>
      </c>
      <c r="H170" s="29">
        <f>IF(OR(B170="",E170=""),"",E170*IFERROR(INDEX(Config!$D$12:$D$21,MATCH(B170,Config!$A$12:$A$21,0)),Config!$B$23))</f>
        <v/>
      </c>
      <c r="I170" s="23">
        <f>IF(A170="","",MONTH(A170))</f>
        <v/>
      </c>
      <c r="J170" s="23">
        <f>IF(A170="","",YEAR(A170))</f>
        <v/>
      </c>
    </row>
    <row r="171">
      <c r="A171" s="47" t="n">
        <v>46259</v>
      </c>
      <c r="B171" s="40" t="inlineStr">
        <is>
          <t>Marina Ferraz</t>
        </is>
      </c>
      <c r="C171" s="39" t="inlineStr">
        <is>
          <t>6877173-50.2026.8.26.0467</t>
        </is>
      </c>
      <c r="D171" s="39" t="inlineStr">
        <is>
          <t>Pesquisa e estudo do caso</t>
        </is>
      </c>
      <c r="E171" s="46" t="n">
        <v>3</v>
      </c>
      <c r="F171" s="40" t="inlineStr">
        <is>
          <t>Sim</t>
        </is>
      </c>
      <c r="G171" s="24">
        <f>IF(C171="","",IFERROR(INDEX(Casos!$B$5:$B$204,MATCH(C171,Casos!$A$5:$A$204,0)),""))</f>
        <v/>
      </c>
      <c r="H171" s="29">
        <f>IF(OR(B171="",E171=""),"",E171*IFERROR(INDEX(Config!$D$12:$D$21,MATCH(B171,Config!$A$12:$A$21,0)),Config!$B$23))</f>
        <v/>
      </c>
      <c r="I171" s="23">
        <f>IF(A171="","",MONTH(A171))</f>
        <v/>
      </c>
      <c r="J171" s="23">
        <f>IF(A171="","",YEAR(A171))</f>
        <v/>
      </c>
    </row>
    <row r="172">
      <c r="A172" s="47" t="n">
        <v>46259</v>
      </c>
      <c r="B172" s="40" t="inlineStr">
        <is>
          <t>Rafael Lima</t>
        </is>
      </c>
      <c r="C172" s="39" t="inlineStr">
        <is>
          <t>9802987-45.2025.8.26.0097</t>
        </is>
      </c>
      <c r="D172" s="39" t="inlineStr">
        <is>
          <t>Pesquisa e estudo do caso</t>
        </is>
      </c>
      <c r="E172" s="46" t="n">
        <v>1</v>
      </c>
      <c r="F172" s="40" t="inlineStr">
        <is>
          <t>Sim</t>
        </is>
      </c>
      <c r="G172" s="24">
        <f>IF(C172="","",IFERROR(INDEX(Casos!$B$5:$B$204,MATCH(C172,Casos!$A$5:$A$204,0)),""))</f>
        <v/>
      </c>
      <c r="H172" s="29">
        <f>IF(OR(B172="",E172=""),"",E172*IFERROR(INDEX(Config!$D$12:$D$21,MATCH(B172,Config!$A$12:$A$21,0)),Config!$B$23))</f>
        <v/>
      </c>
      <c r="I172" s="23">
        <f>IF(A172="","",MONTH(A172))</f>
        <v/>
      </c>
      <c r="J172" s="23">
        <f>IF(A172="","",YEAR(A172))</f>
        <v/>
      </c>
    </row>
    <row r="173">
      <c r="A173" s="47" t="n">
        <v>46260</v>
      </c>
      <c r="B173" s="40" t="inlineStr">
        <is>
          <t>Júlia Prado</t>
        </is>
      </c>
      <c r="C173" s="39" t="inlineStr">
        <is>
          <t>9778303-99.2026.8.26.0419</t>
        </is>
      </c>
      <c r="D173" s="39" t="inlineStr">
        <is>
          <t>Audiência</t>
        </is>
      </c>
      <c r="E173" s="46" t="n">
        <v>4.5</v>
      </c>
      <c r="F173" s="40" t="inlineStr">
        <is>
          <t>Sim</t>
        </is>
      </c>
      <c r="G173" s="24">
        <f>IF(C173="","",IFERROR(INDEX(Casos!$B$5:$B$204,MATCH(C173,Casos!$A$5:$A$204,0)),""))</f>
        <v/>
      </c>
      <c r="H173" s="29">
        <f>IF(OR(B173="",E173=""),"",E173*IFERROR(INDEX(Config!$D$12:$D$21,MATCH(B173,Config!$A$12:$A$21,0)),Config!$B$23))</f>
        <v/>
      </c>
      <c r="I173" s="23">
        <f>IF(A173="","",MONTH(A173))</f>
        <v/>
      </c>
      <c r="J173" s="23">
        <f>IF(A173="","",YEAR(A173))</f>
        <v/>
      </c>
    </row>
    <row r="174">
      <c r="A174" s="47" t="n">
        <v>46260</v>
      </c>
      <c r="B174" s="40" t="inlineStr">
        <is>
          <t>Marina Ferraz</t>
        </is>
      </c>
      <c r="C174" s="39" t="inlineStr">
        <is>
          <t>6258696-95.2026.8.26.0598</t>
        </is>
      </c>
      <c r="D174" s="39" t="inlineStr">
        <is>
          <t>Análise de documentos</t>
        </is>
      </c>
      <c r="E174" s="46" t="n">
        <v>2.5</v>
      </c>
      <c r="F174" s="40" t="inlineStr">
        <is>
          <t>Sim</t>
        </is>
      </c>
      <c r="G174" s="24">
        <f>IF(C174="","",IFERROR(INDEX(Casos!$B$5:$B$204,MATCH(C174,Casos!$A$5:$A$204,0)),""))</f>
        <v/>
      </c>
      <c r="H174" s="29">
        <f>IF(OR(B174="",E174=""),"",E174*IFERROR(INDEX(Config!$D$12:$D$21,MATCH(B174,Config!$A$12:$A$21,0)),Config!$B$23))</f>
        <v/>
      </c>
      <c r="I174" s="23">
        <f>IF(A174="","",MONTH(A174))</f>
        <v/>
      </c>
      <c r="J174" s="23">
        <f>IF(A174="","",YEAR(A174))</f>
        <v/>
      </c>
    </row>
    <row r="175">
      <c r="A175" s="47" t="n">
        <v>46260</v>
      </c>
      <c r="B175" s="40" t="inlineStr">
        <is>
          <t>Rafael Lima</t>
        </is>
      </c>
      <c r="C175" s="39" t="inlineStr">
        <is>
          <t>Gestão do escritório</t>
        </is>
      </c>
      <c r="D175" s="39" t="inlineStr">
        <is>
          <t>Gestão do escritório</t>
        </is>
      </c>
      <c r="E175" s="46" t="n">
        <v>1</v>
      </c>
      <c r="F175" s="40" t="inlineStr">
        <is>
          <t>Não</t>
        </is>
      </c>
      <c r="G175" s="24">
        <f>IF(C175="","",IFERROR(INDEX(Casos!$B$5:$B$204,MATCH(C175,Casos!$A$5:$A$204,0)),""))</f>
        <v/>
      </c>
      <c r="H175" s="29">
        <f>IF(OR(B175="",E175=""),"",E175*IFERROR(INDEX(Config!$D$12:$D$21,MATCH(B175,Config!$A$12:$A$21,0)),Config!$B$23))</f>
        <v/>
      </c>
      <c r="I175" s="23">
        <f>IF(A175="","",MONTH(A175))</f>
        <v/>
      </c>
      <c r="J175" s="23">
        <f>IF(A175="","",YEAR(A175))</f>
        <v/>
      </c>
    </row>
    <row r="176">
      <c r="A176" s="47" t="n">
        <v>46261</v>
      </c>
      <c r="B176" s="40" t="inlineStr">
        <is>
          <t>Júlia Prado</t>
        </is>
      </c>
      <c r="C176" s="39" t="inlineStr">
        <is>
          <t>8986364-51.2026.8.26.0700</t>
        </is>
      </c>
      <c r="D176" s="39" t="inlineStr">
        <is>
          <t>Análise de documentos</t>
        </is>
      </c>
      <c r="E176" s="46" t="n">
        <v>3</v>
      </c>
      <c r="F176" s="40" t="inlineStr">
        <is>
          <t>Sim</t>
        </is>
      </c>
      <c r="G176" s="24">
        <f>IF(C176="","",IFERROR(INDEX(Casos!$B$5:$B$204,MATCH(C176,Casos!$A$5:$A$204,0)),""))</f>
        <v/>
      </c>
      <c r="H176" s="29">
        <f>IF(OR(B176="",E176=""),"",E176*IFERROR(INDEX(Config!$D$12:$D$21,MATCH(B176,Config!$A$12:$A$21,0)),Config!$B$23))</f>
        <v/>
      </c>
      <c r="I176" s="23">
        <f>IF(A176="","",MONTH(A176))</f>
        <v/>
      </c>
      <c r="J176" s="23">
        <f>IF(A176="","",YEAR(A176))</f>
        <v/>
      </c>
    </row>
    <row r="177">
      <c r="A177" s="47" t="n">
        <v>46261</v>
      </c>
      <c r="B177" s="40" t="inlineStr">
        <is>
          <t>Júlia Prado</t>
        </is>
      </c>
      <c r="C177" s="39" t="inlineStr">
        <is>
          <t>6545676-47.2025.8.26.0126</t>
        </is>
      </c>
      <c r="D177" s="39" t="inlineStr">
        <is>
          <t>Reunião com cliente</t>
        </is>
      </c>
      <c r="E177" s="46" t="n">
        <v>1</v>
      </c>
      <c r="F177" s="40" t="inlineStr">
        <is>
          <t>Sim</t>
        </is>
      </c>
      <c r="G177" s="24">
        <f>IF(C177="","",IFERROR(INDEX(Casos!$B$5:$B$204,MATCH(C177,Casos!$A$5:$A$204,0)),""))</f>
        <v/>
      </c>
      <c r="H177" s="29">
        <f>IF(OR(B177="",E177=""),"",E177*IFERROR(INDEX(Config!$D$12:$D$21,MATCH(B177,Config!$A$12:$A$21,0)),Config!$B$23))</f>
        <v/>
      </c>
      <c r="I177" s="23">
        <f>IF(A177="","",MONTH(A177))</f>
        <v/>
      </c>
      <c r="J177" s="23">
        <f>IF(A177="","",YEAR(A177))</f>
        <v/>
      </c>
    </row>
    <row r="178">
      <c r="A178" s="47" t="n">
        <v>46261</v>
      </c>
      <c r="B178" s="40" t="inlineStr">
        <is>
          <t>Marina Ferraz</t>
        </is>
      </c>
      <c r="C178" s="39" t="inlineStr">
        <is>
          <t>9778303-99.2026.8.26.0419</t>
        </is>
      </c>
      <c r="D178" s="39" t="inlineStr">
        <is>
          <t>Reunião com cliente</t>
        </is>
      </c>
      <c r="E178" s="46" t="n">
        <v>3</v>
      </c>
      <c r="F178" s="40" t="inlineStr">
        <is>
          <t>Sim</t>
        </is>
      </c>
      <c r="G178" s="24">
        <f>IF(C178="","",IFERROR(INDEX(Casos!$B$5:$B$204,MATCH(C178,Casos!$A$5:$A$204,0)),""))</f>
        <v/>
      </c>
      <c r="H178" s="29">
        <f>IF(OR(B178="",E178=""),"",E178*IFERROR(INDEX(Config!$D$12:$D$21,MATCH(B178,Config!$A$12:$A$21,0)),Config!$B$23))</f>
        <v/>
      </c>
      <c r="I178" s="23">
        <f>IF(A178="","",MONTH(A178))</f>
        <v/>
      </c>
      <c r="J178" s="23">
        <f>IF(A178="","",YEAR(A178))</f>
        <v/>
      </c>
    </row>
    <row r="179">
      <c r="A179" s="47" t="n">
        <v>46261</v>
      </c>
      <c r="B179" s="40" t="inlineStr">
        <is>
          <t>Marina Ferraz</t>
        </is>
      </c>
      <c r="C179" s="39" t="inlineStr">
        <is>
          <t>Gestão do escritório</t>
        </is>
      </c>
      <c r="D179" s="39" t="inlineStr">
        <is>
          <t>Gestão do escritório</t>
        </is>
      </c>
      <c r="E179" s="46" t="n">
        <v>1.5</v>
      </c>
      <c r="F179" s="40" t="inlineStr">
        <is>
          <t>Não</t>
        </is>
      </c>
      <c r="G179" s="24">
        <f>IF(C179="","",IFERROR(INDEX(Casos!$B$5:$B$204,MATCH(C179,Casos!$A$5:$A$204,0)),""))</f>
        <v/>
      </c>
      <c r="H179" s="29">
        <f>IF(OR(B179="",E179=""),"",E179*IFERROR(INDEX(Config!$D$12:$D$21,MATCH(B179,Config!$A$12:$A$21,0)),Config!$B$23))</f>
        <v/>
      </c>
      <c r="I179" s="23">
        <f>IF(A179="","",MONTH(A179))</f>
        <v/>
      </c>
      <c r="J179" s="23">
        <f>IF(A179="","",YEAR(A179))</f>
        <v/>
      </c>
    </row>
    <row r="180">
      <c r="A180" s="47" t="n">
        <v>46261</v>
      </c>
      <c r="B180" s="40" t="inlineStr">
        <is>
          <t>Rafael Lima</t>
        </is>
      </c>
      <c r="C180" s="39" t="inlineStr">
        <is>
          <t>1941959-24.2026.8.26.0167</t>
        </is>
      </c>
      <c r="D180" s="39" t="inlineStr">
        <is>
          <t>Deslocamento</t>
        </is>
      </c>
      <c r="E180" s="46" t="n">
        <v>3.5</v>
      </c>
      <c r="F180" s="40" t="inlineStr">
        <is>
          <t>Sim</t>
        </is>
      </c>
      <c r="G180" s="24">
        <f>IF(C180="","",IFERROR(INDEX(Casos!$B$5:$B$204,MATCH(C180,Casos!$A$5:$A$204,0)),""))</f>
        <v/>
      </c>
      <c r="H180" s="29">
        <f>IF(OR(B180="",E180=""),"",E180*IFERROR(INDEX(Config!$D$12:$D$21,MATCH(B180,Config!$A$12:$A$21,0)),Config!$B$23))</f>
        <v/>
      </c>
      <c r="I180" s="23">
        <f>IF(A180="","",MONTH(A180))</f>
        <v/>
      </c>
      <c r="J180" s="23">
        <f>IF(A180="","",YEAR(A180))</f>
        <v/>
      </c>
    </row>
    <row r="181">
      <c r="A181" s="47" t="n">
        <v>46262</v>
      </c>
      <c r="B181" s="40" t="inlineStr">
        <is>
          <t>Júlia Prado</t>
        </is>
      </c>
      <c r="C181" s="39" t="inlineStr">
        <is>
          <t>9236009-85.2026.8.26.0452</t>
        </is>
      </c>
      <c r="D181" s="39" t="inlineStr">
        <is>
          <t>Reunião com cliente</t>
        </is>
      </c>
      <c r="E181" s="46" t="n">
        <v>2.5</v>
      </c>
      <c r="F181" s="40" t="inlineStr">
        <is>
          <t>Sim</t>
        </is>
      </c>
      <c r="G181" s="24">
        <f>IF(C181="","",IFERROR(INDEX(Casos!$B$5:$B$204,MATCH(C181,Casos!$A$5:$A$204,0)),""))</f>
        <v/>
      </c>
      <c r="H181" s="29">
        <f>IF(OR(B181="",E181=""),"",E181*IFERROR(INDEX(Config!$D$12:$D$21,MATCH(B181,Config!$A$12:$A$21,0)),Config!$B$23))</f>
        <v/>
      </c>
      <c r="I181" s="23">
        <f>IF(A181="","",MONTH(A181))</f>
        <v/>
      </c>
      <c r="J181" s="23">
        <f>IF(A181="","",YEAR(A181))</f>
        <v/>
      </c>
    </row>
    <row r="182">
      <c r="A182" s="47" t="n">
        <v>46262</v>
      </c>
      <c r="B182" s="40" t="inlineStr">
        <is>
          <t>Júlia Prado</t>
        </is>
      </c>
      <c r="C182" s="39" t="inlineStr">
        <is>
          <t>6258696-95.2026.8.26.0598</t>
        </is>
      </c>
      <c r="D182" s="39" t="inlineStr">
        <is>
          <t>Análise de documentos</t>
        </is>
      </c>
      <c r="E182" s="46" t="n">
        <v>2</v>
      </c>
      <c r="F182" s="40" t="inlineStr">
        <is>
          <t>Sim</t>
        </is>
      </c>
      <c r="G182" s="24">
        <f>IF(C182="","",IFERROR(INDEX(Casos!$B$5:$B$204,MATCH(C182,Casos!$A$5:$A$204,0)),""))</f>
        <v/>
      </c>
      <c r="H182" s="29">
        <f>IF(OR(B182="",E182=""),"",E182*IFERROR(INDEX(Config!$D$12:$D$21,MATCH(B182,Config!$A$12:$A$21,0)),Config!$B$23))</f>
        <v/>
      </c>
      <c r="I182" s="23">
        <f>IF(A182="","",MONTH(A182))</f>
        <v/>
      </c>
      <c r="J182" s="23">
        <f>IF(A182="","",YEAR(A182))</f>
        <v/>
      </c>
    </row>
    <row r="183">
      <c r="A183" s="47" t="n">
        <v>46262</v>
      </c>
      <c r="B183" s="40" t="inlineStr">
        <is>
          <t>Júlia Prado</t>
        </is>
      </c>
      <c r="C183" s="39" t="inlineStr">
        <is>
          <t>8986364-51.2026.8.26.0700</t>
        </is>
      </c>
      <c r="D183" s="39" t="inlineStr">
        <is>
          <t>Pesquisa e estudo do caso</t>
        </is>
      </c>
      <c r="E183" s="46" t="n">
        <v>1.5</v>
      </c>
      <c r="F183" s="40" t="inlineStr">
        <is>
          <t>Sim</t>
        </is>
      </c>
      <c r="G183" s="24">
        <f>IF(C183="","",IFERROR(INDEX(Casos!$B$5:$B$204,MATCH(C183,Casos!$A$5:$A$204,0)),""))</f>
        <v/>
      </c>
      <c r="H183" s="29">
        <f>IF(OR(B183="",E183=""),"",E183*IFERROR(INDEX(Config!$D$12:$D$21,MATCH(B183,Config!$A$12:$A$21,0)),Config!$B$23))</f>
        <v/>
      </c>
      <c r="I183" s="23">
        <f>IF(A183="","",MONTH(A183))</f>
        <v/>
      </c>
      <c r="J183" s="23">
        <f>IF(A183="","",YEAR(A183))</f>
        <v/>
      </c>
    </row>
    <row r="184">
      <c r="A184" s="47" t="n">
        <v>46262</v>
      </c>
      <c r="B184" s="40" t="inlineStr">
        <is>
          <t>Júlia Prado</t>
        </is>
      </c>
      <c r="C184" s="39" t="inlineStr">
        <is>
          <t>9778303-99.2026.8.26.0419</t>
        </is>
      </c>
      <c r="D184" s="39" t="inlineStr">
        <is>
          <t>Administrativo do caso</t>
        </is>
      </c>
      <c r="E184" s="46" t="n">
        <v>4</v>
      </c>
      <c r="F184" s="40" t="inlineStr">
        <is>
          <t>Sim</t>
        </is>
      </c>
      <c r="G184" s="24">
        <f>IF(C184="","",IFERROR(INDEX(Casos!$B$5:$B$204,MATCH(C184,Casos!$A$5:$A$204,0)),""))</f>
        <v/>
      </c>
      <c r="H184" s="29">
        <f>IF(OR(B184="",E184=""),"",E184*IFERROR(INDEX(Config!$D$12:$D$21,MATCH(B184,Config!$A$12:$A$21,0)),Config!$B$23))</f>
        <v/>
      </c>
      <c r="I184" s="23">
        <f>IF(A184="","",MONTH(A184))</f>
        <v/>
      </c>
      <c r="J184" s="23">
        <f>IF(A184="","",YEAR(A184))</f>
        <v/>
      </c>
    </row>
    <row r="185">
      <c r="A185" s="47" t="n">
        <v>46262</v>
      </c>
      <c r="B185" s="40" t="inlineStr">
        <is>
          <t>Marina Ferraz</t>
        </is>
      </c>
      <c r="C185" s="39" t="inlineStr">
        <is>
          <t>6710873-21.2025.8.26.0571</t>
        </is>
      </c>
      <c r="D185" s="39" t="inlineStr">
        <is>
          <t>Deslocamento</t>
        </is>
      </c>
      <c r="E185" s="46" t="n">
        <v>2.5</v>
      </c>
      <c r="F185" s="40" t="inlineStr">
        <is>
          <t>Sim</t>
        </is>
      </c>
      <c r="G185" s="24">
        <f>IF(C185="","",IFERROR(INDEX(Casos!$B$5:$B$204,MATCH(C185,Casos!$A$5:$A$204,0)),""))</f>
        <v/>
      </c>
      <c r="H185" s="29">
        <f>IF(OR(B185="",E185=""),"",E185*IFERROR(INDEX(Config!$D$12:$D$21,MATCH(B185,Config!$A$12:$A$21,0)),Config!$B$23))</f>
        <v/>
      </c>
      <c r="I185" s="23">
        <f>IF(A185="","",MONTH(A185))</f>
        <v/>
      </c>
      <c r="J185" s="23">
        <f>IF(A185="","",YEAR(A185))</f>
        <v/>
      </c>
    </row>
    <row r="186">
      <c r="A186" s="47" t="n">
        <v>46262</v>
      </c>
      <c r="B186" s="40" t="inlineStr">
        <is>
          <t>Marina Ferraz</t>
        </is>
      </c>
      <c r="C186" s="39" t="inlineStr">
        <is>
          <t>6258696-95.2026.8.26.0598</t>
        </is>
      </c>
      <c r="D186" s="39" t="inlineStr">
        <is>
          <t>Reunião com cliente</t>
        </is>
      </c>
      <c r="E186" s="46" t="n">
        <v>3.5</v>
      </c>
      <c r="F186" s="40" t="inlineStr">
        <is>
          <t>Sim</t>
        </is>
      </c>
      <c r="G186" s="24">
        <f>IF(C186="","",IFERROR(INDEX(Casos!$B$5:$B$204,MATCH(C186,Casos!$A$5:$A$204,0)),""))</f>
        <v/>
      </c>
      <c r="H186" s="29">
        <f>IF(OR(B186="",E186=""),"",E186*IFERROR(INDEX(Config!$D$12:$D$21,MATCH(B186,Config!$A$12:$A$21,0)),Config!$B$23))</f>
        <v/>
      </c>
      <c r="I186" s="23">
        <f>IF(A186="","",MONTH(A186))</f>
        <v/>
      </c>
      <c r="J186" s="23">
        <f>IF(A186="","",YEAR(A186))</f>
        <v/>
      </c>
    </row>
    <row r="187">
      <c r="A187" s="47" t="n">
        <v>46262</v>
      </c>
      <c r="B187" s="40" t="inlineStr">
        <is>
          <t>Marina Ferraz</t>
        </is>
      </c>
      <c r="C187" s="39" t="inlineStr">
        <is>
          <t>9802987-45.2025.8.26.0097</t>
        </is>
      </c>
      <c r="D187" s="39" t="inlineStr">
        <is>
          <t>Atendimento por telefone ou WhatsApp</t>
        </is>
      </c>
      <c r="E187" s="46" t="n">
        <v>3</v>
      </c>
      <c r="F187" s="40" t="inlineStr">
        <is>
          <t>Sim</t>
        </is>
      </c>
      <c r="G187" s="24">
        <f>IF(C187="","",IFERROR(INDEX(Casos!$B$5:$B$204,MATCH(C187,Casos!$A$5:$A$204,0)),""))</f>
        <v/>
      </c>
      <c r="H187" s="29">
        <f>IF(OR(B187="",E187=""),"",E187*IFERROR(INDEX(Config!$D$12:$D$21,MATCH(B187,Config!$A$12:$A$21,0)),Config!$B$23))</f>
        <v/>
      </c>
      <c r="I187" s="23">
        <f>IF(A187="","",MONTH(A187))</f>
        <v/>
      </c>
      <c r="J187" s="23">
        <f>IF(A187="","",YEAR(A187))</f>
        <v/>
      </c>
    </row>
    <row r="188">
      <c r="A188" s="47" t="n">
        <v>46262</v>
      </c>
      <c r="B188" s="40" t="inlineStr">
        <is>
          <t>Rafael Lima</t>
        </is>
      </c>
      <c r="C188" s="39" t="inlineStr">
        <is>
          <t>8875326-79.2026.8.26.0258</t>
        </is>
      </c>
      <c r="D188" s="39" t="inlineStr">
        <is>
          <t>Pesquisa e estudo do caso</t>
        </is>
      </c>
      <c r="E188" s="46" t="n">
        <v>3</v>
      </c>
      <c r="F188" s="40" t="inlineStr">
        <is>
          <t>Sim</t>
        </is>
      </c>
      <c r="G188" s="24">
        <f>IF(C188="","",IFERROR(INDEX(Casos!$B$5:$B$204,MATCH(C188,Casos!$A$5:$A$204,0)),""))</f>
        <v/>
      </c>
      <c r="H188" s="29">
        <f>IF(OR(B188="",E188=""),"",E188*IFERROR(INDEX(Config!$D$12:$D$21,MATCH(B188,Config!$A$12:$A$21,0)),Config!$B$23))</f>
        <v/>
      </c>
      <c r="I188" s="23">
        <f>IF(A188="","",MONTH(A188))</f>
        <v/>
      </c>
      <c r="J188" s="23">
        <f>IF(A188="","",YEAR(A188))</f>
        <v/>
      </c>
    </row>
    <row r="189">
      <c r="A189" s="47" t="n">
        <v>46262</v>
      </c>
      <c r="B189" s="40" t="inlineStr">
        <is>
          <t>Rafael Lima</t>
        </is>
      </c>
      <c r="C189" s="39" t="inlineStr">
        <is>
          <t>6904743-30.2025.8.26.0361</t>
        </is>
      </c>
      <c r="D189" s="39" t="inlineStr">
        <is>
          <t>Diligência externa</t>
        </is>
      </c>
      <c r="E189" s="46" t="n">
        <v>2.5</v>
      </c>
      <c r="F189" s="40" t="inlineStr">
        <is>
          <t>Sim</t>
        </is>
      </c>
      <c r="G189" s="24">
        <f>IF(C189="","",IFERROR(INDEX(Casos!$B$5:$B$204,MATCH(C189,Casos!$A$5:$A$204,0)),""))</f>
        <v/>
      </c>
      <c r="H189" s="29">
        <f>IF(OR(B189="",E189=""),"",E189*IFERROR(INDEX(Config!$D$12:$D$21,MATCH(B189,Config!$A$12:$A$21,0)),Config!$B$23))</f>
        <v/>
      </c>
      <c r="I189" s="23">
        <f>IF(A189="","",MONTH(A189))</f>
        <v/>
      </c>
      <c r="J189" s="23">
        <f>IF(A189="","",YEAR(A189))</f>
        <v/>
      </c>
    </row>
    <row r="190">
      <c r="A190" s="47" t="n">
        <v>46262</v>
      </c>
      <c r="B190" s="40" t="inlineStr">
        <is>
          <t>Rafael Lima</t>
        </is>
      </c>
      <c r="C190" s="39" t="inlineStr">
        <is>
          <t>1941959-24.2026.8.26.0167</t>
        </is>
      </c>
      <c r="D190" s="39" t="inlineStr">
        <is>
          <t>Deslocamento</t>
        </is>
      </c>
      <c r="E190" s="46" t="n">
        <v>2</v>
      </c>
      <c r="F190" s="40" t="inlineStr">
        <is>
          <t>Não</t>
        </is>
      </c>
      <c r="G190" s="24">
        <f>IF(C190="","",IFERROR(INDEX(Casos!$B$5:$B$204,MATCH(C190,Casos!$A$5:$A$204,0)),""))</f>
        <v/>
      </c>
      <c r="H190" s="29">
        <f>IF(OR(B190="",E190=""),"",E190*IFERROR(INDEX(Config!$D$12:$D$21,MATCH(B190,Config!$A$12:$A$21,0)),Config!$B$23))</f>
        <v/>
      </c>
      <c r="I190" s="23">
        <f>IF(A190="","",MONTH(A190))</f>
        <v/>
      </c>
      <c r="J190" s="23">
        <f>IF(A190="","",YEAR(A190))</f>
        <v/>
      </c>
    </row>
    <row r="191">
      <c r="A191" s="47" t="n">
        <v>46262</v>
      </c>
      <c r="B191" s="40" t="inlineStr">
        <is>
          <t>Rafael Lima</t>
        </is>
      </c>
      <c r="C191" s="39" t="inlineStr">
        <is>
          <t>1941959-24.2026.8.26.0167</t>
        </is>
      </c>
      <c r="D191" s="39" t="inlineStr">
        <is>
          <t>Audiência</t>
        </is>
      </c>
      <c r="E191" s="46" t="n">
        <v>3</v>
      </c>
      <c r="F191" s="40" t="inlineStr">
        <is>
          <t>Sim</t>
        </is>
      </c>
      <c r="G191" s="24">
        <f>IF(C191="","",IFERROR(INDEX(Casos!$B$5:$B$204,MATCH(C191,Casos!$A$5:$A$204,0)),""))</f>
        <v/>
      </c>
      <c r="H191" s="29">
        <f>IF(OR(B191="",E191=""),"",E191*IFERROR(INDEX(Config!$D$12:$D$21,MATCH(B191,Config!$A$12:$A$21,0)),Config!$B$23))</f>
        <v/>
      </c>
      <c r="I191" s="23">
        <f>IF(A191="","",MONTH(A191))</f>
        <v/>
      </c>
      <c r="J191" s="23">
        <f>IF(A191="","",YEAR(A191))</f>
        <v/>
      </c>
    </row>
    <row r="192">
      <c r="A192" s="47" t="n">
        <v>46262</v>
      </c>
      <c r="B192" s="40" t="inlineStr">
        <is>
          <t>Rafael Lima</t>
        </is>
      </c>
      <c r="C192" s="39" t="inlineStr">
        <is>
          <t>9778303-99.2026.8.26.0419</t>
        </is>
      </c>
      <c r="D192" s="39" t="inlineStr">
        <is>
          <t>Audiência</t>
        </is>
      </c>
      <c r="E192" s="46" t="n">
        <v>2.5</v>
      </c>
      <c r="F192" s="40" t="inlineStr">
        <is>
          <t>Sim</t>
        </is>
      </c>
      <c r="G192" s="24">
        <f>IF(C192="","",IFERROR(INDEX(Casos!$B$5:$B$204,MATCH(C192,Casos!$A$5:$A$204,0)),""))</f>
        <v/>
      </c>
      <c r="H192" s="29">
        <f>IF(OR(B192="",E192=""),"",E192*IFERROR(INDEX(Config!$D$12:$D$21,MATCH(B192,Config!$A$12:$A$21,0)),Config!$B$23))</f>
        <v/>
      </c>
      <c r="I192" s="23">
        <f>IF(A192="","",MONTH(A192))</f>
        <v/>
      </c>
      <c r="J192" s="23">
        <f>IF(A192="","",YEAR(A192))</f>
        <v/>
      </c>
    </row>
    <row r="193">
      <c r="A193" s="47" t="n">
        <v>46265</v>
      </c>
      <c r="B193" s="40" t="inlineStr">
        <is>
          <t>Júlia Prado</t>
        </is>
      </c>
      <c r="C193" s="39" t="inlineStr">
        <is>
          <t>6258696-95.2026.8.26.0598</t>
        </is>
      </c>
      <c r="D193" s="39" t="inlineStr">
        <is>
          <t>Deslocamento</t>
        </is>
      </c>
      <c r="E193" s="46" t="n">
        <v>3</v>
      </c>
      <c r="F193" s="40" t="inlineStr">
        <is>
          <t>Não</t>
        </is>
      </c>
      <c r="G193" s="24">
        <f>IF(C193="","",IFERROR(INDEX(Casos!$B$5:$B$204,MATCH(C193,Casos!$A$5:$A$204,0)),""))</f>
        <v/>
      </c>
      <c r="H193" s="29">
        <f>IF(OR(B193="",E193=""),"",E193*IFERROR(INDEX(Config!$D$12:$D$21,MATCH(B193,Config!$A$12:$A$21,0)),Config!$B$23))</f>
        <v/>
      </c>
      <c r="I193" s="23">
        <f>IF(A193="","",MONTH(A193))</f>
        <v/>
      </c>
      <c r="J193" s="23">
        <f>IF(A193="","",YEAR(A193))</f>
        <v/>
      </c>
    </row>
    <row r="194">
      <c r="A194" s="47" t="n">
        <v>46265</v>
      </c>
      <c r="B194" s="40" t="inlineStr">
        <is>
          <t>Marina Ferraz</t>
        </is>
      </c>
      <c r="C194" s="39" t="inlineStr">
        <is>
          <t>9236009-85.2026.8.26.0452</t>
        </is>
      </c>
      <c r="D194" s="39" t="inlineStr">
        <is>
          <t>Elaboração de documento</t>
        </is>
      </c>
      <c r="E194" s="46" t="n">
        <v>1</v>
      </c>
      <c r="F194" s="40" t="inlineStr">
        <is>
          <t>Sim</t>
        </is>
      </c>
      <c r="G194" s="24">
        <f>IF(C194="","",IFERROR(INDEX(Casos!$B$5:$B$204,MATCH(C194,Casos!$A$5:$A$204,0)),""))</f>
        <v/>
      </c>
      <c r="H194" s="29">
        <f>IF(OR(B194="",E194=""),"",E194*IFERROR(INDEX(Config!$D$12:$D$21,MATCH(B194,Config!$A$12:$A$21,0)),Config!$B$23))</f>
        <v/>
      </c>
      <c r="I194" s="23">
        <f>IF(A194="","",MONTH(A194))</f>
        <v/>
      </c>
      <c r="J194" s="23">
        <f>IF(A194="","",YEAR(A194))</f>
        <v/>
      </c>
    </row>
    <row r="195">
      <c r="A195" s="47" t="n">
        <v>46265</v>
      </c>
      <c r="B195" s="40" t="inlineStr">
        <is>
          <t>Marina Ferraz</t>
        </is>
      </c>
      <c r="C195" s="39" t="inlineStr">
        <is>
          <t>9778303-99.2026.8.26.0419</t>
        </is>
      </c>
      <c r="D195" s="39" t="inlineStr">
        <is>
          <t>Elaboração de documento</t>
        </is>
      </c>
      <c r="E195" s="46" t="n">
        <v>4</v>
      </c>
      <c r="F195" s="40" t="inlineStr">
        <is>
          <t>Sim</t>
        </is>
      </c>
      <c r="G195" s="24">
        <f>IF(C195="","",IFERROR(INDEX(Casos!$B$5:$B$204,MATCH(C195,Casos!$A$5:$A$204,0)),""))</f>
        <v/>
      </c>
      <c r="H195" s="29">
        <f>IF(OR(B195="",E195=""),"",E195*IFERROR(INDEX(Config!$D$12:$D$21,MATCH(B195,Config!$A$12:$A$21,0)),Config!$B$23))</f>
        <v/>
      </c>
      <c r="I195" s="23">
        <f>IF(A195="","",MONTH(A195))</f>
        <v/>
      </c>
      <c r="J195" s="23">
        <f>IF(A195="","",YEAR(A195))</f>
        <v/>
      </c>
    </row>
    <row r="196">
      <c r="A196" s="47" t="n">
        <v>46266</v>
      </c>
      <c r="B196" s="40" t="inlineStr">
        <is>
          <t>Júlia Prado</t>
        </is>
      </c>
      <c r="C196" s="39" t="inlineStr">
        <is>
          <t>6258696-95.2026.8.26.0598</t>
        </is>
      </c>
      <c r="D196" s="39" t="inlineStr">
        <is>
          <t>Elaboração de documento</t>
        </is>
      </c>
      <c r="E196" s="46" t="n">
        <v>2</v>
      </c>
      <c r="F196" s="40" t="inlineStr">
        <is>
          <t>Sim</t>
        </is>
      </c>
      <c r="G196" s="24">
        <f>IF(C196="","",IFERROR(INDEX(Casos!$B$5:$B$204,MATCH(C196,Casos!$A$5:$A$204,0)),""))</f>
        <v/>
      </c>
      <c r="H196" s="29">
        <f>IF(OR(B196="",E196=""),"",E196*IFERROR(INDEX(Config!$D$12:$D$21,MATCH(B196,Config!$A$12:$A$21,0)),Config!$B$23))</f>
        <v/>
      </c>
      <c r="I196" s="23">
        <f>IF(A196="","",MONTH(A196))</f>
        <v/>
      </c>
      <c r="J196" s="23">
        <f>IF(A196="","",YEAR(A196))</f>
        <v/>
      </c>
    </row>
    <row r="197">
      <c r="A197" s="47" t="n">
        <v>46266</v>
      </c>
      <c r="B197" s="40" t="inlineStr">
        <is>
          <t>Júlia Prado</t>
        </is>
      </c>
      <c r="C197" s="39" t="inlineStr">
        <is>
          <t>1808451-67.2026.8.26.0657</t>
        </is>
      </c>
      <c r="D197" s="39" t="inlineStr">
        <is>
          <t>Diligência externa</t>
        </is>
      </c>
      <c r="E197" s="46" t="n">
        <v>2</v>
      </c>
      <c r="F197" s="40" t="inlineStr">
        <is>
          <t>Sim</t>
        </is>
      </c>
      <c r="G197" s="24">
        <f>IF(C197="","",IFERROR(INDEX(Casos!$B$5:$B$204,MATCH(C197,Casos!$A$5:$A$204,0)),""))</f>
        <v/>
      </c>
      <c r="H197" s="29">
        <f>IF(OR(B197="",E197=""),"",E197*IFERROR(INDEX(Config!$D$12:$D$21,MATCH(B197,Config!$A$12:$A$21,0)),Config!$B$23))</f>
        <v/>
      </c>
      <c r="I197" s="23">
        <f>IF(A197="","",MONTH(A197))</f>
        <v/>
      </c>
      <c r="J197" s="23">
        <f>IF(A197="","",YEAR(A197))</f>
        <v/>
      </c>
    </row>
    <row r="198">
      <c r="A198" s="47" t="n">
        <v>46266</v>
      </c>
      <c r="B198" s="40" t="inlineStr">
        <is>
          <t>Marina Ferraz</t>
        </is>
      </c>
      <c r="C198" s="39" t="inlineStr">
        <is>
          <t>6258696-95.2026.8.26.0598</t>
        </is>
      </c>
      <c r="D198" s="39" t="inlineStr">
        <is>
          <t>Diligência externa</t>
        </is>
      </c>
      <c r="E198" s="46" t="n">
        <v>4.5</v>
      </c>
      <c r="F198" s="40" t="inlineStr">
        <is>
          <t>Sim</t>
        </is>
      </c>
      <c r="G198" s="24">
        <f>IF(C198="","",IFERROR(INDEX(Casos!$B$5:$B$204,MATCH(C198,Casos!$A$5:$A$204,0)),""))</f>
        <v/>
      </c>
      <c r="H198" s="29">
        <f>IF(OR(B198="",E198=""),"",E198*IFERROR(INDEX(Config!$D$12:$D$21,MATCH(B198,Config!$A$12:$A$21,0)),Config!$B$23))</f>
        <v/>
      </c>
      <c r="I198" s="23">
        <f>IF(A198="","",MONTH(A198))</f>
        <v/>
      </c>
      <c r="J198" s="23">
        <f>IF(A198="","",YEAR(A198))</f>
        <v/>
      </c>
    </row>
    <row r="199">
      <c r="A199" s="47" t="n">
        <v>46266</v>
      </c>
      <c r="B199" s="40" t="inlineStr">
        <is>
          <t>Marina Ferraz</t>
        </is>
      </c>
      <c r="C199" s="39" t="inlineStr">
        <is>
          <t>5297049-18.2026.8.26.0015</t>
        </is>
      </c>
      <c r="D199" s="39" t="inlineStr">
        <is>
          <t>Análise de documentos</t>
        </is>
      </c>
      <c r="E199" s="46" t="n">
        <v>3.5</v>
      </c>
      <c r="F199" s="40" t="inlineStr">
        <is>
          <t>Sim</t>
        </is>
      </c>
      <c r="G199" s="24">
        <f>IF(C199="","",IFERROR(INDEX(Casos!$B$5:$B$204,MATCH(C199,Casos!$A$5:$A$204,0)),""))</f>
        <v/>
      </c>
      <c r="H199" s="29">
        <f>IF(OR(B199="",E199=""),"",E199*IFERROR(INDEX(Config!$D$12:$D$21,MATCH(B199,Config!$A$12:$A$21,0)),Config!$B$23))</f>
        <v/>
      </c>
      <c r="I199" s="23">
        <f>IF(A199="","",MONTH(A199))</f>
        <v/>
      </c>
      <c r="J199" s="23">
        <f>IF(A199="","",YEAR(A199))</f>
        <v/>
      </c>
    </row>
    <row r="200">
      <c r="A200" s="47" t="n">
        <v>46266</v>
      </c>
      <c r="B200" s="40" t="inlineStr">
        <is>
          <t>Marina Ferraz</t>
        </is>
      </c>
      <c r="C200" s="39" t="inlineStr">
        <is>
          <t>6877173-50.2026.8.26.0467</t>
        </is>
      </c>
      <c r="D200" s="39" t="inlineStr">
        <is>
          <t>Audiência</t>
        </is>
      </c>
      <c r="E200" s="46" t="n">
        <v>4</v>
      </c>
      <c r="F200" s="40" t="inlineStr">
        <is>
          <t>Sim</t>
        </is>
      </c>
      <c r="G200" s="24">
        <f>IF(C200="","",IFERROR(INDEX(Casos!$B$5:$B$204,MATCH(C200,Casos!$A$5:$A$204,0)),""))</f>
        <v/>
      </c>
      <c r="H200" s="29">
        <f>IF(OR(B200="",E200=""),"",E200*IFERROR(INDEX(Config!$D$12:$D$21,MATCH(B200,Config!$A$12:$A$21,0)),Config!$B$23))</f>
        <v/>
      </c>
      <c r="I200" s="23">
        <f>IF(A200="","",MONTH(A200))</f>
        <v/>
      </c>
      <c r="J200" s="23">
        <f>IF(A200="","",YEAR(A200))</f>
        <v/>
      </c>
    </row>
    <row r="201">
      <c r="A201" s="47" t="n">
        <v>46266</v>
      </c>
      <c r="B201" s="40" t="inlineStr">
        <is>
          <t>Marina Ferraz</t>
        </is>
      </c>
      <c r="C201" s="39" t="inlineStr">
        <is>
          <t>6877173-50.2026.8.26.0467</t>
        </is>
      </c>
      <c r="D201" s="39" t="inlineStr">
        <is>
          <t>Audiência</t>
        </is>
      </c>
      <c r="E201" s="46" t="n">
        <v>3.5</v>
      </c>
      <c r="F201" s="40" t="inlineStr">
        <is>
          <t>Sim</t>
        </is>
      </c>
      <c r="G201" s="24">
        <f>IF(C201="","",IFERROR(INDEX(Casos!$B$5:$B$204,MATCH(C201,Casos!$A$5:$A$204,0)),""))</f>
        <v/>
      </c>
      <c r="H201" s="29">
        <f>IF(OR(B201="",E201=""),"",E201*IFERROR(INDEX(Config!$D$12:$D$21,MATCH(B201,Config!$A$12:$A$21,0)),Config!$B$23))</f>
        <v/>
      </c>
      <c r="I201" s="23">
        <f>IF(A201="","",MONTH(A201))</f>
        <v/>
      </c>
      <c r="J201" s="23">
        <f>IF(A201="","",YEAR(A201))</f>
        <v/>
      </c>
    </row>
    <row r="202">
      <c r="A202" s="47" t="n">
        <v>46266</v>
      </c>
      <c r="B202" s="40" t="inlineStr">
        <is>
          <t>Rafael Lima</t>
        </is>
      </c>
      <c r="C202" s="39" t="inlineStr">
        <is>
          <t>2650441-66.2026.8.26.0528</t>
        </is>
      </c>
      <c r="D202" s="39" t="inlineStr">
        <is>
          <t>Atendimento por telefone ou WhatsApp</t>
        </is>
      </c>
      <c r="E202" s="46" t="n">
        <v>3</v>
      </c>
      <c r="F202" s="40" t="inlineStr">
        <is>
          <t>Sim</t>
        </is>
      </c>
      <c r="G202" s="24">
        <f>IF(C202="","",IFERROR(INDEX(Casos!$B$5:$B$204,MATCH(C202,Casos!$A$5:$A$204,0)),""))</f>
        <v/>
      </c>
      <c r="H202" s="29">
        <f>IF(OR(B202="",E202=""),"",E202*IFERROR(INDEX(Config!$D$12:$D$21,MATCH(B202,Config!$A$12:$A$21,0)),Config!$B$23))</f>
        <v/>
      </c>
      <c r="I202" s="23">
        <f>IF(A202="","",MONTH(A202))</f>
        <v/>
      </c>
      <c r="J202" s="23">
        <f>IF(A202="","",YEAR(A202))</f>
        <v/>
      </c>
    </row>
    <row r="203">
      <c r="A203" s="47" t="n">
        <v>46266</v>
      </c>
      <c r="B203" s="40" t="inlineStr">
        <is>
          <t>Rafael Lima</t>
        </is>
      </c>
      <c r="C203" s="39" t="inlineStr">
        <is>
          <t>1941959-24.2026.8.26.0167</t>
        </is>
      </c>
      <c r="D203" s="39" t="inlineStr">
        <is>
          <t>Pesquisa e estudo do caso</t>
        </is>
      </c>
      <c r="E203" s="46" t="n">
        <v>2.5</v>
      </c>
      <c r="F203" s="40" t="inlineStr">
        <is>
          <t>Sim</t>
        </is>
      </c>
      <c r="G203" s="24">
        <f>IF(C203="","",IFERROR(INDEX(Casos!$B$5:$B$204,MATCH(C203,Casos!$A$5:$A$204,0)),""))</f>
        <v/>
      </c>
      <c r="H203" s="29">
        <f>IF(OR(B203="",E203=""),"",E203*IFERROR(INDEX(Config!$D$12:$D$21,MATCH(B203,Config!$A$12:$A$21,0)),Config!$B$23))</f>
        <v/>
      </c>
      <c r="I203" s="23">
        <f>IF(A203="","",MONTH(A203))</f>
        <v/>
      </c>
      <c r="J203" s="23">
        <f>IF(A203="","",YEAR(A203))</f>
        <v/>
      </c>
    </row>
    <row r="204">
      <c r="A204" s="47" t="n">
        <v>46267</v>
      </c>
      <c r="B204" s="40" t="inlineStr">
        <is>
          <t>Júlia Prado</t>
        </is>
      </c>
      <c r="C204" s="39" t="inlineStr">
        <is>
          <t>9236009-85.2026.8.26.0452</t>
        </is>
      </c>
      <c r="D204" s="39" t="inlineStr">
        <is>
          <t>Atendimento por telefone ou WhatsApp</t>
        </is>
      </c>
      <c r="E204" s="46" t="n">
        <v>4</v>
      </c>
      <c r="F204" s="40" t="inlineStr">
        <is>
          <t>Sim</t>
        </is>
      </c>
      <c r="G204" s="24">
        <f>IF(C204="","",IFERROR(INDEX(Casos!$B$5:$B$204,MATCH(C204,Casos!$A$5:$A$204,0)),""))</f>
        <v/>
      </c>
      <c r="H204" s="29">
        <f>IF(OR(B204="",E204=""),"",E204*IFERROR(INDEX(Config!$D$12:$D$21,MATCH(B204,Config!$A$12:$A$21,0)),Config!$B$23))</f>
        <v/>
      </c>
      <c r="I204" s="23">
        <f>IF(A204="","",MONTH(A204))</f>
        <v/>
      </c>
      <c r="J204" s="23">
        <f>IF(A204="","",YEAR(A204))</f>
        <v/>
      </c>
    </row>
    <row r="205">
      <c r="A205" s="47" t="n">
        <v>46267</v>
      </c>
      <c r="B205" s="40" t="inlineStr">
        <is>
          <t>Júlia Prado</t>
        </is>
      </c>
      <c r="C205" s="39" t="inlineStr">
        <is>
          <t>9225646-96.2026.8.26.0322</t>
        </is>
      </c>
      <c r="D205" s="39" t="inlineStr">
        <is>
          <t>Audiência</t>
        </is>
      </c>
      <c r="E205" s="46" t="n">
        <v>4.5</v>
      </c>
      <c r="F205" s="40" t="inlineStr">
        <is>
          <t>Sim</t>
        </is>
      </c>
      <c r="G205" s="24">
        <f>IF(C205="","",IFERROR(INDEX(Casos!$B$5:$B$204,MATCH(C205,Casos!$A$5:$A$204,0)),""))</f>
        <v/>
      </c>
      <c r="H205" s="29">
        <f>IF(OR(B205="",E205=""),"",E205*IFERROR(INDEX(Config!$D$12:$D$21,MATCH(B205,Config!$A$12:$A$21,0)),Config!$B$23))</f>
        <v/>
      </c>
      <c r="I205" s="23">
        <f>IF(A205="","",MONTH(A205))</f>
        <v/>
      </c>
      <c r="J205" s="23">
        <f>IF(A205="","",YEAR(A205))</f>
        <v/>
      </c>
    </row>
    <row r="206">
      <c r="A206" s="47" t="n">
        <v>46267</v>
      </c>
      <c r="B206" s="40" t="inlineStr">
        <is>
          <t>Júlia Prado</t>
        </is>
      </c>
      <c r="C206" s="39" t="inlineStr">
        <is>
          <t>6258696-95.2026.8.26.0598</t>
        </is>
      </c>
      <c r="D206" s="39" t="inlineStr">
        <is>
          <t>Atendimento por telefone ou WhatsApp</t>
        </is>
      </c>
      <c r="E206" s="46" t="n">
        <v>0.5</v>
      </c>
      <c r="F206" s="40" t="inlineStr">
        <is>
          <t>Sim</t>
        </is>
      </c>
      <c r="G206" s="24">
        <f>IF(C206="","",IFERROR(INDEX(Casos!$B$5:$B$204,MATCH(C206,Casos!$A$5:$A$204,0)),""))</f>
        <v/>
      </c>
      <c r="H206" s="29">
        <f>IF(OR(B206="",E206=""),"",E206*IFERROR(INDEX(Config!$D$12:$D$21,MATCH(B206,Config!$A$12:$A$21,0)),Config!$B$23))</f>
        <v/>
      </c>
      <c r="I206" s="23">
        <f>IF(A206="","",MONTH(A206))</f>
        <v/>
      </c>
      <c r="J206" s="23">
        <f>IF(A206="","",YEAR(A206))</f>
        <v/>
      </c>
    </row>
    <row r="207">
      <c r="A207" s="47" t="n">
        <v>46267</v>
      </c>
      <c r="B207" s="40" t="inlineStr">
        <is>
          <t>Júlia Prado</t>
        </is>
      </c>
      <c r="C207" s="39" t="inlineStr">
        <is>
          <t>5297049-18.2026.8.26.0015</t>
        </is>
      </c>
      <c r="D207" s="39" t="inlineStr">
        <is>
          <t>Deslocamento</t>
        </is>
      </c>
      <c r="E207" s="46" t="n">
        <v>3</v>
      </c>
      <c r="F207" s="40" t="inlineStr">
        <is>
          <t>Não</t>
        </is>
      </c>
      <c r="G207" s="24">
        <f>IF(C207="","",IFERROR(INDEX(Casos!$B$5:$B$204,MATCH(C207,Casos!$A$5:$A$204,0)),""))</f>
        <v/>
      </c>
      <c r="H207" s="29">
        <f>IF(OR(B207="",E207=""),"",E207*IFERROR(INDEX(Config!$D$12:$D$21,MATCH(B207,Config!$A$12:$A$21,0)),Config!$B$23))</f>
        <v/>
      </c>
      <c r="I207" s="23">
        <f>IF(A207="","",MONTH(A207))</f>
        <v/>
      </c>
      <c r="J207" s="23">
        <f>IF(A207="","",YEAR(A207))</f>
        <v/>
      </c>
    </row>
    <row r="208">
      <c r="A208" s="47" t="n">
        <v>46267</v>
      </c>
      <c r="B208" s="40" t="inlineStr">
        <is>
          <t>Júlia Prado</t>
        </is>
      </c>
      <c r="C208" s="39" t="inlineStr">
        <is>
          <t>9778303-99.2026.8.26.0419</t>
        </is>
      </c>
      <c r="D208" s="39" t="inlineStr">
        <is>
          <t>Atendimento por telefone ou WhatsApp</t>
        </is>
      </c>
      <c r="E208" s="46" t="n">
        <v>3.5</v>
      </c>
      <c r="F208" s="40" t="inlineStr">
        <is>
          <t>Sim</t>
        </is>
      </c>
      <c r="G208" s="24">
        <f>IF(C208="","",IFERROR(INDEX(Casos!$B$5:$B$204,MATCH(C208,Casos!$A$5:$A$204,0)),""))</f>
        <v/>
      </c>
      <c r="H208" s="29">
        <f>IF(OR(B208="",E208=""),"",E208*IFERROR(INDEX(Config!$D$12:$D$21,MATCH(B208,Config!$A$12:$A$21,0)),Config!$B$23))</f>
        <v/>
      </c>
      <c r="I208" s="23">
        <f>IF(A208="","",MONTH(A208))</f>
        <v/>
      </c>
      <c r="J208" s="23">
        <f>IF(A208="","",YEAR(A208))</f>
        <v/>
      </c>
    </row>
    <row r="209">
      <c r="A209" s="47" t="n">
        <v>46267</v>
      </c>
      <c r="B209" s="40" t="inlineStr">
        <is>
          <t>Marina Ferraz</t>
        </is>
      </c>
      <c r="C209" s="39" t="inlineStr">
        <is>
          <t>9778303-99.2026.8.26.0419</t>
        </is>
      </c>
      <c r="D209" s="39" t="inlineStr">
        <is>
          <t>Diligência externa</t>
        </is>
      </c>
      <c r="E209" s="46" t="n">
        <v>4</v>
      </c>
      <c r="F209" s="40" t="inlineStr">
        <is>
          <t>Sim</t>
        </is>
      </c>
      <c r="G209" s="24">
        <f>IF(C209="","",IFERROR(INDEX(Casos!$B$5:$B$204,MATCH(C209,Casos!$A$5:$A$204,0)),""))</f>
        <v/>
      </c>
      <c r="H209" s="29">
        <f>IF(OR(B209="",E209=""),"",E209*IFERROR(INDEX(Config!$D$12:$D$21,MATCH(B209,Config!$A$12:$A$21,0)),Config!$B$23))</f>
        <v/>
      </c>
      <c r="I209" s="23">
        <f>IF(A209="","",MONTH(A209))</f>
        <v/>
      </c>
      <c r="J209" s="23">
        <f>IF(A209="","",YEAR(A209))</f>
        <v/>
      </c>
    </row>
    <row r="210">
      <c r="A210" s="47" t="n">
        <v>46267</v>
      </c>
      <c r="B210" s="40" t="inlineStr">
        <is>
          <t>Marina Ferraz</t>
        </is>
      </c>
      <c r="C210" s="39" t="inlineStr">
        <is>
          <t>Captação e propostas</t>
        </is>
      </c>
      <c r="D210" s="39" t="inlineStr">
        <is>
          <t>Captação e propostas</t>
        </is>
      </c>
      <c r="E210" s="46" t="n">
        <v>1.5</v>
      </c>
      <c r="F210" s="40" t="inlineStr">
        <is>
          <t>Não</t>
        </is>
      </c>
      <c r="G210" s="24">
        <f>IF(C210="","",IFERROR(INDEX(Casos!$B$5:$B$204,MATCH(C210,Casos!$A$5:$A$204,0)),""))</f>
        <v/>
      </c>
      <c r="H210" s="29">
        <f>IF(OR(B210="",E210=""),"",E210*IFERROR(INDEX(Config!$D$12:$D$21,MATCH(B210,Config!$A$12:$A$21,0)),Config!$B$23))</f>
        <v/>
      </c>
      <c r="I210" s="23">
        <f>IF(A210="","",MONTH(A210))</f>
        <v/>
      </c>
      <c r="J210" s="23">
        <f>IF(A210="","",YEAR(A210))</f>
        <v/>
      </c>
    </row>
    <row r="211">
      <c r="A211" s="47" t="n">
        <v>46267</v>
      </c>
      <c r="B211" s="40" t="inlineStr">
        <is>
          <t>Rafael Lima</t>
        </is>
      </c>
      <c r="C211" s="39" t="inlineStr">
        <is>
          <t>1941959-24.2026.8.26.0167</t>
        </is>
      </c>
      <c r="D211" s="39" t="inlineStr">
        <is>
          <t>Administrativo do caso</t>
        </is>
      </c>
      <c r="E211" s="46" t="n">
        <v>4.5</v>
      </c>
      <c r="F211" s="40" t="inlineStr">
        <is>
          <t>Sim</t>
        </is>
      </c>
      <c r="G211" s="24">
        <f>IF(C211="","",IFERROR(INDEX(Casos!$B$5:$B$204,MATCH(C211,Casos!$A$5:$A$204,0)),""))</f>
        <v/>
      </c>
      <c r="H211" s="29">
        <f>IF(OR(B211="",E211=""),"",E211*IFERROR(INDEX(Config!$D$12:$D$21,MATCH(B211,Config!$A$12:$A$21,0)),Config!$B$23))</f>
        <v/>
      </c>
      <c r="I211" s="23">
        <f>IF(A211="","",MONTH(A211))</f>
        <v/>
      </c>
      <c r="J211" s="23">
        <f>IF(A211="","",YEAR(A211))</f>
        <v/>
      </c>
    </row>
    <row r="212">
      <c r="A212" s="47" t="n">
        <v>46267</v>
      </c>
      <c r="B212" s="40" t="inlineStr">
        <is>
          <t>Rafael Lima</t>
        </is>
      </c>
      <c r="C212" s="39" t="inlineStr">
        <is>
          <t>1941959-24.2026.8.26.0167</t>
        </is>
      </c>
      <c r="D212" s="39" t="inlineStr">
        <is>
          <t>Atendimento por telefone ou WhatsApp</t>
        </is>
      </c>
      <c r="E212" s="46" t="n">
        <v>2.5</v>
      </c>
      <c r="F212" s="40" t="inlineStr">
        <is>
          <t>Sim</t>
        </is>
      </c>
      <c r="G212" s="24">
        <f>IF(C212="","",IFERROR(INDEX(Casos!$B$5:$B$204,MATCH(C212,Casos!$A$5:$A$204,0)),""))</f>
        <v/>
      </c>
      <c r="H212" s="29">
        <f>IF(OR(B212="",E212=""),"",E212*IFERROR(INDEX(Config!$D$12:$D$21,MATCH(B212,Config!$A$12:$A$21,0)),Config!$B$23))</f>
        <v/>
      </c>
      <c r="I212" s="23">
        <f>IF(A212="","",MONTH(A212))</f>
        <v/>
      </c>
      <c r="J212" s="23">
        <f>IF(A212="","",YEAR(A212))</f>
        <v/>
      </c>
    </row>
    <row r="213">
      <c r="A213" s="47" t="n">
        <v>46267</v>
      </c>
      <c r="B213" s="40" t="inlineStr">
        <is>
          <t>Rafael Lima</t>
        </is>
      </c>
      <c r="C213" s="39" t="inlineStr">
        <is>
          <t>9778303-99.2026.8.26.0419</t>
        </is>
      </c>
      <c r="D213" s="39" t="inlineStr">
        <is>
          <t>Audiência</t>
        </is>
      </c>
      <c r="E213" s="46" t="n">
        <v>3</v>
      </c>
      <c r="F213" s="40" t="inlineStr">
        <is>
          <t>Sim</t>
        </is>
      </c>
      <c r="G213" s="24">
        <f>IF(C213="","",IFERROR(INDEX(Casos!$B$5:$B$204,MATCH(C213,Casos!$A$5:$A$204,0)),""))</f>
        <v/>
      </c>
      <c r="H213" s="29">
        <f>IF(OR(B213="",E213=""),"",E213*IFERROR(INDEX(Config!$D$12:$D$21,MATCH(B213,Config!$A$12:$A$21,0)),Config!$B$23))</f>
        <v/>
      </c>
      <c r="I213" s="23">
        <f>IF(A213="","",MONTH(A213))</f>
        <v/>
      </c>
      <c r="J213" s="23">
        <f>IF(A213="","",YEAR(A213))</f>
        <v/>
      </c>
    </row>
    <row r="214">
      <c r="A214" s="47" t="n">
        <v>46267</v>
      </c>
      <c r="B214" s="40" t="inlineStr">
        <is>
          <t>Rafael Lima</t>
        </is>
      </c>
      <c r="C214" s="39" t="inlineStr">
        <is>
          <t>Gestão do escritório</t>
        </is>
      </c>
      <c r="D214" s="39" t="inlineStr">
        <is>
          <t>Gestão do escritório</t>
        </is>
      </c>
      <c r="E214" s="46" t="n">
        <v>2</v>
      </c>
      <c r="F214" s="40" t="inlineStr">
        <is>
          <t>Não</t>
        </is>
      </c>
      <c r="G214" s="24">
        <f>IF(C214="","",IFERROR(INDEX(Casos!$B$5:$B$204,MATCH(C214,Casos!$A$5:$A$204,0)),""))</f>
        <v/>
      </c>
      <c r="H214" s="29">
        <f>IF(OR(B214="",E214=""),"",E214*IFERROR(INDEX(Config!$D$12:$D$21,MATCH(B214,Config!$A$12:$A$21,0)),Config!$B$23))</f>
        <v/>
      </c>
      <c r="I214" s="23">
        <f>IF(A214="","",MONTH(A214))</f>
        <v/>
      </c>
      <c r="J214" s="23">
        <f>IF(A214="","",YEAR(A214))</f>
        <v/>
      </c>
    </row>
    <row r="215">
      <c r="A215" s="47" t="n">
        <v>46268</v>
      </c>
      <c r="B215" s="40" t="inlineStr">
        <is>
          <t>Marina Ferraz</t>
        </is>
      </c>
      <c r="C215" s="39" t="inlineStr">
        <is>
          <t>9778303-99.2026.8.26.0419</t>
        </is>
      </c>
      <c r="D215" s="39" t="inlineStr">
        <is>
          <t>Audiência</t>
        </is>
      </c>
      <c r="E215" s="46" t="n">
        <v>2.5</v>
      </c>
      <c r="F215" s="40" t="inlineStr">
        <is>
          <t>Sim</t>
        </is>
      </c>
      <c r="G215" s="24">
        <f>IF(C215="","",IFERROR(INDEX(Casos!$B$5:$B$204,MATCH(C215,Casos!$A$5:$A$204,0)),""))</f>
        <v/>
      </c>
      <c r="H215" s="29">
        <f>IF(OR(B215="",E215=""),"",E215*IFERROR(INDEX(Config!$D$12:$D$21,MATCH(B215,Config!$A$12:$A$21,0)),Config!$B$23))</f>
        <v/>
      </c>
      <c r="I215" s="23">
        <f>IF(A215="","",MONTH(A215))</f>
        <v/>
      </c>
      <c r="J215" s="23">
        <f>IF(A215="","",YEAR(A215))</f>
        <v/>
      </c>
    </row>
    <row r="216">
      <c r="A216" s="47" t="n">
        <v>46268</v>
      </c>
      <c r="B216" s="40" t="inlineStr">
        <is>
          <t>Rafael Lima</t>
        </is>
      </c>
      <c r="C216" s="39" t="inlineStr">
        <is>
          <t>Captação e propostas</t>
        </is>
      </c>
      <c r="D216" s="39" t="inlineStr">
        <is>
          <t>Captação e propostas</t>
        </is>
      </c>
      <c r="E216" s="46" t="n">
        <v>1.5</v>
      </c>
      <c r="F216" s="40" t="inlineStr">
        <is>
          <t>Não</t>
        </is>
      </c>
      <c r="G216" s="24">
        <f>IF(C216="","",IFERROR(INDEX(Casos!$B$5:$B$204,MATCH(C216,Casos!$A$5:$A$204,0)),""))</f>
        <v/>
      </c>
      <c r="H216" s="29">
        <f>IF(OR(B216="",E216=""),"",E216*IFERROR(INDEX(Config!$D$12:$D$21,MATCH(B216,Config!$A$12:$A$21,0)),Config!$B$23))</f>
        <v/>
      </c>
      <c r="I216" s="23">
        <f>IF(A216="","",MONTH(A216))</f>
        <v/>
      </c>
      <c r="J216" s="23">
        <f>IF(A216="","",YEAR(A216))</f>
        <v/>
      </c>
    </row>
    <row r="217">
      <c r="A217" s="47" t="n">
        <v>46269</v>
      </c>
      <c r="B217" s="40" t="inlineStr">
        <is>
          <t>Júlia Prado</t>
        </is>
      </c>
      <c r="C217" s="39" t="inlineStr">
        <is>
          <t>Gestão do escritório</t>
        </is>
      </c>
      <c r="D217" s="39" t="inlineStr">
        <is>
          <t>Gestão do escritório</t>
        </is>
      </c>
      <c r="E217" s="46" t="n">
        <v>2.5</v>
      </c>
      <c r="F217" s="40" t="inlineStr">
        <is>
          <t>Não</t>
        </is>
      </c>
      <c r="G217" s="24">
        <f>IF(C217="","",IFERROR(INDEX(Casos!$B$5:$B$204,MATCH(C217,Casos!$A$5:$A$204,0)),""))</f>
        <v/>
      </c>
      <c r="H217" s="29">
        <f>IF(OR(B217="",E217=""),"",E217*IFERROR(INDEX(Config!$D$12:$D$21,MATCH(B217,Config!$A$12:$A$21,0)),Config!$B$23))</f>
        <v/>
      </c>
      <c r="I217" s="23">
        <f>IF(A217="","",MONTH(A217))</f>
        <v/>
      </c>
      <c r="J217" s="23">
        <f>IF(A217="","",YEAR(A217))</f>
        <v/>
      </c>
    </row>
    <row r="218">
      <c r="A218" s="47" t="n">
        <v>46269</v>
      </c>
      <c r="B218" s="40" t="inlineStr">
        <is>
          <t>Marina Ferraz</t>
        </is>
      </c>
      <c r="C218" s="39" t="inlineStr">
        <is>
          <t>8986364-51.2026.8.26.0700</t>
        </is>
      </c>
      <c r="D218" s="39" t="inlineStr">
        <is>
          <t>Atendimento por telefone ou WhatsApp</t>
        </is>
      </c>
      <c r="E218" s="46" t="n">
        <v>2.5</v>
      </c>
      <c r="F218" s="40" t="inlineStr">
        <is>
          <t>Sim</t>
        </is>
      </c>
      <c r="G218" s="24">
        <f>IF(C218="","",IFERROR(INDEX(Casos!$B$5:$B$204,MATCH(C218,Casos!$A$5:$A$204,0)),""))</f>
        <v/>
      </c>
      <c r="H218" s="29">
        <f>IF(OR(B218="",E218=""),"",E218*IFERROR(INDEX(Config!$D$12:$D$21,MATCH(B218,Config!$A$12:$A$21,0)),Config!$B$23))</f>
        <v/>
      </c>
      <c r="I218" s="23">
        <f>IF(A218="","",MONTH(A218))</f>
        <v/>
      </c>
      <c r="J218" s="23">
        <f>IF(A218="","",YEAR(A218))</f>
        <v/>
      </c>
    </row>
    <row r="219">
      <c r="A219" s="47" t="n">
        <v>46269</v>
      </c>
      <c r="B219" s="40" t="inlineStr">
        <is>
          <t>Marina Ferraz</t>
        </is>
      </c>
      <c r="C219" s="39" t="inlineStr">
        <is>
          <t>9717671-36.2026.8.26.0445</t>
        </is>
      </c>
      <c r="D219" s="39" t="inlineStr">
        <is>
          <t>Análise de documentos</t>
        </is>
      </c>
      <c r="E219" s="46" t="n">
        <v>4</v>
      </c>
      <c r="F219" s="40" t="inlineStr">
        <is>
          <t>Sim</t>
        </is>
      </c>
      <c r="G219" s="24">
        <f>IF(C219="","",IFERROR(INDEX(Casos!$B$5:$B$204,MATCH(C219,Casos!$A$5:$A$204,0)),""))</f>
        <v/>
      </c>
      <c r="H219" s="29">
        <f>IF(OR(B219="",E219=""),"",E219*IFERROR(INDEX(Config!$D$12:$D$21,MATCH(B219,Config!$A$12:$A$21,0)),Config!$B$23))</f>
        <v/>
      </c>
      <c r="I219" s="23">
        <f>IF(A219="","",MONTH(A219))</f>
        <v/>
      </c>
      <c r="J219" s="23">
        <f>IF(A219="","",YEAR(A219))</f>
        <v/>
      </c>
    </row>
    <row r="220">
      <c r="A220" s="47" t="n">
        <v>46269</v>
      </c>
      <c r="B220" s="40" t="inlineStr">
        <is>
          <t>Marina Ferraz</t>
        </is>
      </c>
      <c r="C220" s="39" t="inlineStr">
        <is>
          <t>9778303-99.2026.8.26.0419</t>
        </is>
      </c>
      <c r="D220" s="39" t="inlineStr">
        <is>
          <t>Pesquisa e estudo do caso</t>
        </is>
      </c>
      <c r="E220" s="46" t="n">
        <v>2</v>
      </c>
      <c r="F220" s="40" t="inlineStr">
        <is>
          <t>Sim</t>
        </is>
      </c>
      <c r="G220" s="24">
        <f>IF(C220="","",IFERROR(INDEX(Casos!$B$5:$B$204,MATCH(C220,Casos!$A$5:$A$204,0)),""))</f>
        <v/>
      </c>
      <c r="H220" s="29">
        <f>IF(OR(B220="",E220=""),"",E220*IFERROR(INDEX(Config!$D$12:$D$21,MATCH(B220,Config!$A$12:$A$21,0)),Config!$B$23))</f>
        <v/>
      </c>
      <c r="I220" s="23">
        <f>IF(A220="","",MONTH(A220))</f>
        <v/>
      </c>
      <c r="J220" s="23">
        <f>IF(A220="","",YEAR(A220))</f>
        <v/>
      </c>
    </row>
    <row r="221">
      <c r="A221" s="47" t="n">
        <v>46269</v>
      </c>
      <c r="B221" s="40" t="inlineStr">
        <is>
          <t>Marina Ferraz</t>
        </is>
      </c>
      <c r="C221" s="39" t="inlineStr">
        <is>
          <t>Gestão do escritório</t>
        </is>
      </c>
      <c r="D221" s="39" t="inlineStr">
        <is>
          <t>Gestão do escritório</t>
        </is>
      </c>
      <c r="E221" s="46" t="n">
        <v>2.5</v>
      </c>
      <c r="F221" s="40" t="inlineStr">
        <is>
          <t>Não</t>
        </is>
      </c>
      <c r="G221" s="24">
        <f>IF(C221="","",IFERROR(INDEX(Casos!$B$5:$B$204,MATCH(C221,Casos!$A$5:$A$204,0)),""))</f>
        <v/>
      </c>
      <c r="H221" s="29">
        <f>IF(OR(B221="",E221=""),"",E221*IFERROR(INDEX(Config!$D$12:$D$21,MATCH(B221,Config!$A$12:$A$21,0)),Config!$B$23))</f>
        <v/>
      </c>
      <c r="I221" s="23">
        <f>IF(A221="","",MONTH(A221))</f>
        <v/>
      </c>
      <c r="J221" s="23">
        <f>IF(A221="","",YEAR(A221))</f>
        <v/>
      </c>
    </row>
    <row r="222">
      <c r="A222" s="47" t="n">
        <v>46272</v>
      </c>
      <c r="B222" s="40" t="inlineStr">
        <is>
          <t>Marina Ferraz</t>
        </is>
      </c>
      <c r="C222" s="39" t="inlineStr">
        <is>
          <t>5297049-18.2026.8.26.0015</t>
        </is>
      </c>
      <c r="D222" s="39" t="inlineStr">
        <is>
          <t>Deslocamento</t>
        </is>
      </c>
      <c r="E222" s="46" t="n">
        <v>3</v>
      </c>
      <c r="F222" s="40" t="inlineStr">
        <is>
          <t>Não</t>
        </is>
      </c>
      <c r="G222" s="24">
        <f>IF(C222="","",IFERROR(INDEX(Casos!$B$5:$B$204,MATCH(C222,Casos!$A$5:$A$204,0)),""))</f>
        <v/>
      </c>
      <c r="H222" s="29">
        <f>IF(OR(B222="",E222=""),"",E222*IFERROR(INDEX(Config!$D$12:$D$21,MATCH(B222,Config!$A$12:$A$21,0)),Config!$B$23))</f>
        <v/>
      </c>
      <c r="I222" s="23">
        <f>IF(A222="","",MONTH(A222))</f>
        <v/>
      </c>
      <c r="J222" s="23">
        <f>IF(A222="","",YEAR(A222))</f>
        <v/>
      </c>
    </row>
    <row r="223">
      <c r="A223" s="47" t="n">
        <v>46272</v>
      </c>
      <c r="B223" s="40" t="inlineStr">
        <is>
          <t>Marina Ferraz</t>
        </is>
      </c>
      <c r="C223" s="39" t="inlineStr">
        <is>
          <t>9778303-99.2026.8.26.0419</t>
        </is>
      </c>
      <c r="D223" s="39" t="inlineStr">
        <is>
          <t>Atendimento por telefone ou WhatsApp</t>
        </is>
      </c>
      <c r="E223" s="46" t="n">
        <v>3.5</v>
      </c>
      <c r="F223" s="40" t="inlineStr">
        <is>
          <t>Sim</t>
        </is>
      </c>
      <c r="G223" s="24">
        <f>IF(C223="","",IFERROR(INDEX(Casos!$B$5:$B$204,MATCH(C223,Casos!$A$5:$A$204,0)),""))</f>
        <v/>
      </c>
      <c r="H223" s="29">
        <f>IF(OR(B223="",E223=""),"",E223*IFERROR(INDEX(Config!$D$12:$D$21,MATCH(B223,Config!$A$12:$A$21,0)),Config!$B$23))</f>
        <v/>
      </c>
      <c r="I223" s="23">
        <f>IF(A223="","",MONTH(A223))</f>
        <v/>
      </c>
      <c r="J223" s="23">
        <f>IF(A223="","",YEAR(A223))</f>
        <v/>
      </c>
    </row>
    <row r="224">
      <c r="A224" s="47" t="n">
        <v>46272</v>
      </c>
      <c r="B224" s="40" t="inlineStr">
        <is>
          <t>Marina Ferraz</t>
        </is>
      </c>
      <c r="C224" s="39" t="inlineStr">
        <is>
          <t>9778303-99.2026.8.26.0419</t>
        </is>
      </c>
      <c r="D224" s="39" t="inlineStr">
        <is>
          <t>Atendimento por telefone ou WhatsApp</t>
        </is>
      </c>
      <c r="E224" s="46" t="n">
        <v>2.5</v>
      </c>
      <c r="F224" s="40" t="inlineStr">
        <is>
          <t>Sim</t>
        </is>
      </c>
      <c r="G224" s="24">
        <f>IF(C224="","",IFERROR(INDEX(Casos!$B$5:$B$204,MATCH(C224,Casos!$A$5:$A$204,0)),""))</f>
        <v/>
      </c>
      <c r="H224" s="29">
        <f>IF(OR(B224="",E224=""),"",E224*IFERROR(INDEX(Config!$D$12:$D$21,MATCH(B224,Config!$A$12:$A$21,0)),Config!$B$23))</f>
        <v/>
      </c>
      <c r="I224" s="23">
        <f>IF(A224="","",MONTH(A224))</f>
        <v/>
      </c>
      <c r="J224" s="23">
        <f>IF(A224="","",YEAR(A224))</f>
        <v/>
      </c>
    </row>
    <row r="225">
      <c r="A225" s="47" t="n">
        <v>46272</v>
      </c>
      <c r="B225" s="40" t="inlineStr">
        <is>
          <t>Marina Ferraz</t>
        </is>
      </c>
      <c r="C225" s="39" t="inlineStr">
        <is>
          <t>Gestão do escritório</t>
        </is>
      </c>
      <c r="D225" s="39" t="inlineStr">
        <is>
          <t>Gestão do escritório</t>
        </is>
      </c>
      <c r="E225" s="46" t="n">
        <v>2</v>
      </c>
      <c r="F225" s="40" t="inlineStr">
        <is>
          <t>Não</t>
        </is>
      </c>
      <c r="G225" s="24">
        <f>IF(C225="","",IFERROR(INDEX(Casos!$B$5:$B$204,MATCH(C225,Casos!$A$5:$A$204,0)),""))</f>
        <v/>
      </c>
      <c r="H225" s="29">
        <f>IF(OR(B225="",E225=""),"",E225*IFERROR(INDEX(Config!$D$12:$D$21,MATCH(B225,Config!$A$12:$A$21,0)),Config!$B$23))</f>
        <v/>
      </c>
      <c r="I225" s="23">
        <f>IF(A225="","",MONTH(A225))</f>
        <v/>
      </c>
      <c r="J225" s="23">
        <f>IF(A225="","",YEAR(A225))</f>
        <v/>
      </c>
    </row>
    <row r="226">
      <c r="A226" s="47" t="n">
        <v>46272</v>
      </c>
      <c r="B226" s="40" t="inlineStr">
        <is>
          <t>Rafael Lima</t>
        </is>
      </c>
      <c r="C226" s="39" t="inlineStr">
        <is>
          <t>1808451-67.2026.8.26.0657</t>
        </is>
      </c>
      <c r="D226" s="39" t="inlineStr">
        <is>
          <t>Pesquisa e estudo do caso</t>
        </is>
      </c>
      <c r="E226" s="46" t="n">
        <v>4</v>
      </c>
      <c r="F226" s="40" t="inlineStr">
        <is>
          <t>Sim</t>
        </is>
      </c>
      <c r="G226" s="24">
        <f>IF(C226="","",IFERROR(INDEX(Casos!$B$5:$B$204,MATCH(C226,Casos!$A$5:$A$204,0)),""))</f>
        <v/>
      </c>
      <c r="H226" s="29">
        <f>IF(OR(B226="",E226=""),"",E226*IFERROR(INDEX(Config!$D$12:$D$21,MATCH(B226,Config!$A$12:$A$21,0)),Config!$B$23))</f>
        <v/>
      </c>
      <c r="I226" s="23">
        <f>IF(A226="","",MONTH(A226))</f>
        <v/>
      </c>
      <c r="J226" s="23">
        <f>IF(A226="","",YEAR(A226))</f>
        <v/>
      </c>
    </row>
    <row r="227">
      <c r="A227" s="47" t="n">
        <v>46272</v>
      </c>
      <c r="B227" s="40" t="inlineStr">
        <is>
          <t>Rafael Lima</t>
        </is>
      </c>
      <c r="C227" s="39" t="inlineStr">
        <is>
          <t>6877173-50.2026.8.26.0467</t>
        </is>
      </c>
      <c r="D227" s="39" t="inlineStr">
        <is>
          <t>Reunião com cliente</t>
        </is>
      </c>
      <c r="E227" s="46" t="n">
        <v>3</v>
      </c>
      <c r="F227" s="40" t="inlineStr">
        <is>
          <t>Sim</t>
        </is>
      </c>
      <c r="G227" s="24">
        <f>IF(C227="","",IFERROR(INDEX(Casos!$B$5:$B$204,MATCH(C227,Casos!$A$5:$A$204,0)),""))</f>
        <v/>
      </c>
      <c r="H227" s="29">
        <f>IF(OR(B227="",E227=""),"",E227*IFERROR(INDEX(Config!$D$12:$D$21,MATCH(B227,Config!$A$12:$A$21,0)),Config!$B$23))</f>
        <v/>
      </c>
      <c r="I227" s="23">
        <f>IF(A227="","",MONTH(A227))</f>
        <v/>
      </c>
      <c r="J227" s="23">
        <f>IF(A227="","",YEAR(A227))</f>
        <v/>
      </c>
    </row>
    <row r="228">
      <c r="A228" s="47" t="n">
        <v>46272</v>
      </c>
      <c r="B228" s="40" t="inlineStr">
        <is>
          <t>Rafael Lima</t>
        </is>
      </c>
      <c r="C228" s="39" t="inlineStr">
        <is>
          <t>1941959-24.2026.8.26.0167</t>
        </is>
      </c>
      <c r="D228" s="39" t="inlineStr">
        <is>
          <t>Reunião com cliente</t>
        </is>
      </c>
      <c r="E228" s="46" t="n">
        <v>3.5</v>
      </c>
      <c r="F228" s="40" t="inlineStr">
        <is>
          <t>Sim</t>
        </is>
      </c>
      <c r="G228" s="24">
        <f>IF(C228="","",IFERROR(INDEX(Casos!$B$5:$B$204,MATCH(C228,Casos!$A$5:$A$204,0)),""))</f>
        <v/>
      </c>
      <c r="H228" s="29">
        <f>IF(OR(B228="",E228=""),"",E228*IFERROR(INDEX(Config!$D$12:$D$21,MATCH(B228,Config!$A$12:$A$21,0)),Config!$B$23))</f>
        <v/>
      </c>
      <c r="I228" s="23">
        <f>IF(A228="","",MONTH(A228))</f>
        <v/>
      </c>
      <c r="J228" s="23">
        <f>IF(A228="","",YEAR(A228))</f>
        <v/>
      </c>
    </row>
    <row r="229">
      <c r="A229" s="47" t="n">
        <v>46272</v>
      </c>
      <c r="B229" s="40" t="inlineStr">
        <is>
          <t>Rafael Lima</t>
        </is>
      </c>
      <c r="C229" s="39" t="inlineStr">
        <is>
          <t>1941959-24.2026.8.26.0167</t>
        </is>
      </c>
      <c r="D229" s="39" t="inlineStr">
        <is>
          <t>Administrativo do caso</t>
        </is>
      </c>
      <c r="E229" s="46" t="n">
        <v>3</v>
      </c>
      <c r="F229" s="40" t="inlineStr">
        <is>
          <t>Não</t>
        </is>
      </c>
      <c r="G229" s="24">
        <f>IF(C229="","",IFERROR(INDEX(Casos!$B$5:$B$204,MATCH(C229,Casos!$A$5:$A$204,0)),""))</f>
        <v/>
      </c>
      <c r="H229" s="29">
        <f>IF(OR(B229="",E229=""),"",E229*IFERROR(INDEX(Config!$D$12:$D$21,MATCH(B229,Config!$A$12:$A$21,0)),Config!$B$23))</f>
        <v/>
      </c>
      <c r="I229" s="23">
        <f>IF(A229="","",MONTH(A229))</f>
        <v/>
      </c>
      <c r="J229" s="23">
        <f>IF(A229="","",YEAR(A229))</f>
        <v/>
      </c>
    </row>
    <row r="230">
      <c r="A230" s="47" t="n">
        <v>46272</v>
      </c>
      <c r="B230" s="40" t="inlineStr">
        <is>
          <t>Rafael Lima</t>
        </is>
      </c>
      <c r="C230" s="39" t="inlineStr">
        <is>
          <t>3118925-55.2025.8.26.0426</t>
        </is>
      </c>
      <c r="D230" s="39" t="inlineStr">
        <is>
          <t>Administrativo do caso</t>
        </is>
      </c>
      <c r="E230" s="46" t="n">
        <v>4.5</v>
      </c>
      <c r="F230" s="40" t="inlineStr">
        <is>
          <t>Sim</t>
        </is>
      </c>
      <c r="G230" s="24">
        <f>IF(C230="","",IFERROR(INDEX(Casos!$B$5:$B$204,MATCH(C230,Casos!$A$5:$A$204,0)),""))</f>
        <v/>
      </c>
      <c r="H230" s="29">
        <f>IF(OR(B230="",E230=""),"",E230*IFERROR(INDEX(Config!$D$12:$D$21,MATCH(B230,Config!$A$12:$A$21,0)),Config!$B$23))</f>
        <v/>
      </c>
      <c r="I230" s="23">
        <f>IF(A230="","",MONTH(A230))</f>
        <v/>
      </c>
      <c r="J230" s="23">
        <f>IF(A230="","",YEAR(A230))</f>
        <v/>
      </c>
    </row>
    <row r="231">
      <c r="A231" s="47" t="n">
        <v>46272</v>
      </c>
      <c r="B231" s="40" t="inlineStr">
        <is>
          <t>Rafael Lima</t>
        </is>
      </c>
      <c r="C231" s="39" t="inlineStr">
        <is>
          <t>Gestão do escritório</t>
        </is>
      </c>
      <c r="D231" s="39" t="inlineStr">
        <is>
          <t>Gestão do escritório</t>
        </is>
      </c>
      <c r="E231" s="46" t="n">
        <v>2.5</v>
      </c>
      <c r="F231" s="40" t="inlineStr">
        <is>
          <t>Não</t>
        </is>
      </c>
      <c r="G231" s="24">
        <f>IF(C231="","",IFERROR(INDEX(Casos!$B$5:$B$204,MATCH(C231,Casos!$A$5:$A$204,0)),""))</f>
        <v/>
      </c>
      <c r="H231" s="29">
        <f>IF(OR(B231="",E231=""),"",E231*IFERROR(INDEX(Config!$D$12:$D$21,MATCH(B231,Config!$A$12:$A$21,0)),Config!$B$23))</f>
        <v/>
      </c>
      <c r="I231" s="23">
        <f>IF(A231="","",MONTH(A231))</f>
        <v/>
      </c>
      <c r="J231" s="23">
        <f>IF(A231="","",YEAR(A231))</f>
        <v/>
      </c>
    </row>
    <row r="232">
      <c r="A232" s="47" t="n">
        <v>46273</v>
      </c>
      <c r="B232" s="40" t="inlineStr">
        <is>
          <t>Júlia Prado</t>
        </is>
      </c>
      <c r="C232" s="39" t="inlineStr">
        <is>
          <t>9778303-99.2026.8.26.0419</t>
        </is>
      </c>
      <c r="D232" s="39" t="inlineStr">
        <is>
          <t>Deslocamento</t>
        </is>
      </c>
      <c r="E232" s="46" t="n">
        <v>3.5</v>
      </c>
      <c r="F232" s="40" t="inlineStr">
        <is>
          <t>Não</t>
        </is>
      </c>
      <c r="G232" s="24">
        <f>IF(C232="","",IFERROR(INDEX(Casos!$B$5:$B$204,MATCH(C232,Casos!$A$5:$A$204,0)),""))</f>
        <v/>
      </c>
      <c r="H232" s="29">
        <f>IF(OR(B232="",E232=""),"",E232*IFERROR(INDEX(Config!$D$12:$D$21,MATCH(B232,Config!$A$12:$A$21,0)),Config!$B$23))</f>
        <v/>
      </c>
      <c r="I232" s="23">
        <f>IF(A232="","",MONTH(A232))</f>
        <v/>
      </c>
      <c r="J232" s="23">
        <f>IF(A232="","",YEAR(A232))</f>
        <v/>
      </c>
    </row>
    <row r="233">
      <c r="A233" s="47" t="n">
        <v>46273</v>
      </c>
      <c r="B233" s="40" t="inlineStr">
        <is>
          <t>Júlia Prado</t>
        </is>
      </c>
      <c r="C233" s="39" t="inlineStr">
        <is>
          <t>Gestão do escritório</t>
        </is>
      </c>
      <c r="D233" s="39" t="inlineStr">
        <is>
          <t>Gestão do escritório</t>
        </is>
      </c>
      <c r="E233" s="46" t="n">
        <v>2.5</v>
      </c>
      <c r="F233" s="40" t="inlineStr">
        <is>
          <t>Não</t>
        </is>
      </c>
      <c r="G233" s="24">
        <f>IF(C233="","",IFERROR(INDEX(Casos!$B$5:$B$204,MATCH(C233,Casos!$A$5:$A$204,0)),""))</f>
        <v/>
      </c>
      <c r="H233" s="29">
        <f>IF(OR(B233="",E233=""),"",E233*IFERROR(INDEX(Config!$D$12:$D$21,MATCH(B233,Config!$A$12:$A$21,0)),Config!$B$23))</f>
        <v/>
      </c>
      <c r="I233" s="23">
        <f>IF(A233="","",MONTH(A233))</f>
        <v/>
      </c>
      <c r="J233" s="23">
        <f>IF(A233="","",YEAR(A233))</f>
        <v/>
      </c>
    </row>
    <row r="234">
      <c r="A234" s="47" t="n">
        <v>46273</v>
      </c>
      <c r="B234" s="40" t="inlineStr">
        <is>
          <t>Marina Ferraz</t>
        </is>
      </c>
      <c r="C234" s="39" t="inlineStr">
        <is>
          <t>3003874-97.2026.8.26.0384</t>
        </is>
      </c>
      <c r="D234" s="39" t="inlineStr">
        <is>
          <t>Análise de documentos</t>
        </is>
      </c>
      <c r="E234" s="46" t="n">
        <v>1.5</v>
      </c>
      <c r="F234" s="40" t="inlineStr">
        <is>
          <t>Sim</t>
        </is>
      </c>
      <c r="G234" s="24">
        <f>IF(C234="","",IFERROR(INDEX(Casos!$B$5:$B$204,MATCH(C234,Casos!$A$5:$A$204,0)),""))</f>
        <v/>
      </c>
      <c r="H234" s="29">
        <f>IF(OR(B234="",E234=""),"",E234*IFERROR(INDEX(Config!$D$12:$D$21,MATCH(B234,Config!$A$12:$A$21,0)),Config!$B$23))</f>
        <v/>
      </c>
      <c r="I234" s="23">
        <f>IF(A234="","",MONTH(A234))</f>
        <v/>
      </c>
      <c r="J234" s="23">
        <f>IF(A234="","",YEAR(A234))</f>
        <v/>
      </c>
    </row>
    <row r="235">
      <c r="A235" s="47" t="n">
        <v>46273</v>
      </c>
      <c r="B235" s="40" t="inlineStr">
        <is>
          <t>Marina Ferraz</t>
        </is>
      </c>
      <c r="C235" s="39" t="inlineStr">
        <is>
          <t>9778303-99.2026.8.26.0419</t>
        </is>
      </c>
      <c r="D235" s="39" t="inlineStr">
        <is>
          <t>Atendimento por telefone ou WhatsApp</t>
        </is>
      </c>
      <c r="E235" s="46" t="n">
        <v>3.5</v>
      </c>
      <c r="F235" s="40" t="inlineStr">
        <is>
          <t>Sim</t>
        </is>
      </c>
      <c r="G235" s="24">
        <f>IF(C235="","",IFERROR(INDEX(Casos!$B$5:$B$204,MATCH(C235,Casos!$A$5:$A$204,0)),""))</f>
        <v/>
      </c>
      <c r="H235" s="29">
        <f>IF(OR(B235="",E235=""),"",E235*IFERROR(INDEX(Config!$D$12:$D$21,MATCH(B235,Config!$A$12:$A$21,0)),Config!$B$23))</f>
        <v/>
      </c>
      <c r="I235" s="23">
        <f>IF(A235="","",MONTH(A235))</f>
        <v/>
      </c>
      <c r="J235" s="23">
        <f>IF(A235="","",YEAR(A235))</f>
        <v/>
      </c>
    </row>
    <row r="236">
      <c r="A236" s="47" t="n">
        <v>46273</v>
      </c>
      <c r="B236" s="40" t="inlineStr">
        <is>
          <t>Marina Ferraz</t>
        </is>
      </c>
      <c r="C236" s="39" t="inlineStr">
        <is>
          <t>9778303-99.2026.8.26.0419</t>
        </is>
      </c>
      <c r="D236" s="39" t="inlineStr">
        <is>
          <t>Reunião com cliente</t>
        </is>
      </c>
      <c r="E236" s="46" t="n">
        <v>2.5</v>
      </c>
      <c r="F236" s="40" t="inlineStr">
        <is>
          <t>Sim</t>
        </is>
      </c>
      <c r="G236" s="24">
        <f>IF(C236="","",IFERROR(INDEX(Casos!$B$5:$B$204,MATCH(C236,Casos!$A$5:$A$204,0)),""))</f>
        <v/>
      </c>
      <c r="H236" s="29">
        <f>IF(OR(B236="",E236=""),"",E236*IFERROR(INDEX(Config!$D$12:$D$21,MATCH(B236,Config!$A$12:$A$21,0)),Config!$B$23))</f>
        <v/>
      </c>
      <c r="I236" s="23">
        <f>IF(A236="","",MONTH(A236))</f>
        <v/>
      </c>
      <c r="J236" s="23">
        <f>IF(A236="","",YEAR(A236))</f>
        <v/>
      </c>
    </row>
    <row r="237">
      <c r="A237" s="47" t="n">
        <v>46273</v>
      </c>
      <c r="B237" s="40" t="inlineStr">
        <is>
          <t>Marina Ferraz</t>
        </is>
      </c>
      <c r="C237" s="39" t="inlineStr">
        <is>
          <t>9778303-99.2026.8.26.0419</t>
        </is>
      </c>
      <c r="D237" s="39" t="inlineStr">
        <is>
          <t>Diligência externa</t>
        </is>
      </c>
      <c r="E237" s="46" t="n">
        <v>2</v>
      </c>
      <c r="F237" s="40" t="inlineStr">
        <is>
          <t>Sim</t>
        </is>
      </c>
      <c r="G237" s="24">
        <f>IF(C237="","",IFERROR(INDEX(Casos!$B$5:$B$204,MATCH(C237,Casos!$A$5:$A$204,0)),""))</f>
        <v/>
      </c>
      <c r="H237" s="29">
        <f>IF(OR(B237="",E237=""),"",E237*IFERROR(INDEX(Config!$D$12:$D$21,MATCH(B237,Config!$A$12:$A$21,0)),Config!$B$23))</f>
        <v/>
      </c>
      <c r="I237" s="23">
        <f>IF(A237="","",MONTH(A237))</f>
        <v/>
      </c>
      <c r="J237" s="23">
        <f>IF(A237="","",YEAR(A237))</f>
        <v/>
      </c>
    </row>
    <row r="238">
      <c r="A238" s="47" t="n">
        <v>46273</v>
      </c>
      <c r="B238" s="40" t="inlineStr">
        <is>
          <t>Rafael Lima</t>
        </is>
      </c>
      <c r="C238" s="39" t="inlineStr">
        <is>
          <t>9225646-96.2026.8.26.0322</t>
        </is>
      </c>
      <c r="D238" s="39" t="inlineStr">
        <is>
          <t>Audiência</t>
        </is>
      </c>
      <c r="E238" s="46" t="n">
        <v>3.5</v>
      </c>
      <c r="F238" s="40" t="inlineStr">
        <is>
          <t>Sim</t>
        </is>
      </c>
      <c r="G238" s="24">
        <f>IF(C238="","",IFERROR(INDEX(Casos!$B$5:$B$204,MATCH(C238,Casos!$A$5:$A$204,0)),""))</f>
        <v/>
      </c>
      <c r="H238" s="29">
        <f>IF(OR(B238="",E238=""),"",E238*IFERROR(INDEX(Config!$D$12:$D$21,MATCH(B238,Config!$A$12:$A$21,0)),Config!$B$23))</f>
        <v/>
      </c>
      <c r="I238" s="23">
        <f>IF(A238="","",MONTH(A238))</f>
        <v/>
      </c>
      <c r="J238" s="23">
        <f>IF(A238="","",YEAR(A238))</f>
        <v/>
      </c>
    </row>
    <row r="239">
      <c r="A239" s="47" t="n">
        <v>46273</v>
      </c>
      <c r="B239" s="40" t="inlineStr">
        <is>
          <t>Rafael Lima</t>
        </is>
      </c>
      <c r="C239" s="39" t="inlineStr">
        <is>
          <t>9778303-99.2026.8.26.0419</t>
        </is>
      </c>
      <c r="D239" s="39" t="inlineStr">
        <is>
          <t>Análise de documentos</t>
        </is>
      </c>
      <c r="E239" s="46" t="n">
        <v>3</v>
      </c>
      <c r="F239" s="40" t="inlineStr">
        <is>
          <t>Sim</t>
        </is>
      </c>
      <c r="G239" s="24">
        <f>IF(C239="","",IFERROR(INDEX(Casos!$B$5:$B$204,MATCH(C239,Casos!$A$5:$A$204,0)),""))</f>
        <v/>
      </c>
      <c r="H239" s="29">
        <f>IF(OR(B239="",E239=""),"",E239*IFERROR(INDEX(Config!$D$12:$D$21,MATCH(B239,Config!$A$12:$A$21,0)),Config!$B$23))</f>
        <v/>
      </c>
      <c r="I239" s="23">
        <f>IF(A239="","",MONTH(A239))</f>
        <v/>
      </c>
      <c r="J239" s="23">
        <f>IF(A239="","",YEAR(A239))</f>
        <v/>
      </c>
    </row>
    <row r="240">
      <c r="A240" s="47" t="n">
        <v>46274</v>
      </c>
      <c r="B240" s="40" t="inlineStr">
        <is>
          <t>Júlia Prado</t>
        </is>
      </c>
      <c r="C240" s="39" t="inlineStr">
        <is>
          <t>8986364-51.2026.8.26.0700</t>
        </is>
      </c>
      <c r="D240" s="39" t="inlineStr">
        <is>
          <t>Audiência</t>
        </is>
      </c>
      <c r="E240" s="46" t="n">
        <v>4</v>
      </c>
      <c r="F240" s="40" t="inlineStr">
        <is>
          <t>Sim</t>
        </is>
      </c>
      <c r="G240" s="24">
        <f>IF(C240="","",IFERROR(INDEX(Casos!$B$5:$B$204,MATCH(C240,Casos!$A$5:$A$204,0)),""))</f>
        <v/>
      </c>
      <c r="H240" s="29">
        <f>IF(OR(B240="",E240=""),"",E240*IFERROR(INDEX(Config!$D$12:$D$21,MATCH(B240,Config!$A$12:$A$21,0)),Config!$B$23))</f>
        <v/>
      </c>
      <c r="I240" s="23">
        <f>IF(A240="","",MONTH(A240))</f>
        <v/>
      </c>
      <c r="J240" s="23">
        <f>IF(A240="","",YEAR(A240))</f>
        <v/>
      </c>
    </row>
    <row r="241">
      <c r="A241" s="47" t="n">
        <v>46274</v>
      </c>
      <c r="B241" s="40" t="inlineStr">
        <is>
          <t>Júlia Prado</t>
        </is>
      </c>
      <c r="C241" s="39" t="inlineStr">
        <is>
          <t>9717671-36.2026.8.26.0445</t>
        </is>
      </c>
      <c r="D241" s="39" t="inlineStr">
        <is>
          <t>Diligência externa</t>
        </is>
      </c>
      <c r="E241" s="46" t="n">
        <v>2.5</v>
      </c>
      <c r="F241" s="40" t="inlineStr">
        <is>
          <t>Sim</t>
        </is>
      </c>
      <c r="G241" s="24">
        <f>IF(C241="","",IFERROR(INDEX(Casos!$B$5:$B$204,MATCH(C241,Casos!$A$5:$A$204,0)),""))</f>
        <v/>
      </c>
      <c r="H241" s="29">
        <f>IF(OR(B241="",E241=""),"",E241*IFERROR(INDEX(Config!$D$12:$D$21,MATCH(B241,Config!$A$12:$A$21,0)),Config!$B$23))</f>
        <v/>
      </c>
      <c r="I241" s="23">
        <f>IF(A241="","",MONTH(A241))</f>
        <v/>
      </c>
      <c r="J241" s="23">
        <f>IF(A241="","",YEAR(A241))</f>
        <v/>
      </c>
    </row>
    <row r="242">
      <c r="A242" s="47" t="n">
        <v>46274</v>
      </c>
      <c r="B242" s="40" t="inlineStr">
        <is>
          <t>Marina Ferraz</t>
        </is>
      </c>
      <c r="C242" s="39" t="inlineStr">
        <is>
          <t>1191416-90.2025.8.26.0249</t>
        </is>
      </c>
      <c r="D242" s="39" t="inlineStr">
        <is>
          <t>Pesquisa e estudo do caso</t>
        </is>
      </c>
      <c r="E242" s="46" t="n">
        <v>3</v>
      </c>
      <c r="F242" s="40" t="inlineStr">
        <is>
          <t>Sim</t>
        </is>
      </c>
      <c r="G242" s="24">
        <f>IF(C242="","",IFERROR(INDEX(Casos!$B$5:$B$204,MATCH(C242,Casos!$A$5:$A$204,0)),""))</f>
        <v/>
      </c>
      <c r="H242" s="29">
        <f>IF(OR(B242="",E242=""),"",E242*IFERROR(INDEX(Config!$D$12:$D$21,MATCH(B242,Config!$A$12:$A$21,0)),Config!$B$23))</f>
        <v/>
      </c>
      <c r="I242" s="23">
        <f>IF(A242="","",MONTH(A242))</f>
        <v/>
      </c>
      <c r="J242" s="23">
        <f>IF(A242="","",YEAR(A242))</f>
        <v/>
      </c>
    </row>
    <row r="243">
      <c r="A243" s="47" t="n">
        <v>46274</v>
      </c>
      <c r="B243" s="40" t="inlineStr">
        <is>
          <t>Marina Ferraz</t>
        </is>
      </c>
      <c r="C243" s="39" t="inlineStr">
        <is>
          <t>9778303-99.2026.8.26.0419</t>
        </is>
      </c>
      <c r="D243" s="39" t="inlineStr">
        <is>
          <t>Diligência externa</t>
        </is>
      </c>
      <c r="E243" s="46" t="n">
        <v>1.5</v>
      </c>
      <c r="F243" s="40" t="inlineStr">
        <is>
          <t>Sim</t>
        </is>
      </c>
      <c r="G243" s="24">
        <f>IF(C243="","",IFERROR(INDEX(Casos!$B$5:$B$204,MATCH(C243,Casos!$A$5:$A$204,0)),""))</f>
        <v/>
      </c>
      <c r="H243" s="29">
        <f>IF(OR(B243="",E243=""),"",E243*IFERROR(INDEX(Config!$D$12:$D$21,MATCH(B243,Config!$A$12:$A$21,0)),Config!$B$23))</f>
        <v/>
      </c>
      <c r="I243" s="23">
        <f>IF(A243="","",MONTH(A243))</f>
        <v/>
      </c>
      <c r="J243" s="23">
        <f>IF(A243="","",YEAR(A243))</f>
        <v/>
      </c>
    </row>
    <row r="244">
      <c r="A244" s="47" t="n">
        <v>46274</v>
      </c>
      <c r="B244" s="40" t="inlineStr">
        <is>
          <t>Rafael Lima</t>
        </is>
      </c>
      <c r="C244" s="39" t="inlineStr">
        <is>
          <t>1941959-24.2026.8.26.0167</t>
        </is>
      </c>
      <c r="D244" s="39" t="inlineStr">
        <is>
          <t>Audiência</t>
        </is>
      </c>
      <c r="E244" s="46" t="n">
        <v>3</v>
      </c>
      <c r="F244" s="40" t="inlineStr">
        <is>
          <t>Sim</t>
        </is>
      </c>
      <c r="G244" s="24">
        <f>IF(C244="","",IFERROR(INDEX(Casos!$B$5:$B$204,MATCH(C244,Casos!$A$5:$A$204,0)),""))</f>
        <v/>
      </c>
      <c r="H244" s="29">
        <f>IF(OR(B244="",E244=""),"",E244*IFERROR(INDEX(Config!$D$12:$D$21,MATCH(B244,Config!$A$12:$A$21,0)),Config!$B$23))</f>
        <v/>
      </c>
      <c r="I244" s="23">
        <f>IF(A244="","",MONTH(A244))</f>
        <v/>
      </c>
      <c r="J244" s="23">
        <f>IF(A244="","",YEAR(A244))</f>
        <v/>
      </c>
    </row>
    <row r="245">
      <c r="A245" s="47" t="n">
        <v>46275</v>
      </c>
      <c r="B245" s="40" t="inlineStr">
        <is>
          <t>Júlia Prado</t>
        </is>
      </c>
      <c r="C245" s="39" t="inlineStr">
        <is>
          <t>9717671-36.2026.8.26.0445</t>
        </is>
      </c>
      <c r="D245" s="39" t="inlineStr">
        <is>
          <t>Atendimento por telefone ou WhatsApp</t>
        </is>
      </c>
      <c r="E245" s="46" t="n">
        <v>3</v>
      </c>
      <c r="F245" s="40" t="inlineStr">
        <is>
          <t>Sim</t>
        </is>
      </c>
      <c r="G245" s="24">
        <f>IF(C245="","",IFERROR(INDEX(Casos!$B$5:$B$204,MATCH(C245,Casos!$A$5:$A$204,0)),""))</f>
        <v/>
      </c>
      <c r="H245" s="29">
        <f>IF(OR(B245="",E245=""),"",E245*IFERROR(INDEX(Config!$D$12:$D$21,MATCH(B245,Config!$A$12:$A$21,0)),Config!$B$23))</f>
        <v/>
      </c>
      <c r="I245" s="23">
        <f>IF(A245="","",MONTH(A245))</f>
        <v/>
      </c>
      <c r="J245" s="23">
        <f>IF(A245="","",YEAR(A245))</f>
        <v/>
      </c>
    </row>
    <row r="246">
      <c r="A246" s="47" t="n">
        <v>46275</v>
      </c>
      <c r="B246" s="40" t="inlineStr">
        <is>
          <t>Marina Ferraz</t>
        </is>
      </c>
      <c r="C246" s="39" t="inlineStr">
        <is>
          <t>8986364-51.2026.8.26.0700</t>
        </is>
      </c>
      <c r="D246" s="39" t="inlineStr">
        <is>
          <t>Reunião com cliente</t>
        </is>
      </c>
      <c r="E246" s="46" t="n">
        <v>3.5</v>
      </c>
      <c r="F246" s="40" t="inlineStr">
        <is>
          <t>Sim</t>
        </is>
      </c>
      <c r="G246" s="24">
        <f>IF(C246="","",IFERROR(INDEX(Casos!$B$5:$B$204,MATCH(C246,Casos!$A$5:$A$204,0)),""))</f>
        <v/>
      </c>
      <c r="H246" s="29">
        <f>IF(OR(B246="",E246=""),"",E246*IFERROR(INDEX(Config!$D$12:$D$21,MATCH(B246,Config!$A$12:$A$21,0)),Config!$B$23))</f>
        <v/>
      </c>
      <c r="I246" s="23">
        <f>IF(A246="","",MONTH(A246))</f>
        <v/>
      </c>
      <c r="J246" s="23">
        <f>IF(A246="","",YEAR(A246))</f>
        <v/>
      </c>
    </row>
    <row r="247">
      <c r="A247" s="47" t="n">
        <v>46275</v>
      </c>
      <c r="B247" s="40" t="inlineStr">
        <is>
          <t>Marina Ferraz</t>
        </is>
      </c>
      <c r="C247" s="39" t="inlineStr">
        <is>
          <t>6877173-50.2026.8.26.0467</t>
        </is>
      </c>
      <c r="D247" s="39" t="inlineStr">
        <is>
          <t>Reunião com cliente</t>
        </is>
      </c>
      <c r="E247" s="46" t="n">
        <v>3</v>
      </c>
      <c r="F247" s="40" t="inlineStr">
        <is>
          <t>Sim</t>
        </is>
      </c>
      <c r="G247" s="24">
        <f>IF(C247="","",IFERROR(INDEX(Casos!$B$5:$B$204,MATCH(C247,Casos!$A$5:$A$204,0)),""))</f>
        <v/>
      </c>
      <c r="H247" s="29">
        <f>IF(OR(B247="",E247=""),"",E247*IFERROR(INDEX(Config!$D$12:$D$21,MATCH(B247,Config!$A$12:$A$21,0)),Config!$B$23))</f>
        <v/>
      </c>
      <c r="I247" s="23">
        <f>IF(A247="","",MONTH(A247))</f>
        <v/>
      </c>
      <c r="J247" s="23">
        <f>IF(A247="","",YEAR(A247))</f>
        <v/>
      </c>
    </row>
    <row r="248">
      <c r="A248" s="47" t="n">
        <v>46275</v>
      </c>
      <c r="B248" s="40" t="inlineStr">
        <is>
          <t>Rafael Lima</t>
        </is>
      </c>
      <c r="C248" s="39" t="inlineStr">
        <is>
          <t>1941959-24.2026.8.26.0167</t>
        </is>
      </c>
      <c r="D248" s="39" t="inlineStr">
        <is>
          <t>Diligência externa</t>
        </is>
      </c>
      <c r="E248" s="46" t="n">
        <v>3</v>
      </c>
      <c r="F248" s="40" t="inlineStr">
        <is>
          <t>Sim</t>
        </is>
      </c>
      <c r="G248" s="24">
        <f>IF(C248="","",IFERROR(INDEX(Casos!$B$5:$B$204,MATCH(C248,Casos!$A$5:$A$204,0)),""))</f>
        <v/>
      </c>
      <c r="H248" s="29">
        <f>IF(OR(B248="",E248=""),"",E248*IFERROR(INDEX(Config!$D$12:$D$21,MATCH(B248,Config!$A$12:$A$21,0)),Config!$B$23))</f>
        <v/>
      </c>
      <c r="I248" s="23">
        <f>IF(A248="","",MONTH(A248))</f>
        <v/>
      </c>
      <c r="J248" s="23">
        <f>IF(A248="","",YEAR(A248))</f>
        <v/>
      </c>
    </row>
    <row r="249">
      <c r="A249" s="47" t="n">
        <v>46276</v>
      </c>
      <c r="B249" s="40" t="inlineStr">
        <is>
          <t>Marina Ferraz</t>
        </is>
      </c>
      <c r="C249" s="39" t="inlineStr">
        <is>
          <t>9236009-85.2026.8.26.0452</t>
        </is>
      </c>
      <c r="D249" s="39" t="inlineStr">
        <is>
          <t>Elaboração de documento</t>
        </is>
      </c>
      <c r="E249" s="46" t="n">
        <v>4</v>
      </c>
      <c r="F249" s="40" t="inlineStr">
        <is>
          <t>Sim</t>
        </is>
      </c>
      <c r="G249" s="24">
        <f>IF(C249="","",IFERROR(INDEX(Casos!$B$5:$B$204,MATCH(C249,Casos!$A$5:$A$204,0)),""))</f>
        <v/>
      </c>
      <c r="H249" s="29">
        <f>IF(OR(B249="",E249=""),"",E249*IFERROR(INDEX(Config!$D$12:$D$21,MATCH(B249,Config!$A$12:$A$21,0)),Config!$B$23))</f>
        <v/>
      </c>
      <c r="I249" s="23">
        <f>IF(A249="","",MONTH(A249))</f>
        <v/>
      </c>
      <c r="J249" s="23">
        <f>IF(A249="","",YEAR(A249))</f>
        <v/>
      </c>
    </row>
    <row r="250">
      <c r="A250" s="47" t="n">
        <v>46276</v>
      </c>
      <c r="B250" s="40" t="inlineStr">
        <is>
          <t>Rafael Lima</t>
        </is>
      </c>
      <c r="C250" s="39" t="inlineStr">
        <is>
          <t>5297049-18.2026.8.26.0015</t>
        </is>
      </c>
      <c r="D250" s="39" t="inlineStr">
        <is>
          <t>Diligência externa</t>
        </is>
      </c>
      <c r="E250" s="46" t="n">
        <v>4.5</v>
      </c>
      <c r="F250" s="40" t="inlineStr">
        <is>
          <t>Sim</t>
        </is>
      </c>
      <c r="G250" s="24">
        <f>IF(C250="","",IFERROR(INDEX(Casos!$B$5:$B$204,MATCH(C250,Casos!$A$5:$A$204,0)),""))</f>
        <v/>
      </c>
      <c r="H250" s="29">
        <f>IF(OR(B250="",E250=""),"",E250*IFERROR(INDEX(Config!$D$12:$D$21,MATCH(B250,Config!$A$12:$A$21,0)),Config!$B$23))</f>
        <v/>
      </c>
      <c r="I250" s="23">
        <f>IF(A250="","",MONTH(A250))</f>
        <v/>
      </c>
      <c r="J250" s="23">
        <f>IF(A250="","",YEAR(A250))</f>
        <v/>
      </c>
    </row>
    <row r="251">
      <c r="A251" s="47" t="n">
        <v>46279</v>
      </c>
      <c r="B251" s="40" t="inlineStr">
        <is>
          <t>Júlia Prado</t>
        </is>
      </c>
      <c r="C251" s="39" t="inlineStr">
        <is>
          <t>6877173-50.2026.8.26.0467</t>
        </is>
      </c>
      <c r="D251" s="39" t="inlineStr">
        <is>
          <t>Reunião com cliente</t>
        </is>
      </c>
      <c r="E251" s="46" t="n">
        <v>4</v>
      </c>
      <c r="F251" s="40" t="inlineStr">
        <is>
          <t>Sim</t>
        </is>
      </c>
      <c r="G251" s="24">
        <f>IF(C251="","",IFERROR(INDEX(Casos!$B$5:$B$204,MATCH(C251,Casos!$A$5:$A$204,0)),""))</f>
        <v/>
      </c>
      <c r="H251" s="29">
        <f>IF(OR(B251="",E251=""),"",E251*IFERROR(INDEX(Config!$D$12:$D$21,MATCH(B251,Config!$A$12:$A$21,0)),Config!$B$23))</f>
        <v/>
      </c>
      <c r="I251" s="23">
        <f>IF(A251="","",MONTH(A251))</f>
        <v/>
      </c>
      <c r="J251" s="23">
        <f>IF(A251="","",YEAR(A251))</f>
        <v/>
      </c>
    </row>
    <row r="252">
      <c r="A252" s="47" t="n">
        <v>46279</v>
      </c>
      <c r="B252" s="40" t="inlineStr">
        <is>
          <t>Júlia Prado</t>
        </is>
      </c>
      <c r="C252" s="39" t="inlineStr">
        <is>
          <t>Gestão do escritório</t>
        </is>
      </c>
      <c r="D252" s="39" t="inlineStr">
        <is>
          <t>Gestão do escritório</t>
        </is>
      </c>
      <c r="E252" s="46" t="n">
        <v>1</v>
      </c>
      <c r="F252" s="40" t="inlineStr">
        <is>
          <t>Não</t>
        </is>
      </c>
      <c r="G252" s="24">
        <f>IF(C252="","",IFERROR(INDEX(Casos!$B$5:$B$204,MATCH(C252,Casos!$A$5:$A$204,0)),""))</f>
        <v/>
      </c>
      <c r="H252" s="29">
        <f>IF(OR(B252="",E252=""),"",E252*IFERROR(INDEX(Config!$D$12:$D$21,MATCH(B252,Config!$A$12:$A$21,0)),Config!$B$23))</f>
        <v/>
      </c>
      <c r="I252" s="23">
        <f>IF(A252="","",MONTH(A252))</f>
        <v/>
      </c>
      <c r="J252" s="23">
        <f>IF(A252="","",YEAR(A252))</f>
        <v/>
      </c>
    </row>
    <row r="253">
      <c r="A253" s="47" t="n">
        <v>46279</v>
      </c>
      <c r="B253" s="40" t="inlineStr">
        <is>
          <t>Marina Ferraz</t>
        </is>
      </c>
      <c r="C253" s="39" t="inlineStr">
        <is>
          <t>Gestão do escritório</t>
        </is>
      </c>
      <c r="D253" s="39" t="inlineStr">
        <is>
          <t>Gestão do escritório</t>
        </is>
      </c>
      <c r="E253" s="46" t="n">
        <v>1</v>
      </c>
      <c r="F253" s="40" t="inlineStr">
        <is>
          <t>Não</t>
        </is>
      </c>
      <c r="G253" s="24">
        <f>IF(C253="","",IFERROR(INDEX(Casos!$B$5:$B$204,MATCH(C253,Casos!$A$5:$A$204,0)),""))</f>
        <v/>
      </c>
      <c r="H253" s="29">
        <f>IF(OR(B253="",E253=""),"",E253*IFERROR(INDEX(Config!$D$12:$D$21,MATCH(B253,Config!$A$12:$A$21,0)),Config!$B$23))</f>
        <v/>
      </c>
      <c r="I253" s="23">
        <f>IF(A253="","",MONTH(A253))</f>
        <v/>
      </c>
      <c r="J253" s="23">
        <f>IF(A253="","",YEAR(A253))</f>
        <v/>
      </c>
    </row>
    <row r="254">
      <c r="A254" s="47" t="n">
        <v>46279</v>
      </c>
      <c r="B254" s="40" t="inlineStr">
        <is>
          <t>Marina Ferraz</t>
        </is>
      </c>
      <c r="C254" s="39" t="inlineStr">
        <is>
          <t>Captação e propostas</t>
        </is>
      </c>
      <c r="D254" s="39" t="inlineStr">
        <is>
          <t>Captação e propostas</t>
        </is>
      </c>
      <c r="E254" s="46" t="n">
        <v>2</v>
      </c>
      <c r="F254" s="40" t="inlineStr">
        <is>
          <t>Não</t>
        </is>
      </c>
      <c r="G254" s="24">
        <f>IF(C254="","",IFERROR(INDEX(Casos!$B$5:$B$204,MATCH(C254,Casos!$A$5:$A$204,0)),""))</f>
        <v/>
      </c>
      <c r="H254" s="29">
        <f>IF(OR(B254="",E254=""),"",E254*IFERROR(INDEX(Config!$D$12:$D$21,MATCH(B254,Config!$A$12:$A$21,0)),Config!$B$23))</f>
        <v/>
      </c>
      <c r="I254" s="23">
        <f>IF(A254="","",MONTH(A254))</f>
        <v/>
      </c>
      <c r="J254" s="23">
        <f>IF(A254="","",YEAR(A254))</f>
        <v/>
      </c>
    </row>
    <row r="255">
      <c r="A255" s="47" t="n">
        <v>46279</v>
      </c>
      <c r="B255" s="40" t="inlineStr">
        <is>
          <t>Rafael Lima</t>
        </is>
      </c>
      <c r="C255" s="39" t="inlineStr">
        <is>
          <t>5470559-73.2026.8.26.0380</t>
        </is>
      </c>
      <c r="D255" s="39" t="inlineStr">
        <is>
          <t>Reunião com cliente</t>
        </is>
      </c>
      <c r="E255" s="46" t="n">
        <v>4</v>
      </c>
      <c r="F255" s="40" t="inlineStr">
        <is>
          <t>Sim</t>
        </is>
      </c>
      <c r="G255" s="24">
        <f>IF(C255="","",IFERROR(INDEX(Casos!$B$5:$B$204,MATCH(C255,Casos!$A$5:$A$204,0)),""))</f>
        <v/>
      </c>
      <c r="H255" s="29">
        <f>IF(OR(B255="",E255=""),"",E255*IFERROR(INDEX(Config!$D$12:$D$21,MATCH(B255,Config!$A$12:$A$21,0)),Config!$B$23))</f>
        <v/>
      </c>
      <c r="I255" s="23">
        <f>IF(A255="","",MONTH(A255))</f>
        <v/>
      </c>
      <c r="J255" s="23">
        <f>IF(A255="","",YEAR(A255))</f>
        <v/>
      </c>
    </row>
    <row r="256">
      <c r="A256" s="47" t="n">
        <v>46279</v>
      </c>
      <c r="B256" s="40" t="inlineStr">
        <is>
          <t>Rafael Lima</t>
        </is>
      </c>
      <c r="C256" s="39" t="inlineStr">
        <is>
          <t>9717671-36.2026.8.26.0445</t>
        </is>
      </c>
      <c r="D256" s="39" t="inlineStr">
        <is>
          <t>Audiência</t>
        </is>
      </c>
      <c r="E256" s="46" t="n">
        <v>3</v>
      </c>
      <c r="F256" s="40" t="inlineStr">
        <is>
          <t>Sim</t>
        </is>
      </c>
      <c r="G256" s="24">
        <f>IF(C256="","",IFERROR(INDEX(Casos!$B$5:$B$204,MATCH(C256,Casos!$A$5:$A$204,0)),""))</f>
        <v/>
      </c>
      <c r="H256" s="29">
        <f>IF(OR(B256="",E256=""),"",E256*IFERROR(INDEX(Config!$D$12:$D$21,MATCH(B256,Config!$A$12:$A$21,0)),Config!$B$23))</f>
        <v/>
      </c>
      <c r="I256" s="23">
        <f>IF(A256="","",MONTH(A256))</f>
        <v/>
      </c>
      <c r="J256" s="23">
        <f>IF(A256="","",YEAR(A256))</f>
        <v/>
      </c>
    </row>
    <row r="257">
      <c r="A257" s="47" t="n">
        <v>46279</v>
      </c>
      <c r="B257" s="40" t="inlineStr">
        <is>
          <t>Rafael Lima</t>
        </is>
      </c>
      <c r="C257" s="39" t="inlineStr">
        <is>
          <t>1808451-67.2026.8.26.0657</t>
        </is>
      </c>
      <c r="D257" s="39" t="inlineStr">
        <is>
          <t>Diligência externa</t>
        </is>
      </c>
      <c r="E257" s="46" t="n">
        <v>3.5</v>
      </c>
      <c r="F257" s="40" t="inlineStr">
        <is>
          <t>Sim</t>
        </is>
      </c>
      <c r="G257" s="24">
        <f>IF(C257="","",IFERROR(INDEX(Casos!$B$5:$B$204,MATCH(C257,Casos!$A$5:$A$204,0)),""))</f>
        <v/>
      </c>
      <c r="H257" s="29">
        <f>IF(OR(B257="",E257=""),"",E257*IFERROR(INDEX(Config!$D$12:$D$21,MATCH(B257,Config!$A$12:$A$21,0)),Config!$B$23))</f>
        <v/>
      </c>
      <c r="I257" s="23">
        <f>IF(A257="","",MONTH(A257))</f>
        <v/>
      </c>
      <c r="J257" s="23">
        <f>IF(A257="","",YEAR(A257))</f>
        <v/>
      </c>
    </row>
    <row r="258">
      <c r="A258" s="47" t="n">
        <v>46279</v>
      </c>
      <c r="B258" s="40" t="inlineStr">
        <is>
          <t>Rafael Lima</t>
        </is>
      </c>
      <c r="C258" s="39" t="inlineStr">
        <is>
          <t>Gestão do escritório</t>
        </is>
      </c>
      <c r="D258" s="39" t="inlineStr">
        <is>
          <t>Gestão do escritório</t>
        </is>
      </c>
      <c r="E258" s="46" t="n">
        <v>1</v>
      </c>
      <c r="F258" s="40" t="inlineStr">
        <is>
          <t>Não</t>
        </is>
      </c>
      <c r="G258" s="24">
        <f>IF(C258="","",IFERROR(INDEX(Casos!$B$5:$B$204,MATCH(C258,Casos!$A$5:$A$204,0)),""))</f>
        <v/>
      </c>
      <c r="H258" s="29">
        <f>IF(OR(B258="",E258=""),"",E258*IFERROR(INDEX(Config!$D$12:$D$21,MATCH(B258,Config!$A$12:$A$21,0)),Config!$B$23))</f>
        <v/>
      </c>
      <c r="I258" s="23">
        <f>IF(A258="","",MONTH(A258))</f>
        <v/>
      </c>
      <c r="J258" s="23">
        <f>IF(A258="","",YEAR(A258))</f>
        <v/>
      </c>
    </row>
    <row r="259">
      <c r="A259" s="47" t="n">
        <v>46279</v>
      </c>
      <c r="B259" s="40" t="inlineStr">
        <is>
          <t>Rafael Lima</t>
        </is>
      </c>
      <c r="C259" s="39" t="inlineStr">
        <is>
          <t>Captação e propostas</t>
        </is>
      </c>
      <c r="D259" s="39" t="inlineStr">
        <is>
          <t>Captação e propostas</t>
        </is>
      </c>
      <c r="E259" s="46" t="n">
        <v>1</v>
      </c>
      <c r="F259" s="40" t="inlineStr">
        <is>
          <t>Não</t>
        </is>
      </c>
      <c r="G259" s="24">
        <f>IF(C259="","",IFERROR(INDEX(Casos!$B$5:$B$204,MATCH(C259,Casos!$A$5:$A$204,0)),""))</f>
        <v/>
      </c>
      <c r="H259" s="29">
        <f>IF(OR(B259="",E259=""),"",E259*IFERROR(INDEX(Config!$D$12:$D$21,MATCH(B259,Config!$A$12:$A$21,0)),Config!$B$23))</f>
        <v/>
      </c>
      <c r="I259" s="23">
        <f>IF(A259="","",MONTH(A259))</f>
        <v/>
      </c>
      <c r="J259" s="23">
        <f>IF(A259="","",YEAR(A259))</f>
        <v/>
      </c>
    </row>
    <row r="260">
      <c r="A260" s="47" t="n"/>
      <c r="B260" s="40" t="n"/>
      <c r="C260" s="39" t="n"/>
      <c r="D260" s="39" t="n"/>
      <c r="E260" s="46" t="n"/>
      <c r="F260" s="40" t="n"/>
      <c r="G260" s="24">
        <f>IF(C260="","",IFERROR(INDEX(Casos!$B$5:$B$204,MATCH(C260,Casos!$A$5:$A$204,0)),""))</f>
        <v/>
      </c>
      <c r="H260" s="29">
        <f>IF(OR(B260="",E260=""),"",E260*IFERROR(INDEX(Config!$D$12:$D$21,MATCH(B260,Config!$A$12:$A$21,0)),Config!$B$23))</f>
        <v/>
      </c>
      <c r="I260" s="23">
        <f>IF(A260="","",MONTH(A260))</f>
        <v/>
      </c>
      <c r="J260" s="23">
        <f>IF(A260="","",YEAR(A260))</f>
        <v/>
      </c>
    </row>
    <row r="261">
      <c r="A261" s="47" t="n"/>
      <c r="B261" s="40" t="n"/>
      <c r="C261" s="39" t="n"/>
      <c r="D261" s="39" t="n"/>
      <c r="E261" s="46" t="n"/>
      <c r="F261" s="40" t="n"/>
      <c r="G261" s="24">
        <f>IF(C261="","",IFERROR(INDEX(Casos!$B$5:$B$204,MATCH(C261,Casos!$A$5:$A$204,0)),""))</f>
        <v/>
      </c>
      <c r="H261" s="29">
        <f>IF(OR(B261="",E261=""),"",E261*IFERROR(INDEX(Config!$D$12:$D$21,MATCH(B261,Config!$A$12:$A$21,0)),Config!$B$23))</f>
        <v/>
      </c>
      <c r="I261" s="23">
        <f>IF(A261="","",MONTH(A261))</f>
        <v/>
      </c>
      <c r="J261" s="23">
        <f>IF(A261="","",YEAR(A261))</f>
        <v/>
      </c>
    </row>
    <row r="262">
      <c r="A262" s="47" t="n"/>
      <c r="B262" s="40" t="n"/>
      <c r="C262" s="39" t="n"/>
      <c r="D262" s="39" t="n"/>
      <c r="E262" s="46" t="n"/>
      <c r="F262" s="40" t="n"/>
      <c r="G262" s="24">
        <f>IF(C262="","",IFERROR(INDEX(Casos!$B$5:$B$204,MATCH(C262,Casos!$A$5:$A$204,0)),""))</f>
        <v/>
      </c>
      <c r="H262" s="29">
        <f>IF(OR(B262="",E262=""),"",E262*IFERROR(INDEX(Config!$D$12:$D$21,MATCH(B262,Config!$A$12:$A$21,0)),Config!$B$23))</f>
        <v/>
      </c>
      <c r="I262" s="23">
        <f>IF(A262="","",MONTH(A262))</f>
        <v/>
      </c>
      <c r="J262" s="23">
        <f>IF(A262="","",YEAR(A262))</f>
        <v/>
      </c>
    </row>
    <row r="263">
      <c r="A263" s="47" t="n"/>
      <c r="B263" s="40" t="n"/>
      <c r="C263" s="39" t="n"/>
      <c r="D263" s="39" t="n"/>
      <c r="E263" s="46" t="n"/>
      <c r="F263" s="40" t="n"/>
      <c r="G263" s="24">
        <f>IF(C263="","",IFERROR(INDEX(Casos!$B$5:$B$204,MATCH(C263,Casos!$A$5:$A$204,0)),""))</f>
        <v/>
      </c>
      <c r="H263" s="29">
        <f>IF(OR(B263="",E263=""),"",E263*IFERROR(INDEX(Config!$D$12:$D$21,MATCH(B263,Config!$A$12:$A$21,0)),Config!$B$23))</f>
        <v/>
      </c>
      <c r="I263" s="23">
        <f>IF(A263="","",MONTH(A263))</f>
        <v/>
      </c>
      <c r="J263" s="23">
        <f>IF(A263="","",YEAR(A263))</f>
        <v/>
      </c>
    </row>
    <row r="264">
      <c r="A264" s="47" t="n"/>
      <c r="B264" s="40" t="n"/>
      <c r="C264" s="39" t="n"/>
      <c r="D264" s="39" t="n"/>
      <c r="E264" s="46" t="n"/>
      <c r="F264" s="40" t="n"/>
      <c r="G264" s="24">
        <f>IF(C264="","",IFERROR(INDEX(Casos!$B$5:$B$204,MATCH(C264,Casos!$A$5:$A$204,0)),""))</f>
        <v/>
      </c>
      <c r="H264" s="29">
        <f>IF(OR(B264="",E264=""),"",E264*IFERROR(INDEX(Config!$D$12:$D$21,MATCH(B264,Config!$A$12:$A$21,0)),Config!$B$23))</f>
        <v/>
      </c>
      <c r="I264" s="23">
        <f>IF(A264="","",MONTH(A264))</f>
        <v/>
      </c>
      <c r="J264" s="23">
        <f>IF(A264="","",YEAR(A264))</f>
        <v/>
      </c>
    </row>
    <row r="265">
      <c r="A265" s="47" t="n"/>
      <c r="B265" s="40" t="n"/>
      <c r="C265" s="39" t="n"/>
      <c r="D265" s="39" t="n"/>
      <c r="E265" s="46" t="n"/>
      <c r="F265" s="40" t="n"/>
      <c r="G265" s="24">
        <f>IF(C265="","",IFERROR(INDEX(Casos!$B$5:$B$204,MATCH(C265,Casos!$A$5:$A$204,0)),""))</f>
        <v/>
      </c>
      <c r="H265" s="29">
        <f>IF(OR(B265="",E265=""),"",E265*IFERROR(INDEX(Config!$D$12:$D$21,MATCH(B265,Config!$A$12:$A$21,0)),Config!$B$23))</f>
        <v/>
      </c>
      <c r="I265" s="23">
        <f>IF(A265="","",MONTH(A265))</f>
        <v/>
      </c>
      <c r="J265" s="23">
        <f>IF(A265="","",YEAR(A265))</f>
        <v/>
      </c>
    </row>
    <row r="266">
      <c r="A266" s="47" t="n"/>
      <c r="B266" s="40" t="n"/>
      <c r="C266" s="39" t="n"/>
      <c r="D266" s="39" t="n"/>
      <c r="E266" s="46" t="n"/>
      <c r="F266" s="40" t="n"/>
      <c r="G266" s="24">
        <f>IF(C266="","",IFERROR(INDEX(Casos!$B$5:$B$204,MATCH(C266,Casos!$A$5:$A$204,0)),""))</f>
        <v/>
      </c>
      <c r="H266" s="29">
        <f>IF(OR(B266="",E266=""),"",E266*IFERROR(INDEX(Config!$D$12:$D$21,MATCH(B266,Config!$A$12:$A$21,0)),Config!$B$23))</f>
        <v/>
      </c>
      <c r="I266" s="23">
        <f>IF(A266="","",MONTH(A266))</f>
        <v/>
      </c>
      <c r="J266" s="23">
        <f>IF(A266="","",YEAR(A266))</f>
        <v/>
      </c>
    </row>
    <row r="267">
      <c r="A267" s="47" t="n"/>
      <c r="B267" s="40" t="n"/>
      <c r="C267" s="39" t="n"/>
      <c r="D267" s="39" t="n"/>
      <c r="E267" s="46" t="n"/>
      <c r="F267" s="40" t="n"/>
      <c r="G267" s="24">
        <f>IF(C267="","",IFERROR(INDEX(Casos!$B$5:$B$204,MATCH(C267,Casos!$A$5:$A$204,0)),""))</f>
        <v/>
      </c>
      <c r="H267" s="29">
        <f>IF(OR(B267="",E267=""),"",E267*IFERROR(INDEX(Config!$D$12:$D$21,MATCH(B267,Config!$A$12:$A$21,0)),Config!$B$23))</f>
        <v/>
      </c>
      <c r="I267" s="23">
        <f>IF(A267="","",MONTH(A267))</f>
        <v/>
      </c>
      <c r="J267" s="23">
        <f>IF(A267="","",YEAR(A267))</f>
        <v/>
      </c>
    </row>
    <row r="268">
      <c r="A268" s="47" t="n"/>
      <c r="B268" s="40" t="n"/>
      <c r="C268" s="39" t="n"/>
      <c r="D268" s="39" t="n"/>
      <c r="E268" s="46" t="n"/>
      <c r="F268" s="40" t="n"/>
      <c r="G268" s="24">
        <f>IF(C268="","",IFERROR(INDEX(Casos!$B$5:$B$204,MATCH(C268,Casos!$A$5:$A$204,0)),""))</f>
        <v/>
      </c>
      <c r="H268" s="29">
        <f>IF(OR(B268="",E268=""),"",E268*IFERROR(INDEX(Config!$D$12:$D$21,MATCH(B268,Config!$A$12:$A$21,0)),Config!$B$23))</f>
        <v/>
      </c>
      <c r="I268" s="23">
        <f>IF(A268="","",MONTH(A268))</f>
        <v/>
      </c>
      <c r="J268" s="23">
        <f>IF(A268="","",YEAR(A268))</f>
        <v/>
      </c>
    </row>
    <row r="269">
      <c r="A269" s="47" t="n"/>
      <c r="B269" s="40" t="n"/>
      <c r="C269" s="39" t="n"/>
      <c r="D269" s="39" t="n"/>
      <c r="E269" s="46" t="n"/>
      <c r="F269" s="40" t="n"/>
      <c r="G269" s="24">
        <f>IF(C269="","",IFERROR(INDEX(Casos!$B$5:$B$204,MATCH(C269,Casos!$A$5:$A$204,0)),""))</f>
        <v/>
      </c>
      <c r="H269" s="29">
        <f>IF(OR(B269="",E269=""),"",E269*IFERROR(INDEX(Config!$D$12:$D$21,MATCH(B269,Config!$A$12:$A$21,0)),Config!$B$23))</f>
        <v/>
      </c>
      <c r="I269" s="23">
        <f>IF(A269="","",MONTH(A269))</f>
        <v/>
      </c>
      <c r="J269" s="23">
        <f>IF(A269="","",YEAR(A269))</f>
        <v/>
      </c>
    </row>
    <row r="270">
      <c r="A270" s="47" t="n"/>
      <c r="B270" s="40" t="n"/>
      <c r="C270" s="39" t="n"/>
      <c r="D270" s="39" t="n"/>
      <c r="E270" s="46" t="n"/>
      <c r="F270" s="40" t="n"/>
      <c r="G270" s="24">
        <f>IF(C270="","",IFERROR(INDEX(Casos!$B$5:$B$204,MATCH(C270,Casos!$A$5:$A$204,0)),""))</f>
        <v/>
      </c>
      <c r="H270" s="29">
        <f>IF(OR(B270="",E270=""),"",E270*IFERROR(INDEX(Config!$D$12:$D$21,MATCH(B270,Config!$A$12:$A$21,0)),Config!$B$23))</f>
        <v/>
      </c>
      <c r="I270" s="23">
        <f>IF(A270="","",MONTH(A270))</f>
        <v/>
      </c>
      <c r="J270" s="23">
        <f>IF(A270="","",YEAR(A270))</f>
        <v/>
      </c>
    </row>
    <row r="271">
      <c r="A271" s="47" t="n"/>
      <c r="B271" s="40" t="n"/>
      <c r="C271" s="39" t="n"/>
      <c r="D271" s="39" t="n"/>
      <c r="E271" s="46" t="n"/>
      <c r="F271" s="40" t="n"/>
      <c r="G271" s="24">
        <f>IF(C271="","",IFERROR(INDEX(Casos!$B$5:$B$204,MATCH(C271,Casos!$A$5:$A$204,0)),""))</f>
        <v/>
      </c>
      <c r="H271" s="29">
        <f>IF(OR(B271="",E271=""),"",E271*IFERROR(INDEX(Config!$D$12:$D$21,MATCH(B271,Config!$A$12:$A$21,0)),Config!$B$23))</f>
        <v/>
      </c>
      <c r="I271" s="23">
        <f>IF(A271="","",MONTH(A271))</f>
        <v/>
      </c>
      <c r="J271" s="23">
        <f>IF(A271="","",YEAR(A271))</f>
        <v/>
      </c>
    </row>
    <row r="272">
      <c r="A272" s="47" t="n"/>
      <c r="B272" s="40" t="n"/>
      <c r="C272" s="39" t="n"/>
      <c r="D272" s="39" t="n"/>
      <c r="E272" s="46" t="n"/>
      <c r="F272" s="40" t="n"/>
      <c r="G272" s="24">
        <f>IF(C272="","",IFERROR(INDEX(Casos!$B$5:$B$204,MATCH(C272,Casos!$A$5:$A$204,0)),""))</f>
        <v/>
      </c>
      <c r="H272" s="29">
        <f>IF(OR(B272="",E272=""),"",E272*IFERROR(INDEX(Config!$D$12:$D$21,MATCH(B272,Config!$A$12:$A$21,0)),Config!$B$23))</f>
        <v/>
      </c>
      <c r="I272" s="23">
        <f>IF(A272="","",MONTH(A272))</f>
        <v/>
      </c>
      <c r="J272" s="23">
        <f>IF(A272="","",YEAR(A272))</f>
        <v/>
      </c>
    </row>
    <row r="273">
      <c r="A273" s="47" t="n"/>
      <c r="B273" s="40" t="n"/>
      <c r="C273" s="39" t="n"/>
      <c r="D273" s="39" t="n"/>
      <c r="E273" s="46" t="n"/>
      <c r="F273" s="40" t="n"/>
      <c r="G273" s="24">
        <f>IF(C273="","",IFERROR(INDEX(Casos!$B$5:$B$204,MATCH(C273,Casos!$A$5:$A$204,0)),""))</f>
        <v/>
      </c>
      <c r="H273" s="29">
        <f>IF(OR(B273="",E273=""),"",E273*IFERROR(INDEX(Config!$D$12:$D$21,MATCH(B273,Config!$A$12:$A$21,0)),Config!$B$23))</f>
        <v/>
      </c>
      <c r="I273" s="23">
        <f>IF(A273="","",MONTH(A273))</f>
        <v/>
      </c>
      <c r="J273" s="23">
        <f>IF(A273="","",YEAR(A273))</f>
        <v/>
      </c>
    </row>
    <row r="274">
      <c r="A274" s="47" t="n"/>
      <c r="B274" s="40" t="n"/>
      <c r="C274" s="39" t="n"/>
      <c r="D274" s="39" t="n"/>
      <c r="E274" s="46" t="n"/>
      <c r="F274" s="40" t="n"/>
      <c r="G274" s="24">
        <f>IF(C274="","",IFERROR(INDEX(Casos!$B$5:$B$204,MATCH(C274,Casos!$A$5:$A$204,0)),""))</f>
        <v/>
      </c>
      <c r="H274" s="29">
        <f>IF(OR(B274="",E274=""),"",E274*IFERROR(INDEX(Config!$D$12:$D$21,MATCH(B274,Config!$A$12:$A$21,0)),Config!$B$23))</f>
        <v/>
      </c>
      <c r="I274" s="23">
        <f>IF(A274="","",MONTH(A274))</f>
        <v/>
      </c>
      <c r="J274" s="23">
        <f>IF(A274="","",YEAR(A274))</f>
        <v/>
      </c>
    </row>
    <row r="275">
      <c r="A275" s="47" t="n"/>
      <c r="B275" s="40" t="n"/>
      <c r="C275" s="39" t="n"/>
      <c r="D275" s="39" t="n"/>
      <c r="E275" s="46" t="n"/>
      <c r="F275" s="40" t="n"/>
      <c r="G275" s="24">
        <f>IF(C275="","",IFERROR(INDEX(Casos!$B$5:$B$204,MATCH(C275,Casos!$A$5:$A$204,0)),""))</f>
        <v/>
      </c>
      <c r="H275" s="29">
        <f>IF(OR(B275="",E275=""),"",E275*IFERROR(INDEX(Config!$D$12:$D$21,MATCH(B275,Config!$A$12:$A$21,0)),Config!$B$23))</f>
        <v/>
      </c>
      <c r="I275" s="23">
        <f>IF(A275="","",MONTH(A275))</f>
        <v/>
      </c>
      <c r="J275" s="23">
        <f>IF(A275="","",YEAR(A275))</f>
        <v/>
      </c>
    </row>
    <row r="276">
      <c r="A276" s="47" t="n"/>
      <c r="B276" s="40" t="n"/>
      <c r="C276" s="39" t="n"/>
      <c r="D276" s="39" t="n"/>
      <c r="E276" s="46" t="n"/>
      <c r="F276" s="40" t="n"/>
      <c r="G276" s="24">
        <f>IF(C276="","",IFERROR(INDEX(Casos!$B$5:$B$204,MATCH(C276,Casos!$A$5:$A$204,0)),""))</f>
        <v/>
      </c>
      <c r="H276" s="29">
        <f>IF(OR(B276="",E276=""),"",E276*IFERROR(INDEX(Config!$D$12:$D$21,MATCH(B276,Config!$A$12:$A$21,0)),Config!$B$23))</f>
        <v/>
      </c>
      <c r="I276" s="23">
        <f>IF(A276="","",MONTH(A276))</f>
        <v/>
      </c>
      <c r="J276" s="23">
        <f>IF(A276="","",YEAR(A276))</f>
        <v/>
      </c>
    </row>
    <row r="277">
      <c r="A277" s="47" t="n"/>
      <c r="B277" s="40" t="n"/>
      <c r="C277" s="39" t="n"/>
      <c r="D277" s="39" t="n"/>
      <c r="E277" s="46" t="n"/>
      <c r="F277" s="40" t="n"/>
      <c r="G277" s="24">
        <f>IF(C277="","",IFERROR(INDEX(Casos!$B$5:$B$204,MATCH(C277,Casos!$A$5:$A$204,0)),""))</f>
        <v/>
      </c>
      <c r="H277" s="29">
        <f>IF(OR(B277="",E277=""),"",E277*IFERROR(INDEX(Config!$D$12:$D$21,MATCH(B277,Config!$A$12:$A$21,0)),Config!$B$23))</f>
        <v/>
      </c>
      <c r="I277" s="23">
        <f>IF(A277="","",MONTH(A277))</f>
        <v/>
      </c>
      <c r="J277" s="23">
        <f>IF(A277="","",YEAR(A277))</f>
        <v/>
      </c>
    </row>
    <row r="278">
      <c r="A278" s="47" t="n"/>
      <c r="B278" s="40" t="n"/>
      <c r="C278" s="39" t="n"/>
      <c r="D278" s="39" t="n"/>
      <c r="E278" s="46" t="n"/>
      <c r="F278" s="40" t="n"/>
      <c r="G278" s="24">
        <f>IF(C278="","",IFERROR(INDEX(Casos!$B$5:$B$204,MATCH(C278,Casos!$A$5:$A$204,0)),""))</f>
        <v/>
      </c>
      <c r="H278" s="29">
        <f>IF(OR(B278="",E278=""),"",E278*IFERROR(INDEX(Config!$D$12:$D$21,MATCH(B278,Config!$A$12:$A$21,0)),Config!$B$23))</f>
        <v/>
      </c>
      <c r="I278" s="23">
        <f>IF(A278="","",MONTH(A278))</f>
        <v/>
      </c>
      <c r="J278" s="23">
        <f>IF(A278="","",YEAR(A278))</f>
        <v/>
      </c>
    </row>
    <row r="279">
      <c r="A279" s="47" t="n"/>
      <c r="B279" s="40" t="n"/>
      <c r="C279" s="39" t="n"/>
      <c r="D279" s="39" t="n"/>
      <c r="E279" s="46" t="n"/>
      <c r="F279" s="40" t="n"/>
      <c r="G279" s="24">
        <f>IF(C279="","",IFERROR(INDEX(Casos!$B$5:$B$204,MATCH(C279,Casos!$A$5:$A$204,0)),""))</f>
        <v/>
      </c>
      <c r="H279" s="29">
        <f>IF(OR(B279="",E279=""),"",E279*IFERROR(INDEX(Config!$D$12:$D$21,MATCH(B279,Config!$A$12:$A$21,0)),Config!$B$23))</f>
        <v/>
      </c>
      <c r="I279" s="23">
        <f>IF(A279="","",MONTH(A279))</f>
        <v/>
      </c>
      <c r="J279" s="23">
        <f>IF(A279="","",YEAR(A279))</f>
        <v/>
      </c>
    </row>
    <row r="280">
      <c r="A280" s="47" t="n"/>
      <c r="B280" s="40" t="n"/>
      <c r="C280" s="39" t="n"/>
      <c r="D280" s="39" t="n"/>
      <c r="E280" s="46" t="n"/>
      <c r="F280" s="40" t="n"/>
      <c r="G280" s="24">
        <f>IF(C280="","",IFERROR(INDEX(Casos!$B$5:$B$204,MATCH(C280,Casos!$A$5:$A$204,0)),""))</f>
        <v/>
      </c>
      <c r="H280" s="29">
        <f>IF(OR(B280="",E280=""),"",E280*IFERROR(INDEX(Config!$D$12:$D$21,MATCH(B280,Config!$A$12:$A$21,0)),Config!$B$23))</f>
        <v/>
      </c>
      <c r="I280" s="23">
        <f>IF(A280="","",MONTH(A280))</f>
        <v/>
      </c>
      <c r="J280" s="23">
        <f>IF(A280="","",YEAR(A280))</f>
        <v/>
      </c>
    </row>
    <row r="281">
      <c r="A281" s="47" t="n"/>
      <c r="B281" s="40" t="n"/>
      <c r="C281" s="39" t="n"/>
      <c r="D281" s="39" t="n"/>
      <c r="E281" s="46" t="n"/>
      <c r="F281" s="40" t="n"/>
      <c r="G281" s="24">
        <f>IF(C281="","",IFERROR(INDEX(Casos!$B$5:$B$204,MATCH(C281,Casos!$A$5:$A$204,0)),""))</f>
        <v/>
      </c>
      <c r="H281" s="29">
        <f>IF(OR(B281="",E281=""),"",E281*IFERROR(INDEX(Config!$D$12:$D$21,MATCH(B281,Config!$A$12:$A$21,0)),Config!$B$23))</f>
        <v/>
      </c>
      <c r="I281" s="23">
        <f>IF(A281="","",MONTH(A281))</f>
        <v/>
      </c>
      <c r="J281" s="23">
        <f>IF(A281="","",YEAR(A281))</f>
        <v/>
      </c>
    </row>
    <row r="282">
      <c r="A282" s="47" t="n"/>
      <c r="B282" s="40" t="n"/>
      <c r="C282" s="39" t="n"/>
      <c r="D282" s="39" t="n"/>
      <c r="E282" s="46" t="n"/>
      <c r="F282" s="40" t="n"/>
      <c r="G282" s="24">
        <f>IF(C282="","",IFERROR(INDEX(Casos!$B$5:$B$204,MATCH(C282,Casos!$A$5:$A$204,0)),""))</f>
        <v/>
      </c>
      <c r="H282" s="29">
        <f>IF(OR(B282="",E282=""),"",E282*IFERROR(INDEX(Config!$D$12:$D$21,MATCH(B282,Config!$A$12:$A$21,0)),Config!$B$23))</f>
        <v/>
      </c>
      <c r="I282" s="23">
        <f>IF(A282="","",MONTH(A282))</f>
        <v/>
      </c>
      <c r="J282" s="23">
        <f>IF(A282="","",YEAR(A282))</f>
        <v/>
      </c>
    </row>
    <row r="283">
      <c r="A283" s="47" t="n"/>
      <c r="B283" s="40" t="n"/>
      <c r="C283" s="39" t="n"/>
      <c r="D283" s="39" t="n"/>
      <c r="E283" s="46" t="n"/>
      <c r="F283" s="40" t="n"/>
      <c r="G283" s="24">
        <f>IF(C283="","",IFERROR(INDEX(Casos!$B$5:$B$204,MATCH(C283,Casos!$A$5:$A$204,0)),""))</f>
        <v/>
      </c>
      <c r="H283" s="29">
        <f>IF(OR(B283="",E283=""),"",E283*IFERROR(INDEX(Config!$D$12:$D$21,MATCH(B283,Config!$A$12:$A$21,0)),Config!$B$23))</f>
        <v/>
      </c>
      <c r="I283" s="23">
        <f>IF(A283="","",MONTH(A283))</f>
        <v/>
      </c>
      <c r="J283" s="23">
        <f>IF(A283="","",YEAR(A283))</f>
        <v/>
      </c>
    </row>
    <row r="284">
      <c r="A284" s="47" t="n"/>
      <c r="B284" s="40" t="n"/>
      <c r="C284" s="39" t="n"/>
      <c r="D284" s="39" t="n"/>
      <c r="E284" s="46" t="n"/>
      <c r="F284" s="40" t="n"/>
      <c r="G284" s="24">
        <f>IF(C284="","",IFERROR(INDEX(Casos!$B$5:$B$204,MATCH(C284,Casos!$A$5:$A$204,0)),""))</f>
        <v/>
      </c>
      <c r="H284" s="29">
        <f>IF(OR(B284="",E284=""),"",E284*IFERROR(INDEX(Config!$D$12:$D$21,MATCH(B284,Config!$A$12:$A$21,0)),Config!$B$23))</f>
        <v/>
      </c>
      <c r="I284" s="23">
        <f>IF(A284="","",MONTH(A284))</f>
        <v/>
      </c>
      <c r="J284" s="23">
        <f>IF(A284="","",YEAR(A284))</f>
        <v/>
      </c>
    </row>
    <row r="285">
      <c r="A285" s="47" t="n"/>
      <c r="B285" s="40" t="n"/>
      <c r="C285" s="39" t="n"/>
      <c r="D285" s="39" t="n"/>
      <c r="E285" s="46" t="n"/>
      <c r="F285" s="40" t="n"/>
      <c r="G285" s="24">
        <f>IF(C285="","",IFERROR(INDEX(Casos!$B$5:$B$204,MATCH(C285,Casos!$A$5:$A$204,0)),""))</f>
        <v/>
      </c>
      <c r="H285" s="29">
        <f>IF(OR(B285="",E285=""),"",E285*IFERROR(INDEX(Config!$D$12:$D$21,MATCH(B285,Config!$A$12:$A$21,0)),Config!$B$23))</f>
        <v/>
      </c>
      <c r="I285" s="23">
        <f>IF(A285="","",MONTH(A285))</f>
        <v/>
      </c>
      <c r="J285" s="23">
        <f>IF(A285="","",YEAR(A285))</f>
        <v/>
      </c>
    </row>
    <row r="286">
      <c r="A286" s="47" t="n"/>
      <c r="B286" s="40" t="n"/>
      <c r="C286" s="39" t="n"/>
      <c r="D286" s="39" t="n"/>
      <c r="E286" s="46" t="n"/>
      <c r="F286" s="40" t="n"/>
      <c r="G286" s="24">
        <f>IF(C286="","",IFERROR(INDEX(Casos!$B$5:$B$204,MATCH(C286,Casos!$A$5:$A$204,0)),""))</f>
        <v/>
      </c>
      <c r="H286" s="29">
        <f>IF(OR(B286="",E286=""),"",E286*IFERROR(INDEX(Config!$D$12:$D$21,MATCH(B286,Config!$A$12:$A$21,0)),Config!$B$23))</f>
        <v/>
      </c>
      <c r="I286" s="23">
        <f>IF(A286="","",MONTH(A286))</f>
        <v/>
      </c>
      <c r="J286" s="23">
        <f>IF(A286="","",YEAR(A286))</f>
        <v/>
      </c>
    </row>
    <row r="287">
      <c r="A287" s="47" t="n"/>
      <c r="B287" s="40" t="n"/>
      <c r="C287" s="39" t="n"/>
      <c r="D287" s="39" t="n"/>
      <c r="E287" s="46" t="n"/>
      <c r="F287" s="40" t="n"/>
      <c r="G287" s="24">
        <f>IF(C287="","",IFERROR(INDEX(Casos!$B$5:$B$204,MATCH(C287,Casos!$A$5:$A$204,0)),""))</f>
        <v/>
      </c>
      <c r="H287" s="29">
        <f>IF(OR(B287="",E287=""),"",E287*IFERROR(INDEX(Config!$D$12:$D$21,MATCH(B287,Config!$A$12:$A$21,0)),Config!$B$23))</f>
        <v/>
      </c>
      <c r="I287" s="23">
        <f>IF(A287="","",MONTH(A287))</f>
        <v/>
      </c>
      <c r="J287" s="23">
        <f>IF(A287="","",YEAR(A287))</f>
        <v/>
      </c>
    </row>
    <row r="288">
      <c r="A288" s="47" t="n"/>
      <c r="B288" s="40" t="n"/>
      <c r="C288" s="39" t="n"/>
      <c r="D288" s="39" t="n"/>
      <c r="E288" s="46" t="n"/>
      <c r="F288" s="40" t="n"/>
      <c r="G288" s="24">
        <f>IF(C288="","",IFERROR(INDEX(Casos!$B$5:$B$204,MATCH(C288,Casos!$A$5:$A$204,0)),""))</f>
        <v/>
      </c>
      <c r="H288" s="29">
        <f>IF(OR(B288="",E288=""),"",E288*IFERROR(INDEX(Config!$D$12:$D$21,MATCH(B288,Config!$A$12:$A$21,0)),Config!$B$23))</f>
        <v/>
      </c>
      <c r="I288" s="23">
        <f>IF(A288="","",MONTH(A288))</f>
        <v/>
      </c>
      <c r="J288" s="23">
        <f>IF(A288="","",YEAR(A288))</f>
        <v/>
      </c>
    </row>
    <row r="289">
      <c r="A289" s="47" t="n"/>
      <c r="B289" s="40" t="n"/>
      <c r="C289" s="39" t="n"/>
      <c r="D289" s="39" t="n"/>
      <c r="E289" s="46" t="n"/>
      <c r="F289" s="40" t="n"/>
      <c r="G289" s="24">
        <f>IF(C289="","",IFERROR(INDEX(Casos!$B$5:$B$204,MATCH(C289,Casos!$A$5:$A$204,0)),""))</f>
        <v/>
      </c>
      <c r="H289" s="29">
        <f>IF(OR(B289="",E289=""),"",E289*IFERROR(INDEX(Config!$D$12:$D$21,MATCH(B289,Config!$A$12:$A$21,0)),Config!$B$23))</f>
        <v/>
      </c>
      <c r="I289" s="23">
        <f>IF(A289="","",MONTH(A289))</f>
        <v/>
      </c>
      <c r="J289" s="23">
        <f>IF(A289="","",YEAR(A289))</f>
        <v/>
      </c>
    </row>
    <row r="290">
      <c r="A290" s="47" t="n"/>
      <c r="B290" s="40" t="n"/>
      <c r="C290" s="39" t="n"/>
      <c r="D290" s="39" t="n"/>
      <c r="E290" s="46" t="n"/>
      <c r="F290" s="40" t="n"/>
      <c r="G290" s="24">
        <f>IF(C290="","",IFERROR(INDEX(Casos!$B$5:$B$204,MATCH(C290,Casos!$A$5:$A$204,0)),""))</f>
        <v/>
      </c>
      <c r="H290" s="29">
        <f>IF(OR(B290="",E290=""),"",E290*IFERROR(INDEX(Config!$D$12:$D$21,MATCH(B290,Config!$A$12:$A$21,0)),Config!$B$23))</f>
        <v/>
      </c>
      <c r="I290" s="23">
        <f>IF(A290="","",MONTH(A290))</f>
        <v/>
      </c>
      <c r="J290" s="23">
        <f>IF(A290="","",YEAR(A290))</f>
        <v/>
      </c>
    </row>
    <row r="291">
      <c r="A291" s="47" t="n"/>
      <c r="B291" s="40" t="n"/>
      <c r="C291" s="39" t="n"/>
      <c r="D291" s="39" t="n"/>
      <c r="E291" s="46" t="n"/>
      <c r="F291" s="40" t="n"/>
      <c r="G291" s="24">
        <f>IF(C291="","",IFERROR(INDEX(Casos!$B$5:$B$204,MATCH(C291,Casos!$A$5:$A$204,0)),""))</f>
        <v/>
      </c>
      <c r="H291" s="29">
        <f>IF(OR(B291="",E291=""),"",E291*IFERROR(INDEX(Config!$D$12:$D$21,MATCH(B291,Config!$A$12:$A$21,0)),Config!$B$23))</f>
        <v/>
      </c>
      <c r="I291" s="23">
        <f>IF(A291="","",MONTH(A291))</f>
        <v/>
      </c>
      <c r="J291" s="23">
        <f>IF(A291="","",YEAR(A291))</f>
        <v/>
      </c>
    </row>
    <row r="292">
      <c r="A292" s="47" t="n"/>
      <c r="B292" s="40" t="n"/>
      <c r="C292" s="39" t="n"/>
      <c r="D292" s="39" t="n"/>
      <c r="E292" s="46" t="n"/>
      <c r="F292" s="40" t="n"/>
      <c r="G292" s="24">
        <f>IF(C292="","",IFERROR(INDEX(Casos!$B$5:$B$204,MATCH(C292,Casos!$A$5:$A$204,0)),""))</f>
        <v/>
      </c>
      <c r="H292" s="29">
        <f>IF(OR(B292="",E292=""),"",E292*IFERROR(INDEX(Config!$D$12:$D$21,MATCH(B292,Config!$A$12:$A$21,0)),Config!$B$23))</f>
        <v/>
      </c>
      <c r="I292" s="23">
        <f>IF(A292="","",MONTH(A292))</f>
        <v/>
      </c>
      <c r="J292" s="23">
        <f>IF(A292="","",YEAR(A292))</f>
        <v/>
      </c>
    </row>
    <row r="293">
      <c r="A293" s="47" t="n"/>
      <c r="B293" s="40" t="n"/>
      <c r="C293" s="39" t="n"/>
      <c r="D293" s="39" t="n"/>
      <c r="E293" s="46" t="n"/>
      <c r="F293" s="40" t="n"/>
      <c r="G293" s="24">
        <f>IF(C293="","",IFERROR(INDEX(Casos!$B$5:$B$204,MATCH(C293,Casos!$A$5:$A$204,0)),""))</f>
        <v/>
      </c>
      <c r="H293" s="29">
        <f>IF(OR(B293="",E293=""),"",E293*IFERROR(INDEX(Config!$D$12:$D$21,MATCH(B293,Config!$A$12:$A$21,0)),Config!$B$23))</f>
        <v/>
      </c>
      <c r="I293" s="23">
        <f>IF(A293="","",MONTH(A293))</f>
        <v/>
      </c>
      <c r="J293" s="23">
        <f>IF(A293="","",YEAR(A293))</f>
        <v/>
      </c>
    </row>
    <row r="294">
      <c r="A294" s="47" t="n"/>
      <c r="B294" s="40" t="n"/>
      <c r="C294" s="39" t="n"/>
      <c r="D294" s="39" t="n"/>
      <c r="E294" s="46" t="n"/>
      <c r="F294" s="40" t="n"/>
      <c r="G294" s="24">
        <f>IF(C294="","",IFERROR(INDEX(Casos!$B$5:$B$204,MATCH(C294,Casos!$A$5:$A$204,0)),""))</f>
        <v/>
      </c>
      <c r="H294" s="29">
        <f>IF(OR(B294="",E294=""),"",E294*IFERROR(INDEX(Config!$D$12:$D$21,MATCH(B294,Config!$A$12:$A$21,0)),Config!$B$23))</f>
        <v/>
      </c>
      <c r="I294" s="23">
        <f>IF(A294="","",MONTH(A294))</f>
        <v/>
      </c>
      <c r="J294" s="23">
        <f>IF(A294="","",YEAR(A294))</f>
        <v/>
      </c>
    </row>
    <row r="295">
      <c r="A295" s="47" t="n"/>
      <c r="B295" s="40" t="n"/>
      <c r="C295" s="39" t="n"/>
      <c r="D295" s="39" t="n"/>
      <c r="E295" s="46" t="n"/>
      <c r="F295" s="40" t="n"/>
      <c r="G295" s="24">
        <f>IF(C295="","",IFERROR(INDEX(Casos!$B$5:$B$204,MATCH(C295,Casos!$A$5:$A$204,0)),""))</f>
        <v/>
      </c>
      <c r="H295" s="29">
        <f>IF(OR(B295="",E295=""),"",E295*IFERROR(INDEX(Config!$D$12:$D$21,MATCH(B295,Config!$A$12:$A$21,0)),Config!$B$23))</f>
        <v/>
      </c>
      <c r="I295" s="23">
        <f>IF(A295="","",MONTH(A295))</f>
        <v/>
      </c>
      <c r="J295" s="23">
        <f>IF(A295="","",YEAR(A295))</f>
        <v/>
      </c>
    </row>
    <row r="296">
      <c r="A296" s="47" t="n"/>
      <c r="B296" s="40" t="n"/>
      <c r="C296" s="39" t="n"/>
      <c r="D296" s="39" t="n"/>
      <c r="E296" s="46" t="n"/>
      <c r="F296" s="40" t="n"/>
      <c r="G296" s="24">
        <f>IF(C296="","",IFERROR(INDEX(Casos!$B$5:$B$204,MATCH(C296,Casos!$A$5:$A$204,0)),""))</f>
        <v/>
      </c>
      <c r="H296" s="29">
        <f>IF(OR(B296="",E296=""),"",E296*IFERROR(INDEX(Config!$D$12:$D$21,MATCH(B296,Config!$A$12:$A$21,0)),Config!$B$23))</f>
        <v/>
      </c>
      <c r="I296" s="23">
        <f>IF(A296="","",MONTH(A296))</f>
        <v/>
      </c>
      <c r="J296" s="23">
        <f>IF(A296="","",YEAR(A296))</f>
        <v/>
      </c>
    </row>
    <row r="297">
      <c r="A297" s="47" t="n"/>
      <c r="B297" s="40" t="n"/>
      <c r="C297" s="39" t="n"/>
      <c r="D297" s="39" t="n"/>
      <c r="E297" s="46" t="n"/>
      <c r="F297" s="40" t="n"/>
      <c r="G297" s="24">
        <f>IF(C297="","",IFERROR(INDEX(Casos!$B$5:$B$204,MATCH(C297,Casos!$A$5:$A$204,0)),""))</f>
        <v/>
      </c>
      <c r="H297" s="29">
        <f>IF(OR(B297="",E297=""),"",E297*IFERROR(INDEX(Config!$D$12:$D$21,MATCH(B297,Config!$A$12:$A$21,0)),Config!$B$23))</f>
        <v/>
      </c>
      <c r="I297" s="23">
        <f>IF(A297="","",MONTH(A297))</f>
        <v/>
      </c>
      <c r="J297" s="23">
        <f>IF(A297="","",YEAR(A297))</f>
        <v/>
      </c>
    </row>
    <row r="298">
      <c r="A298" s="47" t="n"/>
      <c r="B298" s="40" t="n"/>
      <c r="C298" s="39" t="n"/>
      <c r="D298" s="39" t="n"/>
      <c r="E298" s="46" t="n"/>
      <c r="F298" s="40" t="n"/>
      <c r="G298" s="24">
        <f>IF(C298="","",IFERROR(INDEX(Casos!$B$5:$B$204,MATCH(C298,Casos!$A$5:$A$204,0)),""))</f>
        <v/>
      </c>
      <c r="H298" s="29">
        <f>IF(OR(B298="",E298=""),"",E298*IFERROR(INDEX(Config!$D$12:$D$21,MATCH(B298,Config!$A$12:$A$21,0)),Config!$B$23))</f>
        <v/>
      </c>
      <c r="I298" s="23">
        <f>IF(A298="","",MONTH(A298))</f>
        <v/>
      </c>
      <c r="J298" s="23">
        <f>IF(A298="","",YEAR(A298))</f>
        <v/>
      </c>
    </row>
    <row r="299">
      <c r="A299" s="47" t="n"/>
      <c r="B299" s="40" t="n"/>
      <c r="C299" s="39" t="n"/>
      <c r="D299" s="39" t="n"/>
      <c r="E299" s="46" t="n"/>
      <c r="F299" s="40" t="n"/>
      <c r="G299" s="24">
        <f>IF(C299="","",IFERROR(INDEX(Casos!$B$5:$B$204,MATCH(C299,Casos!$A$5:$A$204,0)),""))</f>
        <v/>
      </c>
      <c r="H299" s="29">
        <f>IF(OR(B299="",E299=""),"",E299*IFERROR(INDEX(Config!$D$12:$D$21,MATCH(B299,Config!$A$12:$A$21,0)),Config!$B$23))</f>
        <v/>
      </c>
      <c r="I299" s="23">
        <f>IF(A299="","",MONTH(A299))</f>
        <v/>
      </c>
      <c r="J299" s="23">
        <f>IF(A299="","",YEAR(A299))</f>
        <v/>
      </c>
    </row>
    <row r="300">
      <c r="A300" s="47" t="n"/>
      <c r="B300" s="40" t="n"/>
      <c r="C300" s="39" t="n"/>
      <c r="D300" s="39" t="n"/>
      <c r="E300" s="46" t="n"/>
      <c r="F300" s="40" t="n"/>
      <c r="G300" s="24">
        <f>IF(C300="","",IFERROR(INDEX(Casos!$B$5:$B$204,MATCH(C300,Casos!$A$5:$A$204,0)),""))</f>
        <v/>
      </c>
      <c r="H300" s="29">
        <f>IF(OR(B300="",E300=""),"",E300*IFERROR(INDEX(Config!$D$12:$D$21,MATCH(B300,Config!$A$12:$A$21,0)),Config!$B$23))</f>
        <v/>
      </c>
      <c r="I300" s="23">
        <f>IF(A300="","",MONTH(A300))</f>
        <v/>
      </c>
      <c r="J300" s="23">
        <f>IF(A300="","",YEAR(A300))</f>
        <v/>
      </c>
    </row>
    <row r="301">
      <c r="A301" s="47" t="n"/>
      <c r="B301" s="40" t="n"/>
      <c r="C301" s="39" t="n"/>
      <c r="D301" s="39" t="n"/>
      <c r="E301" s="46" t="n"/>
      <c r="F301" s="40" t="n"/>
      <c r="G301" s="24">
        <f>IF(C301="","",IFERROR(INDEX(Casos!$B$5:$B$204,MATCH(C301,Casos!$A$5:$A$204,0)),""))</f>
        <v/>
      </c>
      <c r="H301" s="29">
        <f>IF(OR(B301="",E301=""),"",E301*IFERROR(INDEX(Config!$D$12:$D$21,MATCH(B301,Config!$A$12:$A$21,0)),Config!$B$23))</f>
        <v/>
      </c>
      <c r="I301" s="23">
        <f>IF(A301="","",MONTH(A301))</f>
        <v/>
      </c>
      <c r="J301" s="23">
        <f>IF(A301="","",YEAR(A301))</f>
        <v/>
      </c>
    </row>
    <row r="302">
      <c r="A302" s="47" t="n"/>
      <c r="B302" s="40" t="n"/>
      <c r="C302" s="39" t="n"/>
      <c r="D302" s="39" t="n"/>
      <c r="E302" s="46" t="n"/>
      <c r="F302" s="40" t="n"/>
      <c r="G302" s="24">
        <f>IF(C302="","",IFERROR(INDEX(Casos!$B$5:$B$204,MATCH(C302,Casos!$A$5:$A$204,0)),""))</f>
        <v/>
      </c>
      <c r="H302" s="29">
        <f>IF(OR(B302="",E302=""),"",E302*IFERROR(INDEX(Config!$D$12:$D$21,MATCH(B302,Config!$A$12:$A$21,0)),Config!$B$23))</f>
        <v/>
      </c>
      <c r="I302" s="23">
        <f>IF(A302="","",MONTH(A302))</f>
        <v/>
      </c>
      <c r="J302" s="23">
        <f>IF(A302="","",YEAR(A302))</f>
        <v/>
      </c>
    </row>
    <row r="303">
      <c r="A303" s="47" t="n"/>
      <c r="B303" s="40" t="n"/>
      <c r="C303" s="39" t="n"/>
      <c r="D303" s="39" t="n"/>
      <c r="E303" s="46" t="n"/>
      <c r="F303" s="40" t="n"/>
      <c r="G303" s="24">
        <f>IF(C303="","",IFERROR(INDEX(Casos!$B$5:$B$204,MATCH(C303,Casos!$A$5:$A$204,0)),""))</f>
        <v/>
      </c>
      <c r="H303" s="29">
        <f>IF(OR(B303="",E303=""),"",E303*IFERROR(INDEX(Config!$D$12:$D$21,MATCH(B303,Config!$A$12:$A$21,0)),Config!$B$23))</f>
        <v/>
      </c>
      <c r="I303" s="23">
        <f>IF(A303="","",MONTH(A303))</f>
        <v/>
      </c>
      <c r="J303" s="23">
        <f>IF(A303="","",YEAR(A303))</f>
        <v/>
      </c>
    </row>
    <row r="304">
      <c r="A304" s="47" t="n"/>
      <c r="B304" s="40" t="n"/>
      <c r="C304" s="39" t="n"/>
      <c r="D304" s="39" t="n"/>
      <c r="E304" s="46" t="n"/>
      <c r="F304" s="40" t="n"/>
      <c r="G304" s="24">
        <f>IF(C304="","",IFERROR(INDEX(Casos!$B$5:$B$204,MATCH(C304,Casos!$A$5:$A$204,0)),""))</f>
        <v/>
      </c>
      <c r="H304" s="29">
        <f>IF(OR(B304="",E304=""),"",E304*IFERROR(INDEX(Config!$D$12:$D$21,MATCH(B304,Config!$A$12:$A$21,0)),Config!$B$23))</f>
        <v/>
      </c>
      <c r="I304" s="23">
        <f>IF(A304="","",MONTH(A304))</f>
        <v/>
      </c>
      <c r="J304" s="23">
        <f>IF(A304="","",YEAR(A304))</f>
        <v/>
      </c>
    </row>
    <row r="305">
      <c r="A305" s="47" t="n"/>
      <c r="B305" s="40" t="n"/>
      <c r="C305" s="39" t="n"/>
      <c r="D305" s="39" t="n"/>
      <c r="E305" s="46" t="n"/>
      <c r="F305" s="40" t="n"/>
      <c r="G305" s="24">
        <f>IF(C305="","",IFERROR(INDEX(Casos!$B$5:$B$204,MATCH(C305,Casos!$A$5:$A$204,0)),""))</f>
        <v/>
      </c>
      <c r="H305" s="29">
        <f>IF(OR(B305="",E305=""),"",E305*IFERROR(INDEX(Config!$D$12:$D$21,MATCH(B305,Config!$A$12:$A$21,0)),Config!$B$23))</f>
        <v/>
      </c>
      <c r="I305" s="23">
        <f>IF(A305="","",MONTH(A305))</f>
        <v/>
      </c>
      <c r="J305" s="23">
        <f>IF(A305="","",YEAR(A305))</f>
        <v/>
      </c>
    </row>
    <row r="306">
      <c r="A306" s="47" t="n"/>
      <c r="B306" s="40" t="n"/>
      <c r="C306" s="39" t="n"/>
      <c r="D306" s="39" t="n"/>
      <c r="E306" s="46" t="n"/>
      <c r="F306" s="40" t="n"/>
      <c r="G306" s="24">
        <f>IF(C306="","",IFERROR(INDEX(Casos!$B$5:$B$204,MATCH(C306,Casos!$A$5:$A$204,0)),""))</f>
        <v/>
      </c>
      <c r="H306" s="29">
        <f>IF(OR(B306="",E306=""),"",E306*IFERROR(INDEX(Config!$D$12:$D$21,MATCH(B306,Config!$A$12:$A$21,0)),Config!$B$23))</f>
        <v/>
      </c>
      <c r="I306" s="23">
        <f>IF(A306="","",MONTH(A306))</f>
        <v/>
      </c>
      <c r="J306" s="23">
        <f>IF(A306="","",YEAR(A306))</f>
        <v/>
      </c>
    </row>
    <row r="307">
      <c r="A307" s="47" t="n"/>
      <c r="B307" s="40" t="n"/>
      <c r="C307" s="39" t="n"/>
      <c r="D307" s="39" t="n"/>
      <c r="E307" s="46" t="n"/>
      <c r="F307" s="40" t="n"/>
      <c r="G307" s="24">
        <f>IF(C307="","",IFERROR(INDEX(Casos!$B$5:$B$204,MATCH(C307,Casos!$A$5:$A$204,0)),""))</f>
        <v/>
      </c>
      <c r="H307" s="29">
        <f>IF(OR(B307="",E307=""),"",E307*IFERROR(INDEX(Config!$D$12:$D$21,MATCH(B307,Config!$A$12:$A$21,0)),Config!$B$23))</f>
        <v/>
      </c>
      <c r="I307" s="23">
        <f>IF(A307="","",MONTH(A307))</f>
        <v/>
      </c>
      <c r="J307" s="23">
        <f>IF(A307="","",YEAR(A307))</f>
        <v/>
      </c>
    </row>
    <row r="308">
      <c r="A308" s="47" t="n"/>
      <c r="B308" s="40" t="n"/>
      <c r="C308" s="39" t="n"/>
      <c r="D308" s="39" t="n"/>
      <c r="E308" s="46" t="n"/>
      <c r="F308" s="40" t="n"/>
      <c r="G308" s="24">
        <f>IF(C308="","",IFERROR(INDEX(Casos!$B$5:$B$204,MATCH(C308,Casos!$A$5:$A$204,0)),""))</f>
        <v/>
      </c>
      <c r="H308" s="29">
        <f>IF(OR(B308="",E308=""),"",E308*IFERROR(INDEX(Config!$D$12:$D$21,MATCH(B308,Config!$A$12:$A$21,0)),Config!$B$23))</f>
        <v/>
      </c>
      <c r="I308" s="23">
        <f>IF(A308="","",MONTH(A308))</f>
        <v/>
      </c>
      <c r="J308" s="23">
        <f>IF(A308="","",YEAR(A308))</f>
        <v/>
      </c>
    </row>
    <row r="309">
      <c r="A309" s="47" t="n"/>
      <c r="B309" s="40" t="n"/>
      <c r="C309" s="39" t="n"/>
      <c r="D309" s="39" t="n"/>
      <c r="E309" s="46" t="n"/>
      <c r="F309" s="40" t="n"/>
      <c r="G309" s="24">
        <f>IF(C309="","",IFERROR(INDEX(Casos!$B$5:$B$204,MATCH(C309,Casos!$A$5:$A$204,0)),""))</f>
        <v/>
      </c>
      <c r="H309" s="29">
        <f>IF(OR(B309="",E309=""),"",E309*IFERROR(INDEX(Config!$D$12:$D$21,MATCH(B309,Config!$A$12:$A$21,0)),Config!$B$23))</f>
        <v/>
      </c>
      <c r="I309" s="23">
        <f>IF(A309="","",MONTH(A309))</f>
        <v/>
      </c>
      <c r="J309" s="23">
        <f>IF(A309="","",YEAR(A309))</f>
        <v/>
      </c>
    </row>
    <row r="310">
      <c r="A310" s="47" t="n"/>
      <c r="B310" s="40" t="n"/>
      <c r="C310" s="39" t="n"/>
      <c r="D310" s="39" t="n"/>
      <c r="E310" s="46" t="n"/>
      <c r="F310" s="40" t="n"/>
      <c r="G310" s="24">
        <f>IF(C310="","",IFERROR(INDEX(Casos!$B$5:$B$204,MATCH(C310,Casos!$A$5:$A$204,0)),""))</f>
        <v/>
      </c>
      <c r="H310" s="29">
        <f>IF(OR(B310="",E310=""),"",E310*IFERROR(INDEX(Config!$D$12:$D$21,MATCH(B310,Config!$A$12:$A$21,0)),Config!$B$23))</f>
        <v/>
      </c>
      <c r="I310" s="23">
        <f>IF(A310="","",MONTH(A310))</f>
        <v/>
      </c>
      <c r="J310" s="23">
        <f>IF(A310="","",YEAR(A310))</f>
        <v/>
      </c>
    </row>
    <row r="311">
      <c r="A311" s="47" t="n"/>
      <c r="B311" s="40" t="n"/>
      <c r="C311" s="39" t="n"/>
      <c r="D311" s="39" t="n"/>
      <c r="E311" s="46" t="n"/>
      <c r="F311" s="40" t="n"/>
      <c r="G311" s="24">
        <f>IF(C311="","",IFERROR(INDEX(Casos!$B$5:$B$204,MATCH(C311,Casos!$A$5:$A$204,0)),""))</f>
        <v/>
      </c>
      <c r="H311" s="29">
        <f>IF(OR(B311="",E311=""),"",E311*IFERROR(INDEX(Config!$D$12:$D$21,MATCH(B311,Config!$A$12:$A$21,0)),Config!$B$23))</f>
        <v/>
      </c>
      <c r="I311" s="23">
        <f>IF(A311="","",MONTH(A311))</f>
        <v/>
      </c>
      <c r="J311" s="23">
        <f>IF(A311="","",YEAR(A311))</f>
        <v/>
      </c>
    </row>
    <row r="312">
      <c r="A312" s="47" t="n"/>
      <c r="B312" s="40" t="n"/>
      <c r="C312" s="39" t="n"/>
      <c r="D312" s="39" t="n"/>
      <c r="E312" s="46" t="n"/>
      <c r="F312" s="40" t="n"/>
      <c r="G312" s="24">
        <f>IF(C312="","",IFERROR(INDEX(Casos!$B$5:$B$204,MATCH(C312,Casos!$A$5:$A$204,0)),""))</f>
        <v/>
      </c>
      <c r="H312" s="29">
        <f>IF(OR(B312="",E312=""),"",E312*IFERROR(INDEX(Config!$D$12:$D$21,MATCH(B312,Config!$A$12:$A$21,0)),Config!$B$23))</f>
        <v/>
      </c>
      <c r="I312" s="23">
        <f>IF(A312="","",MONTH(A312))</f>
        <v/>
      </c>
      <c r="J312" s="23">
        <f>IF(A312="","",YEAR(A312))</f>
        <v/>
      </c>
    </row>
    <row r="313">
      <c r="A313" s="47" t="n"/>
      <c r="B313" s="40" t="n"/>
      <c r="C313" s="39" t="n"/>
      <c r="D313" s="39" t="n"/>
      <c r="E313" s="46" t="n"/>
      <c r="F313" s="40" t="n"/>
      <c r="G313" s="24">
        <f>IF(C313="","",IFERROR(INDEX(Casos!$B$5:$B$204,MATCH(C313,Casos!$A$5:$A$204,0)),""))</f>
        <v/>
      </c>
      <c r="H313" s="29">
        <f>IF(OR(B313="",E313=""),"",E313*IFERROR(INDEX(Config!$D$12:$D$21,MATCH(B313,Config!$A$12:$A$21,0)),Config!$B$23))</f>
        <v/>
      </c>
      <c r="I313" s="23">
        <f>IF(A313="","",MONTH(A313))</f>
        <v/>
      </c>
      <c r="J313" s="23">
        <f>IF(A313="","",YEAR(A313))</f>
        <v/>
      </c>
    </row>
    <row r="314">
      <c r="A314" s="47" t="n"/>
      <c r="B314" s="40" t="n"/>
      <c r="C314" s="39" t="n"/>
      <c r="D314" s="39" t="n"/>
      <c r="E314" s="46" t="n"/>
      <c r="F314" s="40" t="n"/>
      <c r="G314" s="24">
        <f>IF(C314="","",IFERROR(INDEX(Casos!$B$5:$B$204,MATCH(C314,Casos!$A$5:$A$204,0)),""))</f>
        <v/>
      </c>
      <c r="H314" s="29">
        <f>IF(OR(B314="",E314=""),"",E314*IFERROR(INDEX(Config!$D$12:$D$21,MATCH(B314,Config!$A$12:$A$21,0)),Config!$B$23))</f>
        <v/>
      </c>
      <c r="I314" s="23">
        <f>IF(A314="","",MONTH(A314))</f>
        <v/>
      </c>
      <c r="J314" s="23">
        <f>IF(A314="","",YEAR(A314))</f>
        <v/>
      </c>
    </row>
    <row r="315">
      <c r="A315" s="47" t="n"/>
      <c r="B315" s="40" t="n"/>
      <c r="C315" s="39" t="n"/>
      <c r="D315" s="39" t="n"/>
      <c r="E315" s="46" t="n"/>
      <c r="F315" s="40" t="n"/>
      <c r="G315" s="24">
        <f>IF(C315="","",IFERROR(INDEX(Casos!$B$5:$B$204,MATCH(C315,Casos!$A$5:$A$204,0)),""))</f>
        <v/>
      </c>
      <c r="H315" s="29">
        <f>IF(OR(B315="",E315=""),"",E315*IFERROR(INDEX(Config!$D$12:$D$21,MATCH(B315,Config!$A$12:$A$21,0)),Config!$B$23))</f>
        <v/>
      </c>
      <c r="I315" s="23">
        <f>IF(A315="","",MONTH(A315))</f>
        <v/>
      </c>
      <c r="J315" s="23">
        <f>IF(A315="","",YEAR(A315))</f>
        <v/>
      </c>
    </row>
    <row r="316">
      <c r="A316" s="47" t="n"/>
      <c r="B316" s="40" t="n"/>
      <c r="C316" s="39" t="n"/>
      <c r="D316" s="39" t="n"/>
      <c r="E316" s="46" t="n"/>
      <c r="F316" s="40" t="n"/>
      <c r="G316" s="24">
        <f>IF(C316="","",IFERROR(INDEX(Casos!$B$5:$B$204,MATCH(C316,Casos!$A$5:$A$204,0)),""))</f>
        <v/>
      </c>
      <c r="H316" s="29">
        <f>IF(OR(B316="",E316=""),"",E316*IFERROR(INDEX(Config!$D$12:$D$21,MATCH(B316,Config!$A$12:$A$21,0)),Config!$B$23))</f>
        <v/>
      </c>
      <c r="I316" s="23">
        <f>IF(A316="","",MONTH(A316))</f>
        <v/>
      </c>
      <c r="J316" s="23">
        <f>IF(A316="","",YEAR(A316))</f>
        <v/>
      </c>
    </row>
    <row r="317">
      <c r="A317" s="47" t="n"/>
      <c r="B317" s="40" t="n"/>
      <c r="C317" s="39" t="n"/>
      <c r="D317" s="39" t="n"/>
      <c r="E317" s="46" t="n"/>
      <c r="F317" s="40" t="n"/>
      <c r="G317" s="24">
        <f>IF(C317="","",IFERROR(INDEX(Casos!$B$5:$B$204,MATCH(C317,Casos!$A$5:$A$204,0)),""))</f>
        <v/>
      </c>
      <c r="H317" s="29">
        <f>IF(OR(B317="",E317=""),"",E317*IFERROR(INDEX(Config!$D$12:$D$21,MATCH(B317,Config!$A$12:$A$21,0)),Config!$B$23))</f>
        <v/>
      </c>
      <c r="I317" s="23">
        <f>IF(A317="","",MONTH(A317))</f>
        <v/>
      </c>
      <c r="J317" s="23">
        <f>IF(A317="","",YEAR(A317))</f>
        <v/>
      </c>
    </row>
    <row r="318">
      <c r="A318" s="47" t="n"/>
      <c r="B318" s="40" t="n"/>
      <c r="C318" s="39" t="n"/>
      <c r="D318" s="39" t="n"/>
      <c r="E318" s="46" t="n"/>
      <c r="F318" s="40" t="n"/>
      <c r="G318" s="24">
        <f>IF(C318="","",IFERROR(INDEX(Casos!$B$5:$B$204,MATCH(C318,Casos!$A$5:$A$204,0)),""))</f>
        <v/>
      </c>
      <c r="H318" s="29">
        <f>IF(OR(B318="",E318=""),"",E318*IFERROR(INDEX(Config!$D$12:$D$21,MATCH(B318,Config!$A$12:$A$21,0)),Config!$B$23))</f>
        <v/>
      </c>
      <c r="I318" s="23">
        <f>IF(A318="","",MONTH(A318))</f>
        <v/>
      </c>
      <c r="J318" s="23">
        <f>IF(A318="","",YEAR(A318))</f>
        <v/>
      </c>
    </row>
    <row r="319">
      <c r="A319" s="47" t="n"/>
      <c r="B319" s="40" t="n"/>
      <c r="C319" s="39" t="n"/>
      <c r="D319" s="39" t="n"/>
      <c r="E319" s="46" t="n"/>
      <c r="F319" s="40" t="n"/>
      <c r="G319" s="24">
        <f>IF(C319="","",IFERROR(INDEX(Casos!$B$5:$B$204,MATCH(C319,Casos!$A$5:$A$204,0)),""))</f>
        <v/>
      </c>
      <c r="H319" s="29">
        <f>IF(OR(B319="",E319=""),"",E319*IFERROR(INDEX(Config!$D$12:$D$21,MATCH(B319,Config!$A$12:$A$21,0)),Config!$B$23))</f>
        <v/>
      </c>
      <c r="I319" s="23">
        <f>IF(A319="","",MONTH(A319))</f>
        <v/>
      </c>
      <c r="J319" s="23">
        <f>IF(A319="","",YEAR(A319))</f>
        <v/>
      </c>
    </row>
    <row r="320">
      <c r="A320" s="47" t="n"/>
      <c r="B320" s="40" t="n"/>
      <c r="C320" s="39" t="n"/>
      <c r="D320" s="39" t="n"/>
      <c r="E320" s="46" t="n"/>
      <c r="F320" s="40" t="n"/>
      <c r="G320" s="24">
        <f>IF(C320="","",IFERROR(INDEX(Casos!$B$5:$B$204,MATCH(C320,Casos!$A$5:$A$204,0)),""))</f>
        <v/>
      </c>
      <c r="H320" s="29">
        <f>IF(OR(B320="",E320=""),"",E320*IFERROR(INDEX(Config!$D$12:$D$21,MATCH(B320,Config!$A$12:$A$21,0)),Config!$B$23))</f>
        <v/>
      </c>
      <c r="I320" s="23">
        <f>IF(A320="","",MONTH(A320))</f>
        <v/>
      </c>
      <c r="J320" s="23">
        <f>IF(A320="","",YEAR(A320))</f>
        <v/>
      </c>
    </row>
    <row r="321">
      <c r="A321" s="47" t="n"/>
      <c r="B321" s="40" t="n"/>
      <c r="C321" s="39" t="n"/>
      <c r="D321" s="39" t="n"/>
      <c r="E321" s="46" t="n"/>
      <c r="F321" s="40" t="n"/>
      <c r="G321" s="24">
        <f>IF(C321="","",IFERROR(INDEX(Casos!$B$5:$B$204,MATCH(C321,Casos!$A$5:$A$204,0)),""))</f>
        <v/>
      </c>
      <c r="H321" s="29">
        <f>IF(OR(B321="",E321=""),"",E321*IFERROR(INDEX(Config!$D$12:$D$21,MATCH(B321,Config!$A$12:$A$21,0)),Config!$B$23))</f>
        <v/>
      </c>
      <c r="I321" s="23">
        <f>IF(A321="","",MONTH(A321))</f>
        <v/>
      </c>
      <c r="J321" s="23">
        <f>IF(A321="","",YEAR(A321))</f>
        <v/>
      </c>
    </row>
    <row r="322">
      <c r="A322" s="47" t="n"/>
      <c r="B322" s="40" t="n"/>
      <c r="C322" s="39" t="n"/>
      <c r="D322" s="39" t="n"/>
      <c r="E322" s="46" t="n"/>
      <c r="F322" s="40" t="n"/>
      <c r="G322" s="24">
        <f>IF(C322="","",IFERROR(INDEX(Casos!$B$5:$B$204,MATCH(C322,Casos!$A$5:$A$204,0)),""))</f>
        <v/>
      </c>
      <c r="H322" s="29">
        <f>IF(OR(B322="",E322=""),"",E322*IFERROR(INDEX(Config!$D$12:$D$21,MATCH(B322,Config!$A$12:$A$21,0)),Config!$B$23))</f>
        <v/>
      </c>
      <c r="I322" s="23">
        <f>IF(A322="","",MONTH(A322))</f>
        <v/>
      </c>
      <c r="J322" s="23">
        <f>IF(A322="","",YEAR(A322))</f>
        <v/>
      </c>
    </row>
    <row r="323">
      <c r="A323" s="47" t="n"/>
      <c r="B323" s="40" t="n"/>
      <c r="C323" s="39" t="n"/>
      <c r="D323" s="39" t="n"/>
      <c r="E323" s="46" t="n"/>
      <c r="F323" s="40" t="n"/>
      <c r="G323" s="24">
        <f>IF(C323="","",IFERROR(INDEX(Casos!$B$5:$B$204,MATCH(C323,Casos!$A$5:$A$204,0)),""))</f>
        <v/>
      </c>
      <c r="H323" s="29">
        <f>IF(OR(B323="",E323=""),"",E323*IFERROR(INDEX(Config!$D$12:$D$21,MATCH(B323,Config!$A$12:$A$21,0)),Config!$B$23))</f>
        <v/>
      </c>
      <c r="I323" s="23">
        <f>IF(A323="","",MONTH(A323))</f>
        <v/>
      </c>
      <c r="J323" s="23">
        <f>IF(A323="","",YEAR(A323))</f>
        <v/>
      </c>
    </row>
    <row r="324">
      <c r="A324" s="47" t="n"/>
      <c r="B324" s="40" t="n"/>
      <c r="C324" s="39" t="n"/>
      <c r="D324" s="39" t="n"/>
      <c r="E324" s="46" t="n"/>
      <c r="F324" s="40" t="n"/>
      <c r="G324" s="24">
        <f>IF(C324="","",IFERROR(INDEX(Casos!$B$5:$B$204,MATCH(C324,Casos!$A$5:$A$204,0)),""))</f>
        <v/>
      </c>
      <c r="H324" s="29">
        <f>IF(OR(B324="",E324=""),"",E324*IFERROR(INDEX(Config!$D$12:$D$21,MATCH(B324,Config!$A$12:$A$21,0)),Config!$B$23))</f>
        <v/>
      </c>
      <c r="I324" s="23">
        <f>IF(A324="","",MONTH(A324))</f>
        <v/>
      </c>
      <c r="J324" s="23">
        <f>IF(A324="","",YEAR(A324))</f>
        <v/>
      </c>
    </row>
    <row r="325">
      <c r="A325" s="47" t="n"/>
      <c r="B325" s="40" t="n"/>
      <c r="C325" s="39" t="n"/>
      <c r="D325" s="39" t="n"/>
      <c r="E325" s="46" t="n"/>
      <c r="F325" s="40" t="n"/>
      <c r="G325" s="24">
        <f>IF(C325="","",IFERROR(INDEX(Casos!$B$5:$B$204,MATCH(C325,Casos!$A$5:$A$204,0)),""))</f>
        <v/>
      </c>
      <c r="H325" s="29">
        <f>IF(OR(B325="",E325=""),"",E325*IFERROR(INDEX(Config!$D$12:$D$21,MATCH(B325,Config!$A$12:$A$21,0)),Config!$B$23))</f>
        <v/>
      </c>
      <c r="I325" s="23">
        <f>IF(A325="","",MONTH(A325))</f>
        <v/>
      </c>
      <c r="J325" s="23">
        <f>IF(A325="","",YEAR(A325))</f>
        <v/>
      </c>
    </row>
    <row r="326">
      <c r="A326" s="47" t="n"/>
      <c r="B326" s="40" t="n"/>
      <c r="C326" s="39" t="n"/>
      <c r="D326" s="39" t="n"/>
      <c r="E326" s="46" t="n"/>
      <c r="F326" s="40" t="n"/>
      <c r="G326" s="24">
        <f>IF(C326="","",IFERROR(INDEX(Casos!$B$5:$B$204,MATCH(C326,Casos!$A$5:$A$204,0)),""))</f>
        <v/>
      </c>
      <c r="H326" s="29">
        <f>IF(OR(B326="",E326=""),"",E326*IFERROR(INDEX(Config!$D$12:$D$21,MATCH(B326,Config!$A$12:$A$21,0)),Config!$B$23))</f>
        <v/>
      </c>
      <c r="I326" s="23">
        <f>IF(A326="","",MONTH(A326))</f>
        <v/>
      </c>
      <c r="J326" s="23">
        <f>IF(A326="","",YEAR(A326))</f>
        <v/>
      </c>
    </row>
    <row r="327">
      <c r="A327" s="47" t="n"/>
      <c r="B327" s="40" t="n"/>
      <c r="C327" s="39" t="n"/>
      <c r="D327" s="39" t="n"/>
      <c r="E327" s="46" t="n"/>
      <c r="F327" s="40" t="n"/>
      <c r="G327" s="24">
        <f>IF(C327="","",IFERROR(INDEX(Casos!$B$5:$B$204,MATCH(C327,Casos!$A$5:$A$204,0)),""))</f>
        <v/>
      </c>
      <c r="H327" s="29">
        <f>IF(OR(B327="",E327=""),"",E327*IFERROR(INDEX(Config!$D$12:$D$21,MATCH(B327,Config!$A$12:$A$21,0)),Config!$B$23))</f>
        <v/>
      </c>
      <c r="I327" s="23">
        <f>IF(A327="","",MONTH(A327))</f>
        <v/>
      </c>
      <c r="J327" s="23">
        <f>IF(A327="","",YEAR(A327))</f>
        <v/>
      </c>
    </row>
    <row r="328">
      <c r="A328" s="47" t="n"/>
      <c r="B328" s="40" t="n"/>
      <c r="C328" s="39" t="n"/>
      <c r="D328" s="39" t="n"/>
      <c r="E328" s="46" t="n"/>
      <c r="F328" s="40" t="n"/>
      <c r="G328" s="24">
        <f>IF(C328="","",IFERROR(INDEX(Casos!$B$5:$B$204,MATCH(C328,Casos!$A$5:$A$204,0)),""))</f>
        <v/>
      </c>
      <c r="H328" s="29">
        <f>IF(OR(B328="",E328=""),"",E328*IFERROR(INDEX(Config!$D$12:$D$21,MATCH(B328,Config!$A$12:$A$21,0)),Config!$B$23))</f>
        <v/>
      </c>
      <c r="I328" s="23">
        <f>IF(A328="","",MONTH(A328))</f>
        <v/>
      </c>
      <c r="J328" s="23">
        <f>IF(A328="","",YEAR(A328))</f>
        <v/>
      </c>
    </row>
    <row r="329">
      <c r="A329" s="47" t="n"/>
      <c r="B329" s="40" t="n"/>
      <c r="C329" s="39" t="n"/>
      <c r="D329" s="39" t="n"/>
      <c r="E329" s="46" t="n"/>
      <c r="F329" s="40" t="n"/>
      <c r="G329" s="24">
        <f>IF(C329="","",IFERROR(INDEX(Casos!$B$5:$B$204,MATCH(C329,Casos!$A$5:$A$204,0)),""))</f>
        <v/>
      </c>
      <c r="H329" s="29">
        <f>IF(OR(B329="",E329=""),"",E329*IFERROR(INDEX(Config!$D$12:$D$21,MATCH(B329,Config!$A$12:$A$21,0)),Config!$B$23))</f>
        <v/>
      </c>
      <c r="I329" s="23">
        <f>IF(A329="","",MONTH(A329))</f>
        <v/>
      </c>
      <c r="J329" s="23">
        <f>IF(A329="","",YEAR(A329))</f>
        <v/>
      </c>
    </row>
    <row r="330">
      <c r="A330" s="47" t="n"/>
      <c r="B330" s="40" t="n"/>
      <c r="C330" s="39" t="n"/>
      <c r="D330" s="39" t="n"/>
      <c r="E330" s="46" t="n"/>
      <c r="F330" s="40" t="n"/>
      <c r="G330" s="24">
        <f>IF(C330="","",IFERROR(INDEX(Casos!$B$5:$B$204,MATCH(C330,Casos!$A$5:$A$204,0)),""))</f>
        <v/>
      </c>
      <c r="H330" s="29">
        <f>IF(OR(B330="",E330=""),"",E330*IFERROR(INDEX(Config!$D$12:$D$21,MATCH(B330,Config!$A$12:$A$21,0)),Config!$B$23))</f>
        <v/>
      </c>
      <c r="I330" s="23">
        <f>IF(A330="","",MONTH(A330))</f>
        <v/>
      </c>
      <c r="J330" s="23">
        <f>IF(A330="","",YEAR(A330))</f>
        <v/>
      </c>
    </row>
    <row r="331">
      <c r="A331" s="47" t="n"/>
      <c r="B331" s="40" t="n"/>
      <c r="C331" s="39" t="n"/>
      <c r="D331" s="39" t="n"/>
      <c r="E331" s="46" t="n"/>
      <c r="F331" s="40" t="n"/>
      <c r="G331" s="24">
        <f>IF(C331="","",IFERROR(INDEX(Casos!$B$5:$B$204,MATCH(C331,Casos!$A$5:$A$204,0)),""))</f>
        <v/>
      </c>
      <c r="H331" s="29">
        <f>IF(OR(B331="",E331=""),"",E331*IFERROR(INDEX(Config!$D$12:$D$21,MATCH(B331,Config!$A$12:$A$21,0)),Config!$B$23))</f>
        <v/>
      </c>
      <c r="I331" s="23">
        <f>IF(A331="","",MONTH(A331))</f>
        <v/>
      </c>
      <c r="J331" s="23">
        <f>IF(A331="","",YEAR(A331))</f>
        <v/>
      </c>
    </row>
    <row r="332">
      <c r="A332" s="47" t="n"/>
      <c r="B332" s="40" t="n"/>
      <c r="C332" s="39" t="n"/>
      <c r="D332" s="39" t="n"/>
      <c r="E332" s="46" t="n"/>
      <c r="F332" s="40" t="n"/>
      <c r="G332" s="24">
        <f>IF(C332="","",IFERROR(INDEX(Casos!$B$5:$B$204,MATCH(C332,Casos!$A$5:$A$204,0)),""))</f>
        <v/>
      </c>
      <c r="H332" s="29">
        <f>IF(OR(B332="",E332=""),"",E332*IFERROR(INDEX(Config!$D$12:$D$21,MATCH(B332,Config!$A$12:$A$21,0)),Config!$B$23))</f>
        <v/>
      </c>
      <c r="I332" s="23">
        <f>IF(A332="","",MONTH(A332))</f>
        <v/>
      </c>
      <c r="J332" s="23">
        <f>IF(A332="","",YEAR(A332))</f>
        <v/>
      </c>
    </row>
    <row r="333">
      <c r="A333" s="47" t="n"/>
      <c r="B333" s="40" t="n"/>
      <c r="C333" s="39" t="n"/>
      <c r="D333" s="39" t="n"/>
      <c r="E333" s="46" t="n"/>
      <c r="F333" s="40" t="n"/>
      <c r="G333" s="24">
        <f>IF(C333="","",IFERROR(INDEX(Casos!$B$5:$B$204,MATCH(C333,Casos!$A$5:$A$204,0)),""))</f>
        <v/>
      </c>
      <c r="H333" s="29">
        <f>IF(OR(B333="",E333=""),"",E333*IFERROR(INDEX(Config!$D$12:$D$21,MATCH(B333,Config!$A$12:$A$21,0)),Config!$B$23))</f>
        <v/>
      </c>
      <c r="I333" s="23">
        <f>IF(A333="","",MONTH(A333))</f>
        <v/>
      </c>
      <c r="J333" s="23">
        <f>IF(A333="","",YEAR(A333))</f>
        <v/>
      </c>
    </row>
    <row r="334">
      <c r="A334" s="47" t="n"/>
      <c r="B334" s="40" t="n"/>
      <c r="C334" s="39" t="n"/>
      <c r="D334" s="39" t="n"/>
      <c r="E334" s="46" t="n"/>
      <c r="F334" s="40" t="n"/>
      <c r="G334" s="24">
        <f>IF(C334="","",IFERROR(INDEX(Casos!$B$5:$B$204,MATCH(C334,Casos!$A$5:$A$204,0)),""))</f>
        <v/>
      </c>
      <c r="H334" s="29">
        <f>IF(OR(B334="",E334=""),"",E334*IFERROR(INDEX(Config!$D$12:$D$21,MATCH(B334,Config!$A$12:$A$21,0)),Config!$B$23))</f>
        <v/>
      </c>
      <c r="I334" s="23">
        <f>IF(A334="","",MONTH(A334))</f>
        <v/>
      </c>
      <c r="J334" s="23">
        <f>IF(A334="","",YEAR(A334))</f>
        <v/>
      </c>
    </row>
    <row r="335">
      <c r="A335" s="47" t="n"/>
      <c r="B335" s="40" t="n"/>
      <c r="C335" s="39" t="n"/>
      <c r="D335" s="39" t="n"/>
      <c r="E335" s="46" t="n"/>
      <c r="F335" s="40" t="n"/>
      <c r="G335" s="24">
        <f>IF(C335="","",IFERROR(INDEX(Casos!$B$5:$B$204,MATCH(C335,Casos!$A$5:$A$204,0)),""))</f>
        <v/>
      </c>
      <c r="H335" s="29">
        <f>IF(OR(B335="",E335=""),"",E335*IFERROR(INDEX(Config!$D$12:$D$21,MATCH(B335,Config!$A$12:$A$21,0)),Config!$B$23))</f>
        <v/>
      </c>
      <c r="I335" s="23">
        <f>IF(A335="","",MONTH(A335))</f>
        <v/>
      </c>
      <c r="J335" s="23">
        <f>IF(A335="","",YEAR(A335))</f>
        <v/>
      </c>
    </row>
    <row r="336">
      <c r="A336" s="47" t="n"/>
      <c r="B336" s="40" t="n"/>
      <c r="C336" s="39" t="n"/>
      <c r="D336" s="39" t="n"/>
      <c r="E336" s="46" t="n"/>
      <c r="F336" s="40" t="n"/>
      <c r="G336" s="24">
        <f>IF(C336="","",IFERROR(INDEX(Casos!$B$5:$B$204,MATCH(C336,Casos!$A$5:$A$204,0)),""))</f>
        <v/>
      </c>
      <c r="H336" s="29">
        <f>IF(OR(B336="",E336=""),"",E336*IFERROR(INDEX(Config!$D$12:$D$21,MATCH(B336,Config!$A$12:$A$21,0)),Config!$B$23))</f>
        <v/>
      </c>
      <c r="I336" s="23">
        <f>IF(A336="","",MONTH(A336))</f>
        <v/>
      </c>
      <c r="J336" s="23">
        <f>IF(A336="","",YEAR(A336))</f>
        <v/>
      </c>
    </row>
    <row r="337">
      <c r="A337" s="47" t="n"/>
      <c r="B337" s="40" t="n"/>
      <c r="C337" s="39" t="n"/>
      <c r="D337" s="39" t="n"/>
      <c r="E337" s="46" t="n"/>
      <c r="F337" s="40" t="n"/>
      <c r="G337" s="24">
        <f>IF(C337="","",IFERROR(INDEX(Casos!$B$5:$B$204,MATCH(C337,Casos!$A$5:$A$204,0)),""))</f>
        <v/>
      </c>
      <c r="H337" s="29">
        <f>IF(OR(B337="",E337=""),"",E337*IFERROR(INDEX(Config!$D$12:$D$21,MATCH(B337,Config!$A$12:$A$21,0)),Config!$B$23))</f>
        <v/>
      </c>
      <c r="I337" s="23">
        <f>IF(A337="","",MONTH(A337))</f>
        <v/>
      </c>
      <c r="J337" s="23">
        <f>IF(A337="","",YEAR(A337))</f>
        <v/>
      </c>
    </row>
    <row r="338">
      <c r="A338" s="47" t="n"/>
      <c r="B338" s="40" t="n"/>
      <c r="C338" s="39" t="n"/>
      <c r="D338" s="39" t="n"/>
      <c r="E338" s="46" t="n"/>
      <c r="F338" s="40" t="n"/>
      <c r="G338" s="24">
        <f>IF(C338="","",IFERROR(INDEX(Casos!$B$5:$B$204,MATCH(C338,Casos!$A$5:$A$204,0)),""))</f>
        <v/>
      </c>
      <c r="H338" s="29">
        <f>IF(OR(B338="",E338=""),"",E338*IFERROR(INDEX(Config!$D$12:$D$21,MATCH(B338,Config!$A$12:$A$21,0)),Config!$B$23))</f>
        <v/>
      </c>
      <c r="I338" s="23">
        <f>IF(A338="","",MONTH(A338))</f>
        <v/>
      </c>
      <c r="J338" s="23">
        <f>IF(A338="","",YEAR(A338))</f>
        <v/>
      </c>
    </row>
    <row r="339">
      <c r="A339" s="47" t="n"/>
      <c r="B339" s="40" t="n"/>
      <c r="C339" s="39" t="n"/>
      <c r="D339" s="39" t="n"/>
      <c r="E339" s="46" t="n"/>
      <c r="F339" s="40" t="n"/>
      <c r="G339" s="24">
        <f>IF(C339="","",IFERROR(INDEX(Casos!$B$5:$B$204,MATCH(C339,Casos!$A$5:$A$204,0)),""))</f>
        <v/>
      </c>
      <c r="H339" s="29">
        <f>IF(OR(B339="",E339=""),"",E339*IFERROR(INDEX(Config!$D$12:$D$21,MATCH(B339,Config!$A$12:$A$21,0)),Config!$B$23))</f>
        <v/>
      </c>
      <c r="I339" s="23">
        <f>IF(A339="","",MONTH(A339))</f>
        <v/>
      </c>
      <c r="J339" s="23">
        <f>IF(A339="","",YEAR(A339))</f>
        <v/>
      </c>
    </row>
    <row r="340">
      <c r="A340" s="47" t="n"/>
      <c r="B340" s="40" t="n"/>
      <c r="C340" s="39" t="n"/>
      <c r="D340" s="39" t="n"/>
      <c r="E340" s="46" t="n"/>
      <c r="F340" s="40" t="n"/>
      <c r="G340" s="24">
        <f>IF(C340="","",IFERROR(INDEX(Casos!$B$5:$B$204,MATCH(C340,Casos!$A$5:$A$204,0)),""))</f>
        <v/>
      </c>
      <c r="H340" s="29">
        <f>IF(OR(B340="",E340=""),"",E340*IFERROR(INDEX(Config!$D$12:$D$21,MATCH(B340,Config!$A$12:$A$21,0)),Config!$B$23))</f>
        <v/>
      </c>
      <c r="I340" s="23">
        <f>IF(A340="","",MONTH(A340))</f>
        <v/>
      </c>
      <c r="J340" s="23">
        <f>IF(A340="","",YEAR(A340))</f>
        <v/>
      </c>
    </row>
    <row r="341">
      <c r="A341" s="47" t="n"/>
      <c r="B341" s="40" t="n"/>
      <c r="C341" s="39" t="n"/>
      <c r="D341" s="39" t="n"/>
      <c r="E341" s="46" t="n"/>
      <c r="F341" s="40" t="n"/>
      <c r="G341" s="24">
        <f>IF(C341="","",IFERROR(INDEX(Casos!$B$5:$B$204,MATCH(C341,Casos!$A$5:$A$204,0)),""))</f>
        <v/>
      </c>
      <c r="H341" s="29">
        <f>IF(OR(B341="",E341=""),"",E341*IFERROR(INDEX(Config!$D$12:$D$21,MATCH(B341,Config!$A$12:$A$21,0)),Config!$B$23))</f>
        <v/>
      </c>
      <c r="I341" s="23">
        <f>IF(A341="","",MONTH(A341))</f>
        <v/>
      </c>
      <c r="J341" s="23">
        <f>IF(A341="","",YEAR(A341))</f>
        <v/>
      </c>
    </row>
    <row r="342">
      <c r="A342" s="47" t="n"/>
      <c r="B342" s="40" t="n"/>
      <c r="C342" s="39" t="n"/>
      <c r="D342" s="39" t="n"/>
      <c r="E342" s="46" t="n"/>
      <c r="F342" s="40" t="n"/>
      <c r="G342" s="24">
        <f>IF(C342="","",IFERROR(INDEX(Casos!$B$5:$B$204,MATCH(C342,Casos!$A$5:$A$204,0)),""))</f>
        <v/>
      </c>
      <c r="H342" s="29">
        <f>IF(OR(B342="",E342=""),"",E342*IFERROR(INDEX(Config!$D$12:$D$21,MATCH(B342,Config!$A$12:$A$21,0)),Config!$B$23))</f>
        <v/>
      </c>
      <c r="I342" s="23">
        <f>IF(A342="","",MONTH(A342))</f>
        <v/>
      </c>
      <c r="J342" s="23">
        <f>IF(A342="","",YEAR(A342))</f>
        <v/>
      </c>
    </row>
    <row r="343">
      <c r="A343" s="47" t="n"/>
      <c r="B343" s="40" t="n"/>
      <c r="C343" s="39" t="n"/>
      <c r="D343" s="39" t="n"/>
      <c r="E343" s="46" t="n"/>
      <c r="F343" s="40" t="n"/>
      <c r="G343" s="24">
        <f>IF(C343="","",IFERROR(INDEX(Casos!$B$5:$B$204,MATCH(C343,Casos!$A$5:$A$204,0)),""))</f>
        <v/>
      </c>
      <c r="H343" s="29">
        <f>IF(OR(B343="",E343=""),"",E343*IFERROR(INDEX(Config!$D$12:$D$21,MATCH(B343,Config!$A$12:$A$21,0)),Config!$B$23))</f>
        <v/>
      </c>
      <c r="I343" s="23">
        <f>IF(A343="","",MONTH(A343))</f>
        <v/>
      </c>
      <c r="J343" s="23">
        <f>IF(A343="","",YEAR(A343))</f>
        <v/>
      </c>
    </row>
    <row r="344">
      <c r="A344" s="47" t="n"/>
      <c r="B344" s="40" t="n"/>
      <c r="C344" s="39" t="n"/>
      <c r="D344" s="39" t="n"/>
      <c r="E344" s="46" t="n"/>
      <c r="F344" s="40" t="n"/>
      <c r="G344" s="24">
        <f>IF(C344="","",IFERROR(INDEX(Casos!$B$5:$B$204,MATCH(C344,Casos!$A$5:$A$204,0)),""))</f>
        <v/>
      </c>
      <c r="H344" s="29">
        <f>IF(OR(B344="",E344=""),"",E344*IFERROR(INDEX(Config!$D$12:$D$21,MATCH(B344,Config!$A$12:$A$21,0)),Config!$B$23))</f>
        <v/>
      </c>
      <c r="I344" s="23">
        <f>IF(A344="","",MONTH(A344))</f>
        <v/>
      </c>
      <c r="J344" s="23">
        <f>IF(A344="","",YEAR(A344))</f>
        <v/>
      </c>
    </row>
    <row r="345">
      <c r="A345" s="47" t="n"/>
      <c r="B345" s="40" t="n"/>
      <c r="C345" s="39" t="n"/>
      <c r="D345" s="39" t="n"/>
      <c r="E345" s="46" t="n"/>
      <c r="F345" s="40" t="n"/>
      <c r="G345" s="24">
        <f>IF(C345="","",IFERROR(INDEX(Casos!$B$5:$B$204,MATCH(C345,Casos!$A$5:$A$204,0)),""))</f>
        <v/>
      </c>
      <c r="H345" s="29">
        <f>IF(OR(B345="",E345=""),"",E345*IFERROR(INDEX(Config!$D$12:$D$21,MATCH(B345,Config!$A$12:$A$21,0)),Config!$B$23))</f>
        <v/>
      </c>
      <c r="I345" s="23">
        <f>IF(A345="","",MONTH(A345))</f>
        <v/>
      </c>
      <c r="J345" s="23">
        <f>IF(A345="","",YEAR(A345))</f>
        <v/>
      </c>
    </row>
    <row r="346">
      <c r="A346" s="47" t="n"/>
      <c r="B346" s="40" t="n"/>
      <c r="C346" s="39" t="n"/>
      <c r="D346" s="39" t="n"/>
      <c r="E346" s="46" t="n"/>
      <c r="F346" s="40" t="n"/>
      <c r="G346" s="24">
        <f>IF(C346="","",IFERROR(INDEX(Casos!$B$5:$B$204,MATCH(C346,Casos!$A$5:$A$204,0)),""))</f>
        <v/>
      </c>
      <c r="H346" s="29">
        <f>IF(OR(B346="",E346=""),"",E346*IFERROR(INDEX(Config!$D$12:$D$21,MATCH(B346,Config!$A$12:$A$21,0)),Config!$B$23))</f>
        <v/>
      </c>
      <c r="I346" s="23">
        <f>IF(A346="","",MONTH(A346))</f>
        <v/>
      </c>
      <c r="J346" s="23">
        <f>IF(A346="","",YEAR(A346))</f>
        <v/>
      </c>
    </row>
    <row r="347">
      <c r="A347" s="47" t="n"/>
      <c r="B347" s="40" t="n"/>
      <c r="C347" s="39" t="n"/>
      <c r="D347" s="39" t="n"/>
      <c r="E347" s="46" t="n"/>
      <c r="F347" s="40" t="n"/>
      <c r="G347" s="24">
        <f>IF(C347="","",IFERROR(INDEX(Casos!$B$5:$B$204,MATCH(C347,Casos!$A$5:$A$204,0)),""))</f>
        <v/>
      </c>
      <c r="H347" s="29">
        <f>IF(OR(B347="",E347=""),"",E347*IFERROR(INDEX(Config!$D$12:$D$21,MATCH(B347,Config!$A$12:$A$21,0)),Config!$B$23))</f>
        <v/>
      </c>
      <c r="I347" s="23">
        <f>IF(A347="","",MONTH(A347))</f>
        <v/>
      </c>
      <c r="J347" s="23">
        <f>IF(A347="","",YEAR(A347))</f>
        <v/>
      </c>
    </row>
    <row r="348">
      <c r="A348" s="47" t="n"/>
      <c r="B348" s="40" t="n"/>
      <c r="C348" s="39" t="n"/>
      <c r="D348" s="39" t="n"/>
      <c r="E348" s="46" t="n"/>
      <c r="F348" s="40" t="n"/>
      <c r="G348" s="24">
        <f>IF(C348="","",IFERROR(INDEX(Casos!$B$5:$B$204,MATCH(C348,Casos!$A$5:$A$204,0)),""))</f>
        <v/>
      </c>
      <c r="H348" s="29">
        <f>IF(OR(B348="",E348=""),"",E348*IFERROR(INDEX(Config!$D$12:$D$21,MATCH(B348,Config!$A$12:$A$21,0)),Config!$B$23))</f>
        <v/>
      </c>
      <c r="I348" s="23">
        <f>IF(A348="","",MONTH(A348))</f>
        <v/>
      </c>
      <c r="J348" s="23">
        <f>IF(A348="","",YEAR(A348))</f>
        <v/>
      </c>
    </row>
    <row r="349">
      <c r="A349" s="47" t="n"/>
      <c r="B349" s="40" t="n"/>
      <c r="C349" s="39" t="n"/>
      <c r="D349" s="39" t="n"/>
      <c r="E349" s="46" t="n"/>
      <c r="F349" s="40" t="n"/>
      <c r="G349" s="24">
        <f>IF(C349="","",IFERROR(INDEX(Casos!$B$5:$B$204,MATCH(C349,Casos!$A$5:$A$204,0)),""))</f>
        <v/>
      </c>
      <c r="H349" s="29">
        <f>IF(OR(B349="",E349=""),"",E349*IFERROR(INDEX(Config!$D$12:$D$21,MATCH(B349,Config!$A$12:$A$21,0)),Config!$B$23))</f>
        <v/>
      </c>
      <c r="I349" s="23">
        <f>IF(A349="","",MONTH(A349))</f>
        <v/>
      </c>
      <c r="J349" s="23">
        <f>IF(A349="","",YEAR(A349))</f>
        <v/>
      </c>
    </row>
    <row r="350">
      <c r="A350" s="47" t="n"/>
      <c r="B350" s="40" t="n"/>
      <c r="C350" s="39" t="n"/>
      <c r="D350" s="39" t="n"/>
      <c r="E350" s="46" t="n"/>
      <c r="F350" s="40" t="n"/>
      <c r="G350" s="24">
        <f>IF(C350="","",IFERROR(INDEX(Casos!$B$5:$B$204,MATCH(C350,Casos!$A$5:$A$204,0)),""))</f>
        <v/>
      </c>
      <c r="H350" s="29">
        <f>IF(OR(B350="",E350=""),"",E350*IFERROR(INDEX(Config!$D$12:$D$21,MATCH(B350,Config!$A$12:$A$21,0)),Config!$B$23))</f>
        <v/>
      </c>
      <c r="I350" s="23">
        <f>IF(A350="","",MONTH(A350))</f>
        <v/>
      </c>
      <c r="J350" s="23">
        <f>IF(A350="","",YEAR(A350))</f>
        <v/>
      </c>
    </row>
    <row r="351">
      <c r="A351" s="47" t="n"/>
      <c r="B351" s="40" t="n"/>
      <c r="C351" s="39" t="n"/>
      <c r="D351" s="39" t="n"/>
      <c r="E351" s="46" t="n"/>
      <c r="F351" s="40" t="n"/>
      <c r="G351" s="24">
        <f>IF(C351="","",IFERROR(INDEX(Casos!$B$5:$B$204,MATCH(C351,Casos!$A$5:$A$204,0)),""))</f>
        <v/>
      </c>
      <c r="H351" s="29">
        <f>IF(OR(B351="",E351=""),"",E351*IFERROR(INDEX(Config!$D$12:$D$21,MATCH(B351,Config!$A$12:$A$21,0)),Config!$B$23))</f>
        <v/>
      </c>
      <c r="I351" s="23">
        <f>IF(A351="","",MONTH(A351))</f>
        <v/>
      </c>
      <c r="J351" s="23">
        <f>IF(A351="","",YEAR(A351))</f>
        <v/>
      </c>
    </row>
    <row r="352">
      <c r="A352" s="47" t="n"/>
      <c r="B352" s="40" t="n"/>
      <c r="C352" s="39" t="n"/>
      <c r="D352" s="39" t="n"/>
      <c r="E352" s="46" t="n"/>
      <c r="F352" s="40" t="n"/>
      <c r="G352" s="24">
        <f>IF(C352="","",IFERROR(INDEX(Casos!$B$5:$B$204,MATCH(C352,Casos!$A$5:$A$204,0)),""))</f>
        <v/>
      </c>
      <c r="H352" s="29">
        <f>IF(OR(B352="",E352=""),"",E352*IFERROR(INDEX(Config!$D$12:$D$21,MATCH(B352,Config!$A$12:$A$21,0)),Config!$B$23))</f>
        <v/>
      </c>
      <c r="I352" s="23">
        <f>IF(A352="","",MONTH(A352))</f>
        <v/>
      </c>
      <c r="J352" s="23">
        <f>IF(A352="","",YEAR(A352))</f>
        <v/>
      </c>
    </row>
    <row r="353">
      <c r="A353" s="47" t="n"/>
      <c r="B353" s="40" t="n"/>
      <c r="C353" s="39" t="n"/>
      <c r="D353" s="39" t="n"/>
      <c r="E353" s="46" t="n"/>
      <c r="F353" s="40" t="n"/>
      <c r="G353" s="24">
        <f>IF(C353="","",IFERROR(INDEX(Casos!$B$5:$B$204,MATCH(C353,Casos!$A$5:$A$204,0)),""))</f>
        <v/>
      </c>
      <c r="H353" s="29">
        <f>IF(OR(B353="",E353=""),"",E353*IFERROR(INDEX(Config!$D$12:$D$21,MATCH(B353,Config!$A$12:$A$21,0)),Config!$B$23))</f>
        <v/>
      </c>
      <c r="I353" s="23">
        <f>IF(A353="","",MONTH(A353))</f>
        <v/>
      </c>
      <c r="J353" s="23">
        <f>IF(A353="","",YEAR(A353))</f>
        <v/>
      </c>
    </row>
    <row r="354">
      <c r="A354" s="47" t="n"/>
      <c r="B354" s="40" t="n"/>
      <c r="C354" s="39" t="n"/>
      <c r="D354" s="39" t="n"/>
      <c r="E354" s="46" t="n"/>
      <c r="F354" s="40" t="n"/>
      <c r="G354" s="24">
        <f>IF(C354="","",IFERROR(INDEX(Casos!$B$5:$B$204,MATCH(C354,Casos!$A$5:$A$204,0)),""))</f>
        <v/>
      </c>
      <c r="H354" s="29">
        <f>IF(OR(B354="",E354=""),"",E354*IFERROR(INDEX(Config!$D$12:$D$21,MATCH(B354,Config!$A$12:$A$21,0)),Config!$B$23))</f>
        <v/>
      </c>
      <c r="I354" s="23">
        <f>IF(A354="","",MONTH(A354))</f>
        <v/>
      </c>
      <c r="J354" s="23">
        <f>IF(A354="","",YEAR(A354))</f>
        <v/>
      </c>
    </row>
    <row r="355">
      <c r="A355" s="47" t="n"/>
      <c r="B355" s="40" t="n"/>
      <c r="C355" s="39" t="n"/>
      <c r="D355" s="39" t="n"/>
      <c r="E355" s="46" t="n"/>
      <c r="F355" s="40" t="n"/>
      <c r="G355" s="24">
        <f>IF(C355="","",IFERROR(INDEX(Casos!$B$5:$B$204,MATCH(C355,Casos!$A$5:$A$204,0)),""))</f>
        <v/>
      </c>
      <c r="H355" s="29">
        <f>IF(OR(B355="",E355=""),"",E355*IFERROR(INDEX(Config!$D$12:$D$21,MATCH(B355,Config!$A$12:$A$21,0)),Config!$B$23))</f>
        <v/>
      </c>
      <c r="I355" s="23">
        <f>IF(A355="","",MONTH(A355))</f>
        <v/>
      </c>
      <c r="J355" s="23">
        <f>IF(A355="","",YEAR(A355))</f>
        <v/>
      </c>
    </row>
    <row r="356">
      <c r="A356" s="47" t="n"/>
      <c r="B356" s="40" t="n"/>
      <c r="C356" s="39" t="n"/>
      <c r="D356" s="39" t="n"/>
      <c r="E356" s="46" t="n"/>
      <c r="F356" s="40" t="n"/>
      <c r="G356" s="24">
        <f>IF(C356="","",IFERROR(INDEX(Casos!$B$5:$B$204,MATCH(C356,Casos!$A$5:$A$204,0)),""))</f>
        <v/>
      </c>
      <c r="H356" s="29">
        <f>IF(OR(B356="",E356=""),"",E356*IFERROR(INDEX(Config!$D$12:$D$21,MATCH(B356,Config!$A$12:$A$21,0)),Config!$B$23))</f>
        <v/>
      </c>
      <c r="I356" s="23">
        <f>IF(A356="","",MONTH(A356))</f>
        <v/>
      </c>
      <c r="J356" s="23">
        <f>IF(A356="","",YEAR(A356))</f>
        <v/>
      </c>
    </row>
    <row r="357">
      <c r="A357" s="47" t="n"/>
      <c r="B357" s="40" t="n"/>
      <c r="C357" s="39" t="n"/>
      <c r="D357" s="39" t="n"/>
      <c r="E357" s="46" t="n"/>
      <c r="F357" s="40" t="n"/>
      <c r="G357" s="24">
        <f>IF(C357="","",IFERROR(INDEX(Casos!$B$5:$B$204,MATCH(C357,Casos!$A$5:$A$204,0)),""))</f>
        <v/>
      </c>
      <c r="H357" s="29">
        <f>IF(OR(B357="",E357=""),"",E357*IFERROR(INDEX(Config!$D$12:$D$21,MATCH(B357,Config!$A$12:$A$21,0)),Config!$B$23))</f>
        <v/>
      </c>
      <c r="I357" s="23">
        <f>IF(A357="","",MONTH(A357))</f>
        <v/>
      </c>
      <c r="J357" s="23">
        <f>IF(A357="","",YEAR(A357))</f>
        <v/>
      </c>
    </row>
    <row r="358">
      <c r="A358" s="47" t="n"/>
      <c r="B358" s="40" t="n"/>
      <c r="C358" s="39" t="n"/>
      <c r="D358" s="39" t="n"/>
      <c r="E358" s="46" t="n"/>
      <c r="F358" s="40" t="n"/>
      <c r="G358" s="24">
        <f>IF(C358="","",IFERROR(INDEX(Casos!$B$5:$B$204,MATCH(C358,Casos!$A$5:$A$204,0)),""))</f>
        <v/>
      </c>
      <c r="H358" s="29">
        <f>IF(OR(B358="",E358=""),"",E358*IFERROR(INDEX(Config!$D$12:$D$21,MATCH(B358,Config!$A$12:$A$21,0)),Config!$B$23))</f>
        <v/>
      </c>
      <c r="I358" s="23">
        <f>IF(A358="","",MONTH(A358))</f>
        <v/>
      </c>
      <c r="J358" s="23">
        <f>IF(A358="","",YEAR(A358))</f>
        <v/>
      </c>
    </row>
    <row r="359">
      <c r="A359" s="47" t="n"/>
      <c r="B359" s="40" t="n"/>
      <c r="C359" s="39" t="n"/>
      <c r="D359" s="39" t="n"/>
      <c r="E359" s="46" t="n"/>
      <c r="F359" s="40" t="n"/>
      <c r="G359" s="24">
        <f>IF(C359="","",IFERROR(INDEX(Casos!$B$5:$B$204,MATCH(C359,Casos!$A$5:$A$204,0)),""))</f>
        <v/>
      </c>
      <c r="H359" s="29">
        <f>IF(OR(B359="",E359=""),"",E359*IFERROR(INDEX(Config!$D$12:$D$21,MATCH(B359,Config!$A$12:$A$21,0)),Config!$B$23))</f>
        <v/>
      </c>
      <c r="I359" s="23">
        <f>IF(A359="","",MONTH(A359))</f>
        <v/>
      </c>
      <c r="J359" s="23">
        <f>IF(A359="","",YEAR(A359))</f>
        <v/>
      </c>
    </row>
    <row r="360">
      <c r="A360" s="47" t="n"/>
      <c r="B360" s="40" t="n"/>
      <c r="C360" s="39" t="n"/>
      <c r="D360" s="39" t="n"/>
      <c r="E360" s="46" t="n"/>
      <c r="F360" s="40" t="n"/>
      <c r="G360" s="24">
        <f>IF(C360="","",IFERROR(INDEX(Casos!$B$5:$B$204,MATCH(C360,Casos!$A$5:$A$204,0)),""))</f>
        <v/>
      </c>
      <c r="H360" s="29">
        <f>IF(OR(B360="",E360=""),"",E360*IFERROR(INDEX(Config!$D$12:$D$21,MATCH(B360,Config!$A$12:$A$21,0)),Config!$B$23))</f>
        <v/>
      </c>
      <c r="I360" s="23">
        <f>IF(A360="","",MONTH(A360))</f>
        <v/>
      </c>
      <c r="J360" s="23">
        <f>IF(A360="","",YEAR(A360))</f>
        <v/>
      </c>
    </row>
    <row r="361">
      <c r="A361" s="47" t="n"/>
      <c r="B361" s="40" t="n"/>
      <c r="C361" s="39" t="n"/>
      <c r="D361" s="39" t="n"/>
      <c r="E361" s="46" t="n"/>
      <c r="F361" s="40" t="n"/>
      <c r="G361" s="24">
        <f>IF(C361="","",IFERROR(INDEX(Casos!$B$5:$B$204,MATCH(C361,Casos!$A$5:$A$204,0)),""))</f>
        <v/>
      </c>
      <c r="H361" s="29">
        <f>IF(OR(B361="",E361=""),"",E361*IFERROR(INDEX(Config!$D$12:$D$21,MATCH(B361,Config!$A$12:$A$21,0)),Config!$B$23))</f>
        <v/>
      </c>
      <c r="I361" s="23">
        <f>IF(A361="","",MONTH(A361))</f>
        <v/>
      </c>
      <c r="J361" s="23">
        <f>IF(A361="","",YEAR(A361))</f>
        <v/>
      </c>
    </row>
    <row r="362">
      <c r="A362" s="47" t="n"/>
      <c r="B362" s="40" t="n"/>
      <c r="C362" s="39" t="n"/>
      <c r="D362" s="39" t="n"/>
      <c r="E362" s="46" t="n"/>
      <c r="F362" s="40" t="n"/>
      <c r="G362" s="24">
        <f>IF(C362="","",IFERROR(INDEX(Casos!$B$5:$B$204,MATCH(C362,Casos!$A$5:$A$204,0)),""))</f>
        <v/>
      </c>
      <c r="H362" s="29">
        <f>IF(OR(B362="",E362=""),"",E362*IFERROR(INDEX(Config!$D$12:$D$21,MATCH(B362,Config!$A$12:$A$21,0)),Config!$B$23))</f>
        <v/>
      </c>
      <c r="I362" s="23">
        <f>IF(A362="","",MONTH(A362))</f>
        <v/>
      </c>
      <c r="J362" s="23">
        <f>IF(A362="","",YEAR(A362))</f>
        <v/>
      </c>
    </row>
    <row r="363">
      <c r="A363" s="47" t="n"/>
      <c r="B363" s="40" t="n"/>
      <c r="C363" s="39" t="n"/>
      <c r="D363" s="39" t="n"/>
      <c r="E363" s="46" t="n"/>
      <c r="F363" s="40" t="n"/>
      <c r="G363" s="24">
        <f>IF(C363="","",IFERROR(INDEX(Casos!$B$5:$B$204,MATCH(C363,Casos!$A$5:$A$204,0)),""))</f>
        <v/>
      </c>
      <c r="H363" s="29">
        <f>IF(OR(B363="",E363=""),"",E363*IFERROR(INDEX(Config!$D$12:$D$21,MATCH(B363,Config!$A$12:$A$21,0)),Config!$B$23))</f>
        <v/>
      </c>
      <c r="I363" s="23">
        <f>IF(A363="","",MONTH(A363))</f>
        <v/>
      </c>
      <c r="J363" s="23">
        <f>IF(A363="","",YEAR(A363))</f>
        <v/>
      </c>
    </row>
    <row r="364">
      <c r="A364" s="47" t="n"/>
      <c r="B364" s="40" t="n"/>
      <c r="C364" s="39" t="n"/>
      <c r="D364" s="39" t="n"/>
      <c r="E364" s="46" t="n"/>
      <c r="F364" s="40" t="n"/>
      <c r="G364" s="24">
        <f>IF(C364="","",IFERROR(INDEX(Casos!$B$5:$B$204,MATCH(C364,Casos!$A$5:$A$204,0)),""))</f>
        <v/>
      </c>
      <c r="H364" s="29">
        <f>IF(OR(B364="",E364=""),"",E364*IFERROR(INDEX(Config!$D$12:$D$21,MATCH(B364,Config!$A$12:$A$21,0)),Config!$B$23))</f>
        <v/>
      </c>
      <c r="I364" s="23">
        <f>IF(A364="","",MONTH(A364))</f>
        <v/>
      </c>
      <c r="J364" s="23">
        <f>IF(A364="","",YEAR(A364))</f>
        <v/>
      </c>
    </row>
    <row r="365">
      <c r="A365" s="47" t="n"/>
      <c r="B365" s="40" t="n"/>
      <c r="C365" s="39" t="n"/>
      <c r="D365" s="39" t="n"/>
      <c r="E365" s="46" t="n"/>
      <c r="F365" s="40" t="n"/>
      <c r="G365" s="24">
        <f>IF(C365="","",IFERROR(INDEX(Casos!$B$5:$B$204,MATCH(C365,Casos!$A$5:$A$204,0)),""))</f>
        <v/>
      </c>
      <c r="H365" s="29">
        <f>IF(OR(B365="",E365=""),"",E365*IFERROR(INDEX(Config!$D$12:$D$21,MATCH(B365,Config!$A$12:$A$21,0)),Config!$B$23))</f>
        <v/>
      </c>
      <c r="I365" s="23">
        <f>IF(A365="","",MONTH(A365))</f>
        <v/>
      </c>
      <c r="J365" s="23">
        <f>IF(A365="","",YEAR(A365))</f>
        <v/>
      </c>
    </row>
    <row r="366">
      <c r="A366" s="47" t="n"/>
      <c r="B366" s="40" t="n"/>
      <c r="C366" s="39" t="n"/>
      <c r="D366" s="39" t="n"/>
      <c r="E366" s="46" t="n"/>
      <c r="F366" s="40" t="n"/>
      <c r="G366" s="24">
        <f>IF(C366="","",IFERROR(INDEX(Casos!$B$5:$B$204,MATCH(C366,Casos!$A$5:$A$204,0)),""))</f>
        <v/>
      </c>
      <c r="H366" s="29">
        <f>IF(OR(B366="",E366=""),"",E366*IFERROR(INDEX(Config!$D$12:$D$21,MATCH(B366,Config!$A$12:$A$21,0)),Config!$B$23))</f>
        <v/>
      </c>
      <c r="I366" s="23">
        <f>IF(A366="","",MONTH(A366))</f>
        <v/>
      </c>
      <c r="J366" s="23">
        <f>IF(A366="","",YEAR(A366))</f>
        <v/>
      </c>
    </row>
    <row r="367">
      <c r="A367" s="47" t="n"/>
      <c r="B367" s="40" t="n"/>
      <c r="C367" s="39" t="n"/>
      <c r="D367" s="39" t="n"/>
      <c r="E367" s="46" t="n"/>
      <c r="F367" s="40" t="n"/>
      <c r="G367" s="24">
        <f>IF(C367="","",IFERROR(INDEX(Casos!$B$5:$B$204,MATCH(C367,Casos!$A$5:$A$204,0)),""))</f>
        <v/>
      </c>
      <c r="H367" s="29">
        <f>IF(OR(B367="",E367=""),"",E367*IFERROR(INDEX(Config!$D$12:$D$21,MATCH(B367,Config!$A$12:$A$21,0)),Config!$B$23))</f>
        <v/>
      </c>
      <c r="I367" s="23">
        <f>IF(A367="","",MONTH(A367))</f>
        <v/>
      </c>
      <c r="J367" s="23">
        <f>IF(A367="","",YEAR(A367))</f>
        <v/>
      </c>
    </row>
    <row r="368">
      <c r="A368" s="47" t="n"/>
      <c r="B368" s="40" t="n"/>
      <c r="C368" s="39" t="n"/>
      <c r="D368" s="39" t="n"/>
      <c r="E368" s="46" t="n"/>
      <c r="F368" s="40" t="n"/>
      <c r="G368" s="24">
        <f>IF(C368="","",IFERROR(INDEX(Casos!$B$5:$B$204,MATCH(C368,Casos!$A$5:$A$204,0)),""))</f>
        <v/>
      </c>
      <c r="H368" s="29">
        <f>IF(OR(B368="",E368=""),"",E368*IFERROR(INDEX(Config!$D$12:$D$21,MATCH(B368,Config!$A$12:$A$21,0)),Config!$B$23))</f>
        <v/>
      </c>
      <c r="I368" s="23">
        <f>IF(A368="","",MONTH(A368))</f>
        <v/>
      </c>
      <c r="J368" s="23">
        <f>IF(A368="","",YEAR(A368))</f>
        <v/>
      </c>
    </row>
    <row r="369">
      <c r="A369" s="47" t="n"/>
      <c r="B369" s="40" t="n"/>
      <c r="C369" s="39" t="n"/>
      <c r="D369" s="39" t="n"/>
      <c r="E369" s="46" t="n"/>
      <c r="F369" s="40" t="n"/>
      <c r="G369" s="24">
        <f>IF(C369="","",IFERROR(INDEX(Casos!$B$5:$B$204,MATCH(C369,Casos!$A$5:$A$204,0)),""))</f>
        <v/>
      </c>
      <c r="H369" s="29">
        <f>IF(OR(B369="",E369=""),"",E369*IFERROR(INDEX(Config!$D$12:$D$21,MATCH(B369,Config!$A$12:$A$21,0)),Config!$B$23))</f>
        <v/>
      </c>
      <c r="I369" s="23">
        <f>IF(A369="","",MONTH(A369))</f>
        <v/>
      </c>
      <c r="J369" s="23">
        <f>IF(A369="","",YEAR(A369))</f>
        <v/>
      </c>
    </row>
    <row r="370">
      <c r="A370" s="47" t="n"/>
      <c r="B370" s="40" t="n"/>
      <c r="C370" s="39" t="n"/>
      <c r="D370" s="39" t="n"/>
      <c r="E370" s="46" t="n"/>
      <c r="F370" s="40" t="n"/>
      <c r="G370" s="24">
        <f>IF(C370="","",IFERROR(INDEX(Casos!$B$5:$B$204,MATCH(C370,Casos!$A$5:$A$204,0)),""))</f>
        <v/>
      </c>
      <c r="H370" s="29">
        <f>IF(OR(B370="",E370=""),"",E370*IFERROR(INDEX(Config!$D$12:$D$21,MATCH(B370,Config!$A$12:$A$21,0)),Config!$B$23))</f>
        <v/>
      </c>
      <c r="I370" s="23">
        <f>IF(A370="","",MONTH(A370))</f>
        <v/>
      </c>
      <c r="J370" s="23">
        <f>IF(A370="","",YEAR(A370))</f>
        <v/>
      </c>
    </row>
    <row r="371">
      <c r="A371" s="47" t="n"/>
      <c r="B371" s="40" t="n"/>
      <c r="C371" s="39" t="n"/>
      <c r="D371" s="39" t="n"/>
      <c r="E371" s="46" t="n"/>
      <c r="F371" s="40" t="n"/>
      <c r="G371" s="24">
        <f>IF(C371="","",IFERROR(INDEX(Casos!$B$5:$B$204,MATCH(C371,Casos!$A$5:$A$204,0)),""))</f>
        <v/>
      </c>
      <c r="H371" s="29">
        <f>IF(OR(B371="",E371=""),"",E371*IFERROR(INDEX(Config!$D$12:$D$21,MATCH(B371,Config!$A$12:$A$21,0)),Config!$B$23))</f>
        <v/>
      </c>
      <c r="I371" s="23">
        <f>IF(A371="","",MONTH(A371))</f>
        <v/>
      </c>
      <c r="J371" s="23">
        <f>IF(A371="","",YEAR(A371))</f>
        <v/>
      </c>
    </row>
    <row r="372">
      <c r="A372" s="47" t="n"/>
      <c r="B372" s="40" t="n"/>
      <c r="C372" s="39" t="n"/>
      <c r="D372" s="39" t="n"/>
      <c r="E372" s="46" t="n"/>
      <c r="F372" s="40" t="n"/>
      <c r="G372" s="24">
        <f>IF(C372="","",IFERROR(INDEX(Casos!$B$5:$B$204,MATCH(C372,Casos!$A$5:$A$204,0)),""))</f>
        <v/>
      </c>
      <c r="H372" s="29">
        <f>IF(OR(B372="",E372=""),"",E372*IFERROR(INDEX(Config!$D$12:$D$21,MATCH(B372,Config!$A$12:$A$21,0)),Config!$B$23))</f>
        <v/>
      </c>
      <c r="I372" s="23">
        <f>IF(A372="","",MONTH(A372))</f>
        <v/>
      </c>
      <c r="J372" s="23">
        <f>IF(A372="","",YEAR(A372))</f>
        <v/>
      </c>
    </row>
    <row r="373">
      <c r="A373" s="47" t="n"/>
      <c r="B373" s="40" t="n"/>
      <c r="C373" s="39" t="n"/>
      <c r="D373" s="39" t="n"/>
      <c r="E373" s="46" t="n"/>
      <c r="F373" s="40" t="n"/>
      <c r="G373" s="24">
        <f>IF(C373="","",IFERROR(INDEX(Casos!$B$5:$B$204,MATCH(C373,Casos!$A$5:$A$204,0)),""))</f>
        <v/>
      </c>
      <c r="H373" s="29">
        <f>IF(OR(B373="",E373=""),"",E373*IFERROR(INDEX(Config!$D$12:$D$21,MATCH(B373,Config!$A$12:$A$21,0)),Config!$B$23))</f>
        <v/>
      </c>
      <c r="I373" s="23">
        <f>IF(A373="","",MONTH(A373))</f>
        <v/>
      </c>
      <c r="J373" s="23">
        <f>IF(A373="","",YEAR(A373))</f>
        <v/>
      </c>
    </row>
    <row r="374">
      <c r="A374" s="47" t="n"/>
      <c r="B374" s="40" t="n"/>
      <c r="C374" s="39" t="n"/>
      <c r="D374" s="39" t="n"/>
      <c r="E374" s="46" t="n"/>
      <c r="F374" s="40" t="n"/>
      <c r="G374" s="24">
        <f>IF(C374="","",IFERROR(INDEX(Casos!$B$5:$B$204,MATCH(C374,Casos!$A$5:$A$204,0)),""))</f>
        <v/>
      </c>
      <c r="H374" s="29">
        <f>IF(OR(B374="",E374=""),"",E374*IFERROR(INDEX(Config!$D$12:$D$21,MATCH(B374,Config!$A$12:$A$21,0)),Config!$B$23))</f>
        <v/>
      </c>
      <c r="I374" s="23">
        <f>IF(A374="","",MONTH(A374))</f>
        <v/>
      </c>
      <c r="J374" s="23">
        <f>IF(A374="","",YEAR(A374))</f>
        <v/>
      </c>
    </row>
    <row r="375">
      <c r="A375" s="47" t="n"/>
      <c r="B375" s="40" t="n"/>
      <c r="C375" s="39" t="n"/>
      <c r="D375" s="39" t="n"/>
      <c r="E375" s="46" t="n"/>
      <c r="F375" s="40" t="n"/>
      <c r="G375" s="24">
        <f>IF(C375="","",IFERROR(INDEX(Casos!$B$5:$B$204,MATCH(C375,Casos!$A$5:$A$204,0)),""))</f>
        <v/>
      </c>
      <c r="H375" s="29">
        <f>IF(OR(B375="",E375=""),"",E375*IFERROR(INDEX(Config!$D$12:$D$21,MATCH(B375,Config!$A$12:$A$21,0)),Config!$B$23))</f>
        <v/>
      </c>
      <c r="I375" s="23">
        <f>IF(A375="","",MONTH(A375))</f>
        <v/>
      </c>
      <c r="J375" s="23">
        <f>IF(A375="","",YEAR(A375))</f>
        <v/>
      </c>
    </row>
    <row r="376">
      <c r="A376" s="47" t="n"/>
      <c r="B376" s="40" t="n"/>
      <c r="C376" s="39" t="n"/>
      <c r="D376" s="39" t="n"/>
      <c r="E376" s="46" t="n"/>
      <c r="F376" s="40" t="n"/>
      <c r="G376" s="24">
        <f>IF(C376="","",IFERROR(INDEX(Casos!$B$5:$B$204,MATCH(C376,Casos!$A$5:$A$204,0)),""))</f>
        <v/>
      </c>
      <c r="H376" s="29">
        <f>IF(OR(B376="",E376=""),"",E376*IFERROR(INDEX(Config!$D$12:$D$21,MATCH(B376,Config!$A$12:$A$21,0)),Config!$B$23))</f>
        <v/>
      </c>
      <c r="I376" s="23">
        <f>IF(A376="","",MONTH(A376))</f>
        <v/>
      </c>
      <c r="J376" s="23">
        <f>IF(A376="","",YEAR(A376))</f>
        <v/>
      </c>
    </row>
    <row r="377">
      <c r="A377" s="47" t="n"/>
      <c r="B377" s="40" t="n"/>
      <c r="C377" s="39" t="n"/>
      <c r="D377" s="39" t="n"/>
      <c r="E377" s="46" t="n"/>
      <c r="F377" s="40" t="n"/>
      <c r="G377" s="24">
        <f>IF(C377="","",IFERROR(INDEX(Casos!$B$5:$B$204,MATCH(C377,Casos!$A$5:$A$204,0)),""))</f>
        <v/>
      </c>
      <c r="H377" s="29">
        <f>IF(OR(B377="",E377=""),"",E377*IFERROR(INDEX(Config!$D$12:$D$21,MATCH(B377,Config!$A$12:$A$21,0)),Config!$B$23))</f>
        <v/>
      </c>
      <c r="I377" s="23">
        <f>IF(A377="","",MONTH(A377))</f>
        <v/>
      </c>
      <c r="J377" s="23">
        <f>IF(A377="","",YEAR(A377))</f>
        <v/>
      </c>
    </row>
    <row r="378">
      <c r="A378" s="47" t="n"/>
      <c r="B378" s="40" t="n"/>
      <c r="C378" s="39" t="n"/>
      <c r="D378" s="39" t="n"/>
      <c r="E378" s="46" t="n"/>
      <c r="F378" s="40" t="n"/>
      <c r="G378" s="24">
        <f>IF(C378="","",IFERROR(INDEX(Casos!$B$5:$B$204,MATCH(C378,Casos!$A$5:$A$204,0)),""))</f>
        <v/>
      </c>
      <c r="H378" s="29">
        <f>IF(OR(B378="",E378=""),"",E378*IFERROR(INDEX(Config!$D$12:$D$21,MATCH(B378,Config!$A$12:$A$21,0)),Config!$B$23))</f>
        <v/>
      </c>
      <c r="I378" s="23">
        <f>IF(A378="","",MONTH(A378))</f>
        <v/>
      </c>
      <c r="J378" s="23">
        <f>IF(A378="","",YEAR(A378))</f>
        <v/>
      </c>
    </row>
    <row r="379">
      <c r="A379" s="47" t="n"/>
      <c r="B379" s="40" t="n"/>
      <c r="C379" s="39" t="n"/>
      <c r="D379" s="39" t="n"/>
      <c r="E379" s="46" t="n"/>
      <c r="F379" s="40" t="n"/>
      <c r="G379" s="24">
        <f>IF(C379="","",IFERROR(INDEX(Casos!$B$5:$B$204,MATCH(C379,Casos!$A$5:$A$204,0)),""))</f>
        <v/>
      </c>
      <c r="H379" s="29">
        <f>IF(OR(B379="",E379=""),"",E379*IFERROR(INDEX(Config!$D$12:$D$21,MATCH(B379,Config!$A$12:$A$21,0)),Config!$B$23))</f>
        <v/>
      </c>
      <c r="I379" s="23">
        <f>IF(A379="","",MONTH(A379))</f>
        <v/>
      </c>
      <c r="J379" s="23">
        <f>IF(A379="","",YEAR(A379))</f>
        <v/>
      </c>
    </row>
    <row r="380">
      <c r="A380" s="47" t="n"/>
      <c r="B380" s="40" t="n"/>
      <c r="C380" s="39" t="n"/>
      <c r="D380" s="39" t="n"/>
      <c r="E380" s="46" t="n"/>
      <c r="F380" s="40" t="n"/>
      <c r="G380" s="24">
        <f>IF(C380="","",IFERROR(INDEX(Casos!$B$5:$B$204,MATCH(C380,Casos!$A$5:$A$204,0)),""))</f>
        <v/>
      </c>
      <c r="H380" s="29">
        <f>IF(OR(B380="",E380=""),"",E380*IFERROR(INDEX(Config!$D$12:$D$21,MATCH(B380,Config!$A$12:$A$21,0)),Config!$B$23))</f>
        <v/>
      </c>
      <c r="I380" s="23">
        <f>IF(A380="","",MONTH(A380))</f>
        <v/>
      </c>
      <c r="J380" s="23">
        <f>IF(A380="","",YEAR(A380))</f>
        <v/>
      </c>
    </row>
    <row r="381">
      <c r="A381" s="47" t="n"/>
      <c r="B381" s="40" t="n"/>
      <c r="C381" s="39" t="n"/>
      <c r="D381" s="39" t="n"/>
      <c r="E381" s="46" t="n"/>
      <c r="F381" s="40" t="n"/>
      <c r="G381" s="24">
        <f>IF(C381="","",IFERROR(INDEX(Casos!$B$5:$B$204,MATCH(C381,Casos!$A$5:$A$204,0)),""))</f>
        <v/>
      </c>
      <c r="H381" s="29">
        <f>IF(OR(B381="",E381=""),"",E381*IFERROR(INDEX(Config!$D$12:$D$21,MATCH(B381,Config!$A$12:$A$21,0)),Config!$B$23))</f>
        <v/>
      </c>
      <c r="I381" s="23">
        <f>IF(A381="","",MONTH(A381))</f>
        <v/>
      </c>
      <c r="J381" s="23">
        <f>IF(A381="","",YEAR(A381))</f>
        <v/>
      </c>
    </row>
    <row r="382">
      <c r="A382" s="47" t="n"/>
      <c r="B382" s="40" t="n"/>
      <c r="C382" s="39" t="n"/>
      <c r="D382" s="39" t="n"/>
      <c r="E382" s="46" t="n"/>
      <c r="F382" s="40" t="n"/>
      <c r="G382" s="24">
        <f>IF(C382="","",IFERROR(INDEX(Casos!$B$5:$B$204,MATCH(C382,Casos!$A$5:$A$204,0)),""))</f>
        <v/>
      </c>
      <c r="H382" s="29">
        <f>IF(OR(B382="",E382=""),"",E382*IFERROR(INDEX(Config!$D$12:$D$21,MATCH(B382,Config!$A$12:$A$21,0)),Config!$B$23))</f>
        <v/>
      </c>
      <c r="I382" s="23">
        <f>IF(A382="","",MONTH(A382))</f>
        <v/>
      </c>
      <c r="J382" s="23">
        <f>IF(A382="","",YEAR(A382))</f>
        <v/>
      </c>
    </row>
    <row r="383">
      <c r="A383" s="47" t="n"/>
      <c r="B383" s="40" t="n"/>
      <c r="C383" s="39" t="n"/>
      <c r="D383" s="39" t="n"/>
      <c r="E383" s="46" t="n"/>
      <c r="F383" s="40" t="n"/>
      <c r="G383" s="24">
        <f>IF(C383="","",IFERROR(INDEX(Casos!$B$5:$B$204,MATCH(C383,Casos!$A$5:$A$204,0)),""))</f>
        <v/>
      </c>
      <c r="H383" s="29">
        <f>IF(OR(B383="",E383=""),"",E383*IFERROR(INDEX(Config!$D$12:$D$21,MATCH(B383,Config!$A$12:$A$21,0)),Config!$B$23))</f>
        <v/>
      </c>
      <c r="I383" s="23">
        <f>IF(A383="","",MONTH(A383))</f>
        <v/>
      </c>
      <c r="J383" s="23">
        <f>IF(A383="","",YEAR(A383))</f>
        <v/>
      </c>
    </row>
    <row r="384">
      <c r="A384" s="47" t="n"/>
      <c r="B384" s="40" t="n"/>
      <c r="C384" s="39" t="n"/>
      <c r="D384" s="39" t="n"/>
      <c r="E384" s="46" t="n"/>
      <c r="F384" s="40" t="n"/>
      <c r="G384" s="24">
        <f>IF(C384="","",IFERROR(INDEX(Casos!$B$5:$B$204,MATCH(C384,Casos!$A$5:$A$204,0)),""))</f>
        <v/>
      </c>
      <c r="H384" s="29">
        <f>IF(OR(B384="",E384=""),"",E384*IFERROR(INDEX(Config!$D$12:$D$21,MATCH(B384,Config!$A$12:$A$21,0)),Config!$B$23))</f>
        <v/>
      </c>
      <c r="I384" s="23">
        <f>IF(A384="","",MONTH(A384))</f>
        <v/>
      </c>
      <c r="J384" s="23">
        <f>IF(A384="","",YEAR(A384))</f>
        <v/>
      </c>
    </row>
    <row r="385">
      <c r="A385" s="47" t="n"/>
      <c r="B385" s="40" t="n"/>
      <c r="C385" s="39" t="n"/>
      <c r="D385" s="39" t="n"/>
      <c r="E385" s="46" t="n"/>
      <c r="F385" s="40" t="n"/>
      <c r="G385" s="24">
        <f>IF(C385="","",IFERROR(INDEX(Casos!$B$5:$B$204,MATCH(C385,Casos!$A$5:$A$204,0)),""))</f>
        <v/>
      </c>
      <c r="H385" s="29">
        <f>IF(OR(B385="",E385=""),"",E385*IFERROR(INDEX(Config!$D$12:$D$21,MATCH(B385,Config!$A$12:$A$21,0)),Config!$B$23))</f>
        <v/>
      </c>
      <c r="I385" s="23">
        <f>IF(A385="","",MONTH(A385))</f>
        <v/>
      </c>
      <c r="J385" s="23">
        <f>IF(A385="","",YEAR(A385))</f>
        <v/>
      </c>
    </row>
    <row r="386">
      <c r="A386" s="47" t="n"/>
      <c r="B386" s="40" t="n"/>
      <c r="C386" s="39" t="n"/>
      <c r="D386" s="39" t="n"/>
      <c r="E386" s="46" t="n"/>
      <c r="F386" s="40" t="n"/>
      <c r="G386" s="24">
        <f>IF(C386="","",IFERROR(INDEX(Casos!$B$5:$B$204,MATCH(C386,Casos!$A$5:$A$204,0)),""))</f>
        <v/>
      </c>
      <c r="H386" s="29">
        <f>IF(OR(B386="",E386=""),"",E386*IFERROR(INDEX(Config!$D$12:$D$21,MATCH(B386,Config!$A$12:$A$21,0)),Config!$B$23))</f>
        <v/>
      </c>
      <c r="I386" s="23">
        <f>IF(A386="","",MONTH(A386))</f>
        <v/>
      </c>
      <c r="J386" s="23">
        <f>IF(A386="","",YEAR(A386))</f>
        <v/>
      </c>
    </row>
    <row r="387">
      <c r="A387" s="47" t="n"/>
      <c r="B387" s="40" t="n"/>
      <c r="C387" s="39" t="n"/>
      <c r="D387" s="39" t="n"/>
      <c r="E387" s="46" t="n"/>
      <c r="F387" s="40" t="n"/>
      <c r="G387" s="24">
        <f>IF(C387="","",IFERROR(INDEX(Casos!$B$5:$B$204,MATCH(C387,Casos!$A$5:$A$204,0)),""))</f>
        <v/>
      </c>
      <c r="H387" s="29">
        <f>IF(OR(B387="",E387=""),"",E387*IFERROR(INDEX(Config!$D$12:$D$21,MATCH(B387,Config!$A$12:$A$21,0)),Config!$B$23))</f>
        <v/>
      </c>
      <c r="I387" s="23">
        <f>IF(A387="","",MONTH(A387))</f>
        <v/>
      </c>
      <c r="J387" s="23">
        <f>IF(A387="","",YEAR(A387))</f>
        <v/>
      </c>
    </row>
    <row r="388">
      <c r="A388" s="47" t="n"/>
      <c r="B388" s="40" t="n"/>
      <c r="C388" s="39" t="n"/>
      <c r="D388" s="39" t="n"/>
      <c r="E388" s="46" t="n"/>
      <c r="F388" s="40" t="n"/>
      <c r="G388" s="24">
        <f>IF(C388="","",IFERROR(INDEX(Casos!$B$5:$B$204,MATCH(C388,Casos!$A$5:$A$204,0)),""))</f>
        <v/>
      </c>
      <c r="H388" s="29">
        <f>IF(OR(B388="",E388=""),"",E388*IFERROR(INDEX(Config!$D$12:$D$21,MATCH(B388,Config!$A$12:$A$21,0)),Config!$B$23))</f>
        <v/>
      </c>
      <c r="I388" s="23">
        <f>IF(A388="","",MONTH(A388))</f>
        <v/>
      </c>
      <c r="J388" s="23">
        <f>IF(A388="","",YEAR(A388))</f>
        <v/>
      </c>
    </row>
    <row r="389">
      <c r="A389" s="47" t="n"/>
      <c r="B389" s="40" t="n"/>
      <c r="C389" s="39" t="n"/>
      <c r="D389" s="39" t="n"/>
      <c r="E389" s="46" t="n"/>
      <c r="F389" s="40" t="n"/>
      <c r="G389" s="24">
        <f>IF(C389="","",IFERROR(INDEX(Casos!$B$5:$B$204,MATCH(C389,Casos!$A$5:$A$204,0)),""))</f>
        <v/>
      </c>
      <c r="H389" s="29">
        <f>IF(OR(B389="",E389=""),"",E389*IFERROR(INDEX(Config!$D$12:$D$21,MATCH(B389,Config!$A$12:$A$21,0)),Config!$B$23))</f>
        <v/>
      </c>
      <c r="I389" s="23">
        <f>IF(A389="","",MONTH(A389))</f>
        <v/>
      </c>
      <c r="J389" s="23">
        <f>IF(A389="","",YEAR(A389))</f>
        <v/>
      </c>
    </row>
    <row r="390">
      <c r="A390" s="47" t="n"/>
      <c r="B390" s="40" t="n"/>
      <c r="C390" s="39" t="n"/>
      <c r="D390" s="39" t="n"/>
      <c r="E390" s="46" t="n"/>
      <c r="F390" s="40" t="n"/>
      <c r="G390" s="24">
        <f>IF(C390="","",IFERROR(INDEX(Casos!$B$5:$B$204,MATCH(C390,Casos!$A$5:$A$204,0)),""))</f>
        <v/>
      </c>
      <c r="H390" s="29">
        <f>IF(OR(B390="",E390=""),"",E390*IFERROR(INDEX(Config!$D$12:$D$21,MATCH(B390,Config!$A$12:$A$21,0)),Config!$B$23))</f>
        <v/>
      </c>
      <c r="I390" s="23">
        <f>IF(A390="","",MONTH(A390))</f>
        <v/>
      </c>
      <c r="J390" s="23">
        <f>IF(A390="","",YEAR(A390))</f>
        <v/>
      </c>
    </row>
    <row r="391">
      <c r="A391" s="47" t="n"/>
      <c r="B391" s="40" t="n"/>
      <c r="C391" s="39" t="n"/>
      <c r="D391" s="39" t="n"/>
      <c r="E391" s="46" t="n"/>
      <c r="F391" s="40" t="n"/>
      <c r="G391" s="24">
        <f>IF(C391="","",IFERROR(INDEX(Casos!$B$5:$B$204,MATCH(C391,Casos!$A$5:$A$204,0)),""))</f>
        <v/>
      </c>
      <c r="H391" s="29">
        <f>IF(OR(B391="",E391=""),"",E391*IFERROR(INDEX(Config!$D$12:$D$21,MATCH(B391,Config!$A$12:$A$21,0)),Config!$B$23))</f>
        <v/>
      </c>
      <c r="I391" s="23">
        <f>IF(A391="","",MONTH(A391))</f>
        <v/>
      </c>
      <c r="J391" s="23">
        <f>IF(A391="","",YEAR(A391))</f>
        <v/>
      </c>
    </row>
    <row r="392">
      <c r="A392" s="47" t="n"/>
      <c r="B392" s="40" t="n"/>
      <c r="C392" s="39" t="n"/>
      <c r="D392" s="39" t="n"/>
      <c r="E392" s="46" t="n"/>
      <c r="F392" s="40" t="n"/>
      <c r="G392" s="24">
        <f>IF(C392="","",IFERROR(INDEX(Casos!$B$5:$B$204,MATCH(C392,Casos!$A$5:$A$204,0)),""))</f>
        <v/>
      </c>
      <c r="H392" s="29">
        <f>IF(OR(B392="",E392=""),"",E392*IFERROR(INDEX(Config!$D$12:$D$21,MATCH(B392,Config!$A$12:$A$21,0)),Config!$B$23))</f>
        <v/>
      </c>
      <c r="I392" s="23">
        <f>IF(A392="","",MONTH(A392))</f>
        <v/>
      </c>
      <c r="J392" s="23">
        <f>IF(A392="","",YEAR(A392))</f>
        <v/>
      </c>
    </row>
    <row r="393">
      <c r="A393" s="47" t="n"/>
      <c r="B393" s="40" t="n"/>
      <c r="C393" s="39" t="n"/>
      <c r="D393" s="39" t="n"/>
      <c r="E393" s="46" t="n"/>
      <c r="F393" s="40" t="n"/>
      <c r="G393" s="24">
        <f>IF(C393="","",IFERROR(INDEX(Casos!$B$5:$B$204,MATCH(C393,Casos!$A$5:$A$204,0)),""))</f>
        <v/>
      </c>
      <c r="H393" s="29">
        <f>IF(OR(B393="",E393=""),"",E393*IFERROR(INDEX(Config!$D$12:$D$21,MATCH(B393,Config!$A$12:$A$21,0)),Config!$B$23))</f>
        <v/>
      </c>
      <c r="I393" s="23">
        <f>IF(A393="","",MONTH(A393))</f>
        <v/>
      </c>
      <c r="J393" s="23">
        <f>IF(A393="","",YEAR(A393))</f>
        <v/>
      </c>
    </row>
    <row r="394">
      <c r="A394" s="47" t="n"/>
      <c r="B394" s="40" t="n"/>
      <c r="C394" s="39" t="n"/>
      <c r="D394" s="39" t="n"/>
      <c r="E394" s="46" t="n"/>
      <c r="F394" s="40" t="n"/>
      <c r="G394" s="24">
        <f>IF(C394="","",IFERROR(INDEX(Casos!$B$5:$B$204,MATCH(C394,Casos!$A$5:$A$204,0)),""))</f>
        <v/>
      </c>
      <c r="H394" s="29">
        <f>IF(OR(B394="",E394=""),"",E394*IFERROR(INDEX(Config!$D$12:$D$21,MATCH(B394,Config!$A$12:$A$21,0)),Config!$B$23))</f>
        <v/>
      </c>
      <c r="I394" s="23">
        <f>IF(A394="","",MONTH(A394))</f>
        <v/>
      </c>
      <c r="J394" s="23">
        <f>IF(A394="","",YEAR(A394))</f>
        <v/>
      </c>
    </row>
    <row r="395">
      <c r="A395" s="47" t="n"/>
      <c r="B395" s="40" t="n"/>
      <c r="C395" s="39" t="n"/>
      <c r="D395" s="39" t="n"/>
      <c r="E395" s="46" t="n"/>
      <c r="F395" s="40" t="n"/>
      <c r="G395" s="24">
        <f>IF(C395="","",IFERROR(INDEX(Casos!$B$5:$B$204,MATCH(C395,Casos!$A$5:$A$204,0)),""))</f>
        <v/>
      </c>
      <c r="H395" s="29">
        <f>IF(OR(B395="",E395=""),"",E395*IFERROR(INDEX(Config!$D$12:$D$21,MATCH(B395,Config!$A$12:$A$21,0)),Config!$B$23))</f>
        <v/>
      </c>
      <c r="I395" s="23">
        <f>IF(A395="","",MONTH(A395))</f>
        <v/>
      </c>
      <c r="J395" s="23">
        <f>IF(A395="","",YEAR(A395))</f>
        <v/>
      </c>
    </row>
    <row r="396">
      <c r="A396" s="47" t="n"/>
      <c r="B396" s="40" t="n"/>
      <c r="C396" s="39" t="n"/>
      <c r="D396" s="39" t="n"/>
      <c r="E396" s="46" t="n"/>
      <c r="F396" s="40" t="n"/>
      <c r="G396" s="24">
        <f>IF(C396="","",IFERROR(INDEX(Casos!$B$5:$B$204,MATCH(C396,Casos!$A$5:$A$204,0)),""))</f>
        <v/>
      </c>
      <c r="H396" s="29">
        <f>IF(OR(B396="",E396=""),"",E396*IFERROR(INDEX(Config!$D$12:$D$21,MATCH(B396,Config!$A$12:$A$21,0)),Config!$B$23))</f>
        <v/>
      </c>
      <c r="I396" s="23">
        <f>IF(A396="","",MONTH(A396))</f>
        <v/>
      </c>
      <c r="J396" s="23">
        <f>IF(A396="","",YEAR(A396))</f>
        <v/>
      </c>
    </row>
    <row r="397">
      <c r="A397" s="47" t="n"/>
      <c r="B397" s="40" t="n"/>
      <c r="C397" s="39" t="n"/>
      <c r="D397" s="39" t="n"/>
      <c r="E397" s="46" t="n"/>
      <c r="F397" s="40" t="n"/>
      <c r="G397" s="24">
        <f>IF(C397="","",IFERROR(INDEX(Casos!$B$5:$B$204,MATCH(C397,Casos!$A$5:$A$204,0)),""))</f>
        <v/>
      </c>
      <c r="H397" s="29">
        <f>IF(OR(B397="",E397=""),"",E397*IFERROR(INDEX(Config!$D$12:$D$21,MATCH(B397,Config!$A$12:$A$21,0)),Config!$B$23))</f>
        <v/>
      </c>
      <c r="I397" s="23">
        <f>IF(A397="","",MONTH(A397))</f>
        <v/>
      </c>
      <c r="J397" s="23">
        <f>IF(A397="","",YEAR(A397))</f>
        <v/>
      </c>
    </row>
    <row r="398">
      <c r="A398" s="47" t="n"/>
      <c r="B398" s="40" t="n"/>
      <c r="C398" s="39" t="n"/>
      <c r="D398" s="39" t="n"/>
      <c r="E398" s="46" t="n"/>
      <c r="F398" s="40" t="n"/>
      <c r="G398" s="24">
        <f>IF(C398="","",IFERROR(INDEX(Casos!$B$5:$B$204,MATCH(C398,Casos!$A$5:$A$204,0)),""))</f>
        <v/>
      </c>
      <c r="H398" s="29">
        <f>IF(OR(B398="",E398=""),"",E398*IFERROR(INDEX(Config!$D$12:$D$21,MATCH(B398,Config!$A$12:$A$21,0)),Config!$B$23))</f>
        <v/>
      </c>
      <c r="I398" s="23">
        <f>IF(A398="","",MONTH(A398))</f>
        <v/>
      </c>
      <c r="J398" s="23">
        <f>IF(A398="","",YEAR(A398))</f>
        <v/>
      </c>
    </row>
    <row r="399">
      <c r="A399" s="47" t="n"/>
      <c r="B399" s="40" t="n"/>
      <c r="C399" s="39" t="n"/>
      <c r="D399" s="39" t="n"/>
      <c r="E399" s="46" t="n"/>
      <c r="F399" s="40" t="n"/>
      <c r="G399" s="24">
        <f>IF(C399="","",IFERROR(INDEX(Casos!$B$5:$B$204,MATCH(C399,Casos!$A$5:$A$204,0)),""))</f>
        <v/>
      </c>
      <c r="H399" s="29">
        <f>IF(OR(B399="",E399=""),"",E399*IFERROR(INDEX(Config!$D$12:$D$21,MATCH(B399,Config!$A$12:$A$21,0)),Config!$B$23))</f>
        <v/>
      </c>
      <c r="I399" s="23">
        <f>IF(A399="","",MONTH(A399))</f>
        <v/>
      </c>
      <c r="J399" s="23">
        <f>IF(A399="","",YEAR(A399))</f>
        <v/>
      </c>
    </row>
    <row r="400">
      <c r="A400" s="47" t="n"/>
      <c r="B400" s="40" t="n"/>
      <c r="C400" s="39" t="n"/>
      <c r="D400" s="39" t="n"/>
      <c r="E400" s="46" t="n"/>
      <c r="F400" s="40" t="n"/>
      <c r="G400" s="24">
        <f>IF(C400="","",IFERROR(INDEX(Casos!$B$5:$B$204,MATCH(C400,Casos!$A$5:$A$204,0)),""))</f>
        <v/>
      </c>
      <c r="H400" s="29">
        <f>IF(OR(B400="",E400=""),"",E400*IFERROR(INDEX(Config!$D$12:$D$21,MATCH(B400,Config!$A$12:$A$21,0)),Config!$B$23))</f>
        <v/>
      </c>
      <c r="I400" s="23">
        <f>IF(A400="","",MONTH(A400))</f>
        <v/>
      </c>
      <c r="J400" s="23">
        <f>IF(A400="","",YEAR(A400))</f>
        <v/>
      </c>
    </row>
    <row r="401">
      <c r="A401" s="47" t="n"/>
      <c r="B401" s="40" t="n"/>
      <c r="C401" s="39" t="n"/>
      <c r="D401" s="39" t="n"/>
      <c r="E401" s="46" t="n"/>
      <c r="F401" s="40" t="n"/>
      <c r="G401" s="24">
        <f>IF(C401="","",IFERROR(INDEX(Casos!$B$5:$B$204,MATCH(C401,Casos!$A$5:$A$204,0)),""))</f>
        <v/>
      </c>
      <c r="H401" s="29">
        <f>IF(OR(B401="",E401=""),"",E401*IFERROR(INDEX(Config!$D$12:$D$21,MATCH(B401,Config!$A$12:$A$21,0)),Config!$B$23))</f>
        <v/>
      </c>
      <c r="I401" s="23">
        <f>IF(A401="","",MONTH(A401))</f>
        <v/>
      </c>
      <c r="J401" s="23">
        <f>IF(A401="","",YEAR(A401))</f>
        <v/>
      </c>
    </row>
    <row r="402">
      <c r="A402" s="47" t="n"/>
      <c r="B402" s="40" t="n"/>
      <c r="C402" s="39" t="n"/>
      <c r="D402" s="39" t="n"/>
      <c r="E402" s="46" t="n"/>
      <c r="F402" s="40" t="n"/>
      <c r="G402" s="24">
        <f>IF(C402="","",IFERROR(INDEX(Casos!$B$5:$B$204,MATCH(C402,Casos!$A$5:$A$204,0)),""))</f>
        <v/>
      </c>
      <c r="H402" s="29">
        <f>IF(OR(B402="",E402=""),"",E402*IFERROR(INDEX(Config!$D$12:$D$21,MATCH(B402,Config!$A$12:$A$21,0)),Config!$B$23))</f>
        <v/>
      </c>
      <c r="I402" s="23">
        <f>IF(A402="","",MONTH(A402))</f>
        <v/>
      </c>
      <c r="J402" s="23">
        <f>IF(A402="","",YEAR(A402))</f>
        <v/>
      </c>
    </row>
    <row r="403">
      <c r="A403" s="47" t="n"/>
      <c r="B403" s="40" t="n"/>
      <c r="C403" s="39" t="n"/>
      <c r="D403" s="39" t="n"/>
      <c r="E403" s="46" t="n"/>
      <c r="F403" s="40" t="n"/>
      <c r="G403" s="24">
        <f>IF(C403="","",IFERROR(INDEX(Casos!$B$5:$B$204,MATCH(C403,Casos!$A$5:$A$204,0)),""))</f>
        <v/>
      </c>
      <c r="H403" s="29">
        <f>IF(OR(B403="",E403=""),"",E403*IFERROR(INDEX(Config!$D$12:$D$21,MATCH(B403,Config!$A$12:$A$21,0)),Config!$B$23))</f>
        <v/>
      </c>
      <c r="I403" s="23">
        <f>IF(A403="","",MONTH(A403))</f>
        <v/>
      </c>
      <c r="J403" s="23">
        <f>IF(A403="","",YEAR(A403))</f>
        <v/>
      </c>
    </row>
    <row r="404">
      <c r="A404" s="47" t="n"/>
      <c r="B404" s="40" t="n"/>
      <c r="C404" s="39" t="n"/>
      <c r="D404" s="39" t="n"/>
      <c r="E404" s="46" t="n"/>
      <c r="F404" s="40" t="n"/>
      <c r="G404" s="24">
        <f>IF(C404="","",IFERROR(INDEX(Casos!$B$5:$B$204,MATCH(C404,Casos!$A$5:$A$204,0)),""))</f>
        <v/>
      </c>
      <c r="H404" s="29">
        <f>IF(OR(B404="",E404=""),"",E404*IFERROR(INDEX(Config!$D$12:$D$21,MATCH(B404,Config!$A$12:$A$21,0)),Config!$B$23))</f>
        <v/>
      </c>
      <c r="I404" s="23">
        <f>IF(A404="","",MONTH(A404))</f>
        <v/>
      </c>
      <c r="J404" s="23">
        <f>IF(A404="","",YEAR(A404))</f>
        <v/>
      </c>
    </row>
    <row r="405">
      <c r="A405" s="47" t="n"/>
      <c r="B405" s="40" t="n"/>
      <c r="C405" s="39" t="n"/>
      <c r="D405" s="39" t="n"/>
      <c r="E405" s="46" t="n"/>
      <c r="F405" s="40" t="n"/>
      <c r="G405" s="24">
        <f>IF(C405="","",IFERROR(INDEX(Casos!$B$5:$B$204,MATCH(C405,Casos!$A$5:$A$204,0)),""))</f>
        <v/>
      </c>
      <c r="H405" s="29">
        <f>IF(OR(B405="",E405=""),"",E405*IFERROR(INDEX(Config!$D$12:$D$21,MATCH(B405,Config!$A$12:$A$21,0)),Config!$B$23))</f>
        <v/>
      </c>
      <c r="I405" s="23">
        <f>IF(A405="","",MONTH(A405))</f>
        <v/>
      </c>
      <c r="J405" s="23">
        <f>IF(A405="","",YEAR(A405))</f>
        <v/>
      </c>
    </row>
    <row r="406">
      <c r="A406" s="47" t="n"/>
      <c r="B406" s="40" t="n"/>
      <c r="C406" s="39" t="n"/>
      <c r="D406" s="39" t="n"/>
      <c r="E406" s="46" t="n"/>
      <c r="F406" s="40" t="n"/>
      <c r="G406" s="24">
        <f>IF(C406="","",IFERROR(INDEX(Casos!$B$5:$B$204,MATCH(C406,Casos!$A$5:$A$204,0)),""))</f>
        <v/>
      </c>
      <c r="H406" s="29">
        <f>IF(OR(B406="",E406=""),"",E406*IFERROR(INDEX(Config!$D$12:$D$21,MATCH(B406,Config!$A$12:$A$21,0)),Config!$B$23))</f>
        <v/>
      </c>
      <c r="I406" s="23">
        <f>IF(A406="","",MONTH(A406))</f>
        <v/>
      </c>
      <c r="J406" s="23">
        <f>IF(A406="","",YEAR(A406))</f>
        <v/>
      </c>
    </row>
    <row r="407">
      <c r="A407" s="47" t="n"/>
      <c r="B407" s="40" t="n"/>
      <c r="C407" s="39" t="n"/>
      <c r="D407" s="39" t="n"/>
      <c r="E407" s="46" t="n"/>
      <c r="F407" s="40" t="n"/>
      <c r="G407" s="24">
        <f>IF(C407="","",IFERROR(INDEX(Casos!$B$5:$B$204,MATCH(C407,Casos!$A$5:$A$204,0)),""))</f>
        <v/>
      </c>
      <c r="H407" s="29">
        <f>IF(OR(B407="",E407=""),"",E407*IFERROR(INDEX(Config!$D$12:$D$21,MATCH(B407,Config!$A$12:$A$21,0)),Config!$B$23))</f>
        <v/>
      </c>
      <c r="I407" s="23">
        <f>IF(A407="","",MONTH(A407))</f>
        <v/>
      </c>
      <c r="J407" s="23">
        <f>IF(A407="","",YEAR(A407))</f>
        <v/>
      </c>
    </row>
    <row r="408">
      <c r="A408" s="47" t="n"/>
      <c r="B408" s="40" t="n"/>
      <c r="C408" s="39" t="n"/>
      <c r="D408" s="39" t="n"/>
      <c r="E408" s="46" t="n"/>
      <c r="F408" s="40" t="n"/>
      <c r="G408" s="24">
        <f>IF(C408="","",IFERROR(INDEX(Casos!$B$5:$B$204,MATCH(C408,Casos!$A$5:$A$204,0)),""))</f>
        <v/>
      </c>
      <c r="H408" s="29">
        <f>IF(OR(B408="",E408=""),"",E408*IFERROR(INDEX(Config!$D$12:$D$21,MATCH(B408,Config!$A$12:$A$21,0)),Config!$B$23))</f>
        <v/>
      </c>
      <c r="I408" s="23">
        <f>IF(A408="","",MONTH(A408))</f>
        <v/>
      </c>
      <c r="J408" s="23">
        <f>IF(A408="","",YEAR(A408))</f>
        <v/>
      </c>
    </row>
    <row r="409">
      <c r="A409" s="47" t="n"/>
      <c r="B409" s="40" t="n"/>
      <c r="C409" s="39" t="n"/>
      <c r="D409" s="39" t="n"/>
      <c r="E409" s="46" t="n"/>
      <c r="F409" s="40" t="n"/>
      <c r="G409" s="24">
        <f>IF(C409="","",IFERROR(INDEX(Casos!$B$5:$B$204,MATCH(C409,Casos!$A$5:$A$204,0)),""))</f>
        <v/>
      </c>
      <c r="H409" s="29">
        <f>IF(OR(B409="",E409=""),"",E409*IFERROR(INDEX(Config!$D$12:$D$21,MATCH(B409,Config!$A$12:$A$21,0)),Config!$B$23))</f>
        <v/>
      </c>
      <c r="I409" s="23">
        <f>IF(A409="","",MONTH(A409))</f>
        <v/>
      </c>
      <c r="J409" s="23">
        <f>IF(A409="","",YEAR(A409))</f>
        <v/>
      </c>
    </row>
    <row r="410">
      <c r="A410" s="47" t="n"/>
      <c r="B410" s="40" t="n"/>
      <c r="C410" s="39" t="n"/>
      <c r="D410" s="39" t="n"/>
      <c r="E410" s="46" t="n"/>
      <c r="F410" s="40" t="n"/>
      <c r="G410" s="24">
        <f>IF(C410="","",IFERROR(INDEX(Casos!$B$5:$B$204,MATCH(C410,Casos!$A$5:$A$204,0)),""))</f>
        <v/>
      </c>
      <c r="H410" s="29">
        <f>IF(OR(B410="",E410=""),"",E410*IFERROR(INDEX(Config!$D$12:$D$21,MATCH(B410,Config!$A$12:$A$21,0)),Config!$B$23))</f>
        <v/>
      </c>
      <c r="I410" s="23">
        <f>IF(A410="","",MONTH(A410))</f>
        <v/>
      </c>
      <c r="J410" s="23">
        <f>IF(A410="","",YEAR(A410))</f>
        <v/>
      </c>
    </row>
    <row r="411">
      <c r="A411" s="47" t="n"/>
      <c r="B411" s="40" t="n"/>
      <c r="C411" s="39" t="n"/>
      <c r="D411" s="39" t="n"/>
      <c r="E411" s="46" t="n"/>
      <c r="F411" s="40" t="n"/>
      <c r="G411" s="24">
        <f>IF(C411="","",IFERROR(INDEX(Casos!$B$5:$B$204,MATCH(C411,Casos!$A$5:$A$204,0)),""))</f>
        <v/>
      </c>
      <c r="H411" s="29">
        <f>IF(OR(B411="",E411=""),"",E411*IFERROR(INDEX(Config!$D$12:$D$21,MATCH(B411,Config!$A$12:$A$21,0)),Config!$B$23))</f>
        <v/>
      </c>
      <c r="I411" s="23">
        <f>IF(A411="","",MONTH(A411))</f>
        <v/>
      </c>
      <c r="J411" s="23">
        <f>IF(A411="","",YEAR(A411))</f>
        <v/>
      </c>
    </row>
    <row r="412">
      <c r="A412" s="47" t="n"/>
      <c r="B412" s="40" t="n"/>
      <c r="C412" s="39" t="n"/>
      <c r="D412" s="39" t="n"/>
      <c r="E412" s="46" t="n"/>
      <c r="F412" s="40" t="n"/>
      <c r="G412" s="24">
        <f>IF(C412="","",IFERROR(INDEX(Casos!$B$5:$B$204,MATCH(C412,Casos!$A$5:$A$204,0)),""))</f>
        <v/>
      </c>
      <c r="H412" s="29">
        <f>IF(OR(B412="",E412=""),"",E412*IFERROR(INDEX(Config!$D$12:$D$21,MATCH(B412,Config!$A$12:$A$21,0)),Config!$B$23))</f>
        <v/>
      </c>
      <c r="I412" s="23">
        <f>IF(A412="","",MONTH(A412))</f>
        <v/>
      </c>
      <c r="J412" s="23">
        <f>IF(A412="","",YEAR(A412))</f>
        <v/>
      </c>
    </row>
    <row r="413">
      <c r="A413" s="47" t="n"/>
      <c r="B413" s="40" t="n"/>
      <c r="C413" s="39" t="n"/>
      <c r="D413" s="39" t="n"/>
      <c r="E413" s="46" t="n"/>
      <c r="F413" s="40" t="n"/>
      <c r="G413" s="24">
        <f>IF(C413="","",IFERROR(INDEX(Casos!$B$5:$B$204,MATCH(C413,Casos!$A$5:$A$204,0)),""))</f>
        <v/>
      </c>
      <c r="H413" s="29">
        <f>IF(OR(B413="",E413=""),"",E413*IFERROR(INDEX(Config!$D$12:$D$21,MATCH(B413,Config!$A$12:$A$21,0)),Config!$B$23))</f>
        <v/>
      </c>
      <c r="I413" s="23">
        <f>IF(A413="","",MONTH(A413))</f>
        <v/>
      </c>
      <c r="J413" s="23">
        <f>IF(A413="","",YEAR(A413))</f>
        <v/>
      </c>
    </row>
    <row r="414">
      <c r="A414" s="47" t="n"/>
      <c r="B414" s="40" t="n"/>
      <c r="C414" s="39" t="n"/>
      <c r="D414" s="39" t="n"/>
      <c r="E414" s="46" t="n"/>
      <c r="F414" s="40" t="n"/>
      <c r="G414" s="24">
        <f>IF(C414="","",IFERROR(INDEX(Casos!$B$5:$B$204,MATCH(C414,Casos!$A$5:$A$204,0)),""))</f>
        <v/>
      </c>
      <c r="H414" s="29">
        <f>IF(OR(B414="",E414=""),"",E414*IFERROR(INDEX(Config!$D$12:$D$21,MATCH(B414,Config!$A$12:$A$21,0)),Config!$B$23))</f>
        <v/>
      </c>
      <c r="I414" s="23">
        <f>IF(A414="","",MONTH(A414))</f>
        <v/>
      </c>
      <c r="J414" s="23">
        <f>IF(A414="","",YEAR(A414))</f>
        <v/>
      </c>
    </row>
    <row r="415">
      <c r="A415" s="47" t="n"/>
      <c r="B415" s="40" t="n"/>
      <c r="C415" s="39" t="n"/>
      <c r="D415" s="39" t="n"/>
      <c r="E415" s="46" t="n"/>
      <c r="F415" s="40" t="n"/>
      <c r="G415" s="24">
        <f>IF(C415="","",IFERROR(INDEX(Casos!$B$5:$B$204,MATCH(C415,Casos!$A$5:$A$204,0)),""))</f>
        <v/>
      </c>
      <c r="H415" s="29">
        <f>IF(OR(B415="",E415=""),"",E415*IFERROR(INDEX(Config!$D$12:$D$21,MATCH(B415,Config!$A$12:$A$21,0)),Config!$B$23))</f>
        <v/>
      </c>
      <c r="I415" s="23">
        <f>IF(A415="","",MONTH(A415))</f>
        <v/>
      </c>
      <c r="J415" s="23">
        <f>IF(A415="","",YEAR(A415))</f>
        <v/>
      </c>
    </row>
    <row r="416">
      <c r="A416" s="47" t="n"/>
      <c r="B416" s="40" t="n"/>
      <c r="C416" s="39" t="n"/>
      <c r="D416" s="39" t="n"/>
      <c r="E416" s="46" t="n"/>
      <c r="F416" s="40" t="n"/>
      <c r="G416" s="24">
        <f>IF(C416="","",IFERROR(INDEX(Casos!$B$5:$B$204,MATCH(C416,Casos!$A$5:$A$204,0)),""))</f>
        <v/>
      </c>
      <c r="H416" s="29">
        <f>IF(OR(B416="",E416=""),"",E416*IFERROR(INDEX(Config!$D$12:$D$21,MATCH(B416,Config!$A$12:$A$21,0)),Config!$B$23))</f>
        <v/>
      </c>
      <c r="I416" s="23">
        <f>IF(A416="","",MONTH(A416))</f>
        <v/>
      </c>
      <c r="J416" s="23">
        <f>IF(A416="","",YEAR(A416))</f>
        <v/>
      </c>
    </row>
    <row r="417">
      <c r="A417" s="47" t="n"/>
      <c r="B417" s="40" t="n"/>
      <c r="C417" s="39" t="n"/>
      <c r="D417" s="39" t="n"/>
      <c r="E417" s="46" t="n"/>
      <c r="F417" s="40" t="n"/>
      <c r="G417" s="24">
        <f>IF(C417="","",IFERROR(INDEX(Casos!$B$5:$B$204,MATCH(C417,Casos!$A$5:$A$204,0)),""))</f>
        <v/>
      </c>
      <c r="H417" s="29">
        <f>IF(OR(B417="",E417=""),"",E417*IFERROR(INDEX(Config!$D$12:$D$21,MATCH(B417,Config!$A$12:$A$21,0)),Config!$B$23))</f>
        <v/>
      </c>
      <c r="I417" s="23">
        <f>IF(A417="","",MONTH(A417))</f>
        <v/>
      </c>
      <c r="J417" s="23">
        <f>IF(A417="","",YEAR(A417))</f>
        <v/>
      </c>
    </row>
    <row r="418">
      <c r="A418" s="47" t="n"/>
      <c r="B418" s="40" t="n"/>
      <c r="C418" s="39" t="n"/>
      <c r="D418" s="39" t="n"/>
      <c r="E418" s="46" t="n"/>
      <c r="F418" s="40" t="n"/>
      <c r="G418" s="24">
        <f>IF(C418="","",IFERROR(INDEX(Casos!$B$5:$B$204,MATCH(C418,Casos!$A$5:$A$204,0)),""))</f>
        <v/>
      </c>
      <c r="H418" s="29">
        <f>IF(OR(B418="",E418=""),"",E418*IFERROR(INDEX(Config!$D$12:$D$21,MATCH(B418,Config!$A$12:$A$21,0)),Config!$B$23))</f>
        <v/>
      </c>
      <c r="I418" s="23">
        <f>IF(A418="","",MONTH(A418))</f>
        <v/>
      </c>
      <c r="J418" s="23">
        <f>IF(A418="","",YEAR(A418))</f>
        <v/>
      </c>
    </row>
    <row r="419">
      <c r="A419" s="47" t="n"/>
      <c r="B419" s="40" t="n"/>
      <c r="C419" s="39" t="n"/>
      <c r="D419" s="39" t="n"/>
      <c r="E419" s="46" t="n"/>
      <c r="F419" s="40" t="n"/>
      <c r="G419" s="24">
        <f>IF(C419="","",IFERROR(INDEX(Casos!$B$5:$B$204,MATCH(C419,Casos!$A$5:$A$204,0)),""))</f>
        <v/>
      </c>
      <c r="H419" s="29">
        <f>IF(OR(B419="",E419=""),"",E419*IFERROR(INDEX(Config!$D$12:$D$21,MATCH(B419,Config!$A$12:$A$21,0)),Config!$B$23))</f>
        <v/>
      </c>
      <c r="I419" s="23">
        <f>IF(A419="","",MONTH(A419))</f>
        <v/>
      </c>
      <c r="J419" s="23">
        <f>IF(A419="","",YEAR(A419))</f>
        <v/>
      </c>
    </row>
    <row r="420">
      <c r="A420" s="47" t="n"/>
      <c r="B420" s="40" t="n"/>
      <c r="C420" s="39" t="n"/>
      <c r="D420" s="39" t="n"/>
      <c r="E420" s="46" t="n"/>
      <c r="F420" s="40" t="n"/>
      <c r="G420" s="24">
        <f>IF(C420="","",IFERROR(INDEX(Casos!$B$5:$B$204,MATCH(C420,Casos!$A$5:$A$204,0)),""))</f>
        <v/>
      </c>
      <c r="H420" s="29">
        <f>IF(OR(B420="",E420=""),"",E420*IFERROR(INDEX(Config!$D$12:$D$21,MATCH(B420,Config!$A$12:$A$21,0)),Config!$B$23))</f>
        <v/>
      </c>
      <c r="I420" s="23">
        <f>IF(A420="","",MONTH(A420))</f>
        <v/>
      </c>
      <c r="J420" s="23">
        <f>IF(A420="","",YEAR(A420))</f>
        <v/>
      </c>
    </row>
    <row r="421">
      <c r="A421" s="47" t="n"/>
      <c r="B421" s="40" t="n"/>
      <c r="C421" s="39" t="n"/>
      <c r="D421" s="39" t="n"/>
      <c r="E421" s="46" t="n"/>
      <c r="F421" s="40" t="n"/>
      <c r="G421" s="24">
        <f>IF(C421="","",IFERROR(INDEX(Casos!$B$5:$B$204,MATCH(C421,Casos!$A$5:$A$204,0)),""))</f>
        <v/>
      </c>
      <c r="H421" s="29">
        <f>IF(OR(B421="",E421=""),"",E421*IFERROR(INDEX(Config!$D$12:$D$21,MATCH(B421,Config!$A$12:$A$21,0)),Config!$B$23))</f>
        <v/>
      </c>
      <c r="I421" s="23">
        <f>IF(A421="","",MONTH(A421))</f>
        <v/>
      </c>
      <c r="J421" s="23">
        <f>IF(A421="","",YEAR(A421))</f>
        <v/>
      </c>
    </row>
    <row r="422">
      <c r="A422" s="47" t="n"/>
      <c r="B422" s="40" t="n"/>
      <c r="C422" s="39" t="n"/>
      <c r="D422" s="39" t="n"/>
      <c r="E422" s="46" t="n"/>
      <c r="F422" s="40" t="n"/>
      <c r="G422" s="24">
        <f>IF(C422="","",IFERROR(INDEX(Casos!$B$5:$B$204,MATCH(C422,Casos!$A$5:$A$204,0)),""))</f>
        <v/>
      </c>
      <c r="H422" s="29">
        <f>IF(OR(B422="",E422=""),"",E422*IFERROR(INDEX(Config!$D$12:$D$21,MATCH(B422,Config!$A$12:$A$21,0)),Config!$B$23))</f>
        <v/>
      </c>
      <c r="I422" s="23">
        <f>IF(A422="","",MONTH(A422))</f>
        <v/>
      </c>
      <c r="J422" s="23">
        <f>IF(A422="","",YEAR(A422))</f>
        <v/>
      </c>
    </row>
    <row r="423">
      <c r="A423" s="47" t="n"/>
      <c r="B423" s="40" t="n"/>
      <c r="C423" s="39" t="n"/>
      <c r="D423" s="39" t="n"/>
      <c r="E423" s="46" t="n"/>
      <c r="F423" s="40" t="n"/>
      <c r="G423" s="24">
        <f>IF(C423="","",IFERROR(INDEX(Casos!$B$5:$B$204,MATCH(C423,Casos!$A$5:$A$204,0)),""))</f>
        <v/>
      </c>
      <c r="H423" s="29">
        <f>IF(OR(B423="",E423=""),"",E423*IFERROR(INDEX(Config!$D$12:$D$21,MATCH(B423,Config!$A$12:$A$21,0)),Config!$B$23))</f>
        <v/>
      </c>
      <c r="I423" s="23">
        <f>IF(A423="","",MONTH(A423))</f>
        <v/>
      </c>
      <c r="J423" s="23">
        <f>IF(A423="","",YEAR(A423))</f>
        <v/>
      </c>
    </row>
    <row r="424">
      <c r="A424" s="47" t="n"/>
      <c r="B424" s="40" t="n"/>
      <c r="C424" s="39" t="n"/>
      <c r="D424" s="39" t="n"/>
      <c r="E424" s="46" t="n"/>
      <c r="F424" s="40" t="n"/>
      <c r="G424" s="24">
        <f>IF(C424="","",IFERROR(INDEX(Casos!$B$5:$B$204,MATCH(C424,Casos!$A$5:$A$204,0)),""))</f>
        <v/>
      </c>
      <c r="H424" s="29">
        <f>IF(OR(B424="",E424=""),"",E424*IFERROR(INDEX(Config!$D$12:$D$21,MATCH(B424,Config!$A$12:$A$21,0)),Config!$B$23))</f>
        <v/>
      </c>
      <c r="I424" s="23">
        <f>IF(A424="","",MONTH(A424))</f>
        <v/>
      </c>
      <c r="J424" s="23">
        <f>IF(A424="","",YEAR(A424))</f>
        <v/>
      </c>
    </row>
    <row r="425">
      <c r="A425" s="47" t="n"/>
      <c r="B425" s="40" t="n"/>
      <c r="C425" s="39" t="n"/>
      <c r="D425" s="39" t="n"/>
      <c r="E425" s="46" t="n"/>
      <c r="F425" s="40" t="n"/>
      <c r="G425" s="24">
        <f>IF(C425="","",IFERROR(INDEX(Casos!$B$5:$B$204,MATCH(C425,Casos!$A$5:$A$204,0)),""))</f>
        <v/>
      </c>
      <c r="H425" s="29">
        <f>IF(OR(B425="",E425=""),"",E425*IFERROR(INDEX(Config!$D$12:$D$21,MATCH(B425,Config!$A$12:$A$21,0)),Config!$B$23))</f>
        <v/>
      </c>
      <c r="I425" s="23">
        <f>IF(A425="","",MONTH(A425))</f>
        <v/>
      </c>
      <c r="J425" s="23">
        <f>IF(A425="","",YEAR(A425))</f>
        <v/>
      </c>
    </row>
    <row r="426">
      <c r="A426" s="47" t="n"/>
      <c r="B426" s="40" t="n"/>
      <c r="C426" s="39" t="n"/>
      <c r="D426" s="39" t="n"/>
      <c r="E426" s="46" t="n"/>
      <c r="F426" s="40" t="n"/>
      <c r="G426" s="24">
        <f>IF(C426="","",IFERROR(INDEX(Casos!$B$5:$B$204,MATCH(C426,Casos!$A$5:$A$204,0)),""))</f>
        <v/>
      </c>
      <c r="H426" s="29">
        <f>IF(OR(B426="",E426=""),"",E426*IFERROR(INDEX(Config!$D$12:$D$21,MATCH(B426,Config!$A$12:$A$21,0)),Config!$B$23))</f>
        <v/>
      </c>
      <c r="I426" s="23">
        <f>IF(A426="","",MONTH(A426))</f>
        <v/>
      </c>
      <c r="J426" s="23">
        <f>IF(A426="","",YEAR(A426))</f>
        <v/>
      </c>
    </row>
    <row r="427">
      <c r="A427" s="47" t="n"/>
      <c r="B427" s="40" t="n"/>
      <c r="C427" s="39" t="n"/>
      <c r="D427" s="39" t="n"/>
      <c r="E427" s="46" t="n"/>
      <c r="F427" s="40" t="n"/>
      <c r="G427" s="24">
        <f>IF(C427="","",IFERROR(INDEX(Casos!$B$5:$B$204,MATCH(C427,Casos!$A$5:$A$204,0)),""))</f>
        <v/>
      </c>
      <c r="H427" s="29">
        <f>IF(OR(B427="",E427=""),"",E427*IFERROR(INDEX(Config!$D$12:$D$21,MATCH(B427,Config!$A$12:$A$21,0)),Config!$B$23))</f>
        <v/>
      </c>
      <c r="I427" s="23">
        <f>IF(A427="","",MONTH(A427))</f>
        <v/>
      </c>
      <c r="J427" s="23">
        <f>IF(A427="","",YEAR(A427))</f>
        <v/>
      </c>
    </row>
    <row r="428">
      <c r="A428" s="47" t="n"/>
      <c r="B428" s="40" t="n"/>
      <c r="C428" s="39" t="n"/>
      <c r="D428" s="39" t="n"/>
      <c r="E428" s="46" t="n"/>
      <c r="F428" s="40" t="n"/>
      <c r="G428" s="24">
        <f>IF(C428="","",IFERROR(INDEX(Casos!$B$5:$B$204,MATCH(C428,Casos!$A$5:$A$204,0)),""))</f>
        <v/>
      </c>
      <c r="H428" s="29">
        <f>IF(OR(B428="",E428=""),"",E428*IFERROR(INDEX(Config!$D$12:$D$21,MATCH(B428,Config!$A$12:$A$21,0)),Config!$B$23))</f>
        <v/>
      </c>
      <c r="I428" s="23">
        <f>IF(A428="","",MONTH(A428))</f>
        <v/>
      </c>
      <c r="J428" s="23">
        <f>IF(A428="","",YEAR(A428))</f>
        <v/>
      </c>
    </row>
    <row r="429">
      <c r="A429" s="47" t="n"/>
      <c r="B429" s="40" t="n"/>
      <c r="C429" s="39" t="n"/>
      <c r="D429" s="39" t="n"/>
      <c r="E429" s="46" t="n"/>
      <c r="F429" s="40" t="n"/>
      <c r="G429" s="24">
        <f>IF(C429="","",IFERROR(INDEX(Casos!$B$5:$B$204,MATCH(C429,Casos!$A$5:$A$204,0)),""))</f>
        <v/>
      </c>
      <c r="H429" s="29">
        <f>IF(OR(B429="",E429=""),"",E429*IFERROR(INDEX(Config!$D$12:$D$21,MATCH(B429,Config!$A$12:$A$21,0)),Config!$B$23))</f>
        <v/>
      </c>
      <c r="I429" s="23">
        <f>IF(A429="","",MONTH(A429))</f>
        <v/>
      </c>
      <c r="J429" s="23">
        <f>IF(A429="","",YEAR(A429))</f>
        <v/>
      </c>
    </row>
    <row r="430">
      <c r="A430" s="47" t="n"/>
      <c r="B430" s="40" t="n"/>
      <c r="C430" s="39" t="n"/>
      <c r="D430" s="39" t="n"/>
      <c r="E430" s="46" t="n"/>
      <c r="F430" s="40" t="n"/>
      <c r="G430" s="24">
        <f>IF(C430="","",IFERROR(INDEX(Casos!$B$5:$B$204,MATCH(C430,Casos!$A$5:$A$204,0)),""))</f>
        <v/>
      </c>
      <c r="H430" s="29">
        <f>IF(OR(B430="",E430=""),"",E430*IFERROR(INDEX(Config!$D$12:$D$21,MATCH(B430,Config!$A$12:$A$21,0)),Config!$B$23))</f>
        <v/>
      </c>
      <c r="I430" s="23">
        <f>IF(A430="","",MONTH(A430))</f>
        <v/>
      </c>
      <c r="J430" s="23">
        <f>IF(A430="","",YEAR(A430))</f>
        <v/>
      </c>
    </row>
    <row r="431">
      <c r="A431" s="47" t="n"/>
      <c r="B431" s="40" t="n"/>
      <c r="C431" s="39" t="n"/>
      <c r="D431" s="39" t="n"/>
      <c r="E431" s="46" t="n"/>
      <c r="F431" s="40" t="n"/>
      <c r="G431" s="24">
        <f>IF(C431="","",IFERROR(INDEX(Casos!$B$5:$B$204,MATCH(C431,Casos!$A$5:$A$204,0)),""))</f>
        <v/>
      </c>
      <c r="H431" s="29">
        <f>IF(OR(B431="",E431=""),"",E431*IFERROR(INDEX(Config!$D$12:$D$21,MATCH(B431,Config!$A$12:$A$21,0)),Config!$B$23))</f>
        <v/>
      </c>
      <c r="I431" s="23">
        <f>IF(A431="","",MONTH(A431))</f>
        <v/>
      </c>
      <c r="J431" s="23">
        <f>IF(A431="","",YEAR(A431))</f>
        <v/>
      </c>
    </row>
    <row r="432">
      <c r="A432" s="47" t="n"/>
      <c r="B432" s="40" t="n"/>
      <c r="C432" s="39" t="n"/>
      <c r="D432" s="39" t="n"/>
      <c r="E432" s="46" t="n"/>
      <c r="F432" s="40" t="n"/>
      <c r="G432" s="24">
        <f>IF(C432="","",IFERROR(INDEX(Casos!$B$5:$B$204,MATCH(C432,Casos!$A$5:$A$204,0)),""))</f>
        <v/>
      </c>
      <c r="H432" s="29">
        <f>IF(OR(B432="",E432=""),"",E432*IFERROR(INDEX(Config!$D$12:$D$21,MATCH(B432,Config!$A$12:$A$21,0)),Config!$B$23))</f>
        <v/>
      </c>
      <c r="I432" s="23">
        <f>IF(A432="","",MONTH(A432))</f>
        <v/>
      </c>
      <c r="J432" s="23">
        <f>IF(A432="","",YEAR(A432))</f>
        <v/>
      </c>
    </row>
    <row r="433">
      <c r="A433" s="47" t="n"/>
      <c r="B433" s="40" t="n"/>
      <c r="C433" s="39" t="n"/>
      <c r="D433" s="39" t="n"/>
      <c r="E433" s="46" t="n"/>
      <c r="F433" s="40" t="n"/>
      <c r="G433" s="24">
        <f>IF(C433="","",IFERROR(INDEX(Casos!$B$5:$B$204,MATCH(C433,Casos!$A$5:$A$204,0)),""))</f>
        <v/>
      </c>
      <c r="H433" s="29">
        <f>IF(OR(B433="",E433=""),"",E433*IFERROR(INDEX(Config!$D$12:$D$21,MATCH(B433,Config!$A$12:$A$21,0)),Config!$B$23))</f>
        <v/>
      </c>
      <c r="I433" s="23">
        <f>IF(A433="","",MONTH(A433))</f>
        <v/>
      </c>
      <c r="J433" s="23">
        <f>IF(A433="","",YEAR(A433))</f>
        <v/>
      </c>
    </row>
    <row r="434">
      <c r="A434" s="47" t="n"/>
      <c r="B434" s="40" t="n"/>
      <c r="C434" s="39" t="n"/>
      <c r="D434" s="39" t="n"/>
      <c r="E434" s="46" t="n"/>
      <c r="F434" s="40" t="n"/>
      <c r="G434" s="24">
        <f>IF(C434="","",IFERROR(INDEX(Casos!$B$5:$B$204,MATCH(C434,Casos!$A$5:$A$204,0)),""))</f>
        <v/>
      </c>
      <c r="H434" s="29">
        <f>IF(OR(B434="",E434=""),"",E434*IFERROR(INDEX(Config!$D$12:$D$21,MATCH(B434,Config!$A$12:$A$21,0)),Config!$B$23))</f>
        <v/>
      </c>
      <c r="I434" s="23">
        <f>IF(A434="","",MONTH(A434))</f>
        <v/>
      </c>
      <c r="J434" s="23">
        <f>IF(A434="","",YEAR(A434))</f>
        <v/>
      </c>
    </row>
    <row r="435">
      <c r="A435" s="47" t="n"/>
      <c r="B435" s="40" t="n"/>
      <c r="C435" s="39" t="n"/>
      <c r="D435" s="39" t="n"/>
      <c r="E435" s="46" t="n"/>
      <c r="F435" s="40" t="n"/>
      <c r="G435" s="24">
        <f>IF(C435="","",IFERROR(INDEX(Casos!$B$5:$B$204,MATCH(C435,Casos!$A$5:$A$204,0)),""))</f>
        <v/>
      </c>
      <c r="H435" s="29">
        <f>IF(OR(B435="",E435=""),"",E435*IFERROR(INDEX(Config!$D$12:$D$21,MATCH(B435,Config!$A$12:$A$21,0)),Config!$B$23))</f>
        <v/>
      </c>
      <c r="I435" s="23">
        <f>IF(A435="","",MONTH(A435))</f>
        <v/>
      </c>
      <c r="J435" s="23">
        <f>IF(A435="","",YEAR(A435))</f>
        <v/>
      </c>
    </row>
    <row r="436">
      <c r="A436" s="47" t="n"/>
      <c r="B436" s="40" t="n"/>
      <c r="C436" s="39" t="n"/>
      <c r="D436" s="39" t="n"/>
      <c r="E436" s="46" t="n"/>
      <c r="F436" s="40" t="n"/>
      <c r="G436" s="24">
        <f>IF(C436="","",IFERROR(INDEX(Casos!$B$5:$B$204,MATCH(C436,Casos!$A$5:$A$204,0)),""))</f>
        <v/>
      </c>
      <c r="H436" s="29">
        <f>IF(OR(B436="",E436=""),"",E436*IFERROR(INDEX(Config!$D$12:$D$21,MATCH(B436,Config!$A$12:$A$21,0)),Config!$B$23))</f>
        <v/>
      </c>
      <c r="I436" s="23">
        <f>IF(A436="","",MONTH(A436))</f>
        <v/>
      </c>
      <c r="J436" s="23">
        <f>IF(A436="","",YEAR(A436))</f>
        <v/>
      </c>
    </row>
    <row r="437">
      <c r="A437" s="47" t="n"/>
      <c r="B437" s="40" t="n"/>
      <c r="C437" s="39" t="n"/>
      <c r="D437" s="39" t="n"/>
      <c r="E437" s="46" t="n"/>
      <c r="F437" s="40" t="n"/>
      <c r="G437" s="24">
        <f>IF(C437="","",IFERROR(INDEX(Casos!$B$5:$B$204,MATCH(C437,Casos!$A$5:$A$204,0)),""))</f>
        <v/>
      </c>
      <c r="H437" s="29">
        <f>IF(OR(B437="",E437=""),"",E437*IFERROR(INDEX(Config!$D$12:$D$21,MATCH(B437,Config!$A$12:$A$21,0)),Config!$B$23))</f>
        <v/>
      </c>
      <c r="I437" s="23">
        <f>IF(A437="","",MONTH(A437))</f>
        <v/>
      </c>
      <c r="J437" s="23">
        <f>IF(A437="","",YEAR(A437))</f>
        <v/>
      </c>
    </row>
    <row r="438">
      <c r="A438" s="47" t="n"/>
      <c r="B438" s="40" t="n"/>
      <c r="C438" s="39" t="n"/>
      <c r="D438" s="39" t="n"/>
      <c r="E438" s="46" t="n"/>
      <c r="F438" s="40" t="n"/>
      <c r="G438" s="24">
        <f>IF(C438="","",IFERROR(INDEX(Casos!$B$5:$B$204,MATCH(C438,Casos!$A$5:$A$204,0)),""))</f>
        <v/>
      </c>
      <c r="H438" s="29">
        <f>IF(OR(B438="",E438=""),"",E438*IFERROR(INDEX(Config!$D$12:$D$21,MATCH(B438,Config!$A$12:$A$21,0)),Config!$B$23))</f>
        <v/>
      </c>
      <c r="I438" s="23">
        <f>IF(A438="","",MONTH(A438))</f>
        <v/>
      </c>
      <c r="J438" s="23">
        <f>IF(A438="","",YEAR(A438))</f>
        <v/>
      </c>
    </row>
    <row r="439">
      <c r="A439" s="47" t="n"/>
      <c r="B439" s="40" t="n"/>
      <c r="C439" s="39" t="n"/>
      <c r="D439" s="39" t="n"/>
      <c r="E439" s="46" t="n"/>
      <c r="F439" s="40" t="n"/>
      <c r="G439" s="24">
        <f>IF(C439="","",IFERROR(INDEX(Casos!$B$5:$B$204,MATCH(C439,Casos!$A$5:$A$204,0)),""))</f>
        <v/>
      </c>
      <c r="H439" s="29">
        <f>IF(OR(B439="",E439=""),"",E439*IFERROR(INDEX(Config!$D$12:$D$21,MATCH(B439,Config!$A$12:$A$21,0)),Config!$B$23))</f>
        <v/>
      </c>
      <c r="I439" s="23">
        <f>IF(A439="","",MONTH(A439))</f>
        <v/>
      </c>
      <c r="J439" s="23">
        <f>IF(A439="","",YEAR(A439))</f>
        <v/>
      </c>
    </row>
    <row r="440">
      <c r="A440" s="47" t="n"/>
      <c r="B440" s="40" t="n"/>
      <c r="C440" s="39" t="n"/>
      <c r="D440" s="39" t="n"/>
      <c r="E440" s="46" t="n"/>
      <c r="F440" s="40" t="n"/>
      <c r="G440" s="24">
        <f>IF(C440="","",IFERROR(INDEX(Casos!$B$5:$B$204,MATCH(C440,Casos!$A$5:$A$204,0)),""))</f>
        <v/>
      </c>
      <c r="H440" s="29">
        <f>IF(OR(B440="",E440=""),"",E440*IFERROR(INDEX(Config!$D$12:$D$21,MATCH(B440,Config!$A$12:$A$21,0)),Config!$B$23))</f>
        <v/>
      </c>
      <c r="I440" s="23">
        <f>IF(A440="","",MONTH(A440))</f>
        <v/>
      </c>
      <c r="J440" s="23">
        <f>IF(A440="","",YEAR(A440))</f>
        <v/>
      </c>
    </row>
    <row r="441">
      <c r="A441" s="47" t="n"/>
      <c r="B441" s="40" t="n"/>
      <c r="C441" s="39" t="n"/>
      <c r="D441" s="39" t="n"/>
      <c r="E441" s="46" t="n"/>
      <c r="F441" s="40" t="n"/>
      <c r="G441" s="24">
        <f>IF(C441="","",IFERROR(INDEX(Casos!$B$5:$B$204,MATCH(C441,Casos!$A$5:$A$204,0)),""))</f>
        <v/>
      </c>
      <c r="H441" s="29">
        <f>IF(OR(B441="",E441=""),"",E441*IFERROR(INDEX(Config!$D$12:$D$21,MATCH(B441,Config!$A$12:$A$21,0)),Config!$B$23))</f>
        <v/>
      </c>
      <c r="I441" s="23">
        <f>IF(A441="","",MONTH(A441))</f>
        <v/>
      </c>
      <c r="J441" s="23">
        <f>IF(A441="","",YEAR(A441))</f>
        <v/>
      </c>
    </row>
    <row r="442">
      <c r="A442" s="47" t="n"/>
      <c r="B442" s="40" t="n"/>
      <c r="C442" s="39" t="n"/>
      <c r="D442" s="39" t="n"/>
      <c r="E442" s="46" t="n"/>
      <c r="F442" s="40" t="n"/>
      <c r="G442" s="24">
        <f>IF(C442="","",IFERROR(INDEX(Casos!$B$5:$B$204,MATCH(C442,Casos!$A$5:$A$204,0)),""))</f>
        <v/>
      </c>
      <c r="H442" s="29">
        <f>IF(OR(B442="",E442=""),"",E442*IFERROR(INDEX(Config!$D$12:$D$21,MATCH(B442,Config!$A$12:$A$21,0)),Config!$B$23))</f>
        <v/>
      </c>
      <c r="I442" s="23">
        <f>IF(A442="","",MONTH(A442))</f>
        <v/>
      </c>
      <c r="J442" s="23">
        <f>IF(A442="","",YEAR(A442))</f>
        <v/>
      </c>
    </row>
    <row r="443">
      <c r="A443" s="47" t="n"/>
      <c r="B443" s="40" t="n"/>
      <c r="C443" s="39" t="n"/>
      <c r="D443" s="39" t="n"/>
      <c r="E443" s="46" t="n"/>
      <c r="F443" s="40" t="n"/>
      <c r="G443" s="24">
        <f>IF(C443="","",IFERROR(INDEX(Casos!$B$5:$B$204,MATCH(C443,Casos!$A$5:$A$204,0)),""))</f>
        <v/>
      </c>
      <c r="H443" s="29">
        <f>IF(OR(B443="",E443=""),"",E443*IFERROR(INDEX(Config!$D$12:$D$21,MATCH(B443,Config!$A$12:$A$21,0)),Config!$B$23))</f>
        <v/>
      </c>
      <c r="I443" s="23">
        <f>IF(A443="","",MONTH(A443))</f>
        <v/>
      </c>
      <c r="J443" s="23">
        <f>IF(A443="","",YEAR(A443))</f>
        <v/>
      </c>
    </row>
    <row r="444">
      <c r="A444" s="47" t="n"/>
      <c r="B444" s="40" t="n"/>
      <c r="C444" s="39" t="n"/>
      <c r="D444" s="39" t="n"/>
      <c r="E444" s="46" t="n"/>
      <c r="F444" s="40" t="n"/>
      <c r="G444" s="24">
        <f>IF(C444="","",IFERROR(INDEX(Casos!$B$5:$B$204,MATCH(C444,Casos!$A$5:$A$204,0)),""))</f>
        <v/>
      </c>
      <c r="H444" s="29">
        <f>IF(OR(B444="",E444=""),"",E444*IFERROR(INDEX(Config!$D$12:$D$21,MATCH(B444,Config!$A$12:$A$21,0)),Config!$B$23))</f>
        <v/>
      </c>
      <c r="I444" s="23">
        <f>IF(A444="","",MONTH(A444))</f>
        <v/>
      </c>
      <c r="J444" s="23">
        <f>IF(A444="","",YEAR(A444))</f>
        <v/>
      </c>
    </row>
    <row r="445">
      <c r="A445" s="47" t="n"/>
      <c r="B445" s="40" t="n"/>
      <c r="C445" s="39" t="n"/>
      <c r="D445" s="39" t="n"/>
      <c r="E445" s="46" t="n"/>
      <c r="F445" s="40" t="n"/>
      <c r="G445" s="24">
        <f>IF(C445="","",IFERROR(INDEX(Casos!$B$5:$B$204,MATCH(C445,Casos!$A$5:$A$204,0)),""))</f>
        <v/>
      </c>
      <c r="H445" s="29">
        <f>IF(OR(B445="",E445=""),"",E445*IFERROR(INDEX(Config!$D$12:$D$21,MATCH(B445,Config!$A$12:$A$21,0)),Config!$B$23))</f>
        <v/>
      </c>
      <c r="I445" s="23">
        <f>IF(A445="","",MONTH(A445))</f>
        <v/>
      </c>
      <c r="J445" s="23">
        <f>IF(A445="","",YEAR(A445))</f>
        <v/>
      </c>
    </row>
    <row r="446">
      <c r="A446" s="47" t="n"/>
      <c r="B446" s="40" t="n"/>
      <c r="C446" s="39" t="n"/>
      <c r="D446" s="39" t="n"/>
      <c r="E446" s="46" t="n"/>
      <c r="F446" s="40" t="n"/>
      <c r="G446" s="24">
        <f>IF(C446="","",IFERROR(INDEX(Casos!$B$5:$B$204,MATCH(C446,Casos!$A$5:$A$204,0)),""))</f>
        <v/>
      </c>
      <c r="H446" s="29">
        <f>IF(OR(B446="",E446=""),"",E446*IFERROR(INDEX(Config!$D$12:$D$21,MATCH(B446,Config!$A$12:$A$21,0)),Config!$B$23))</f>
        <v/>
      </c>
      <c r="I446" s="23">
        <f>IF(A446="","",MONTH(A446))</f>
        <v/>
      </c>
      <c r="J446" s="23">
        <f>IF(A446="","",YEAR(A446))</f>
        <v/>
      </c>
    </row>
    <row r="447">
      <c r="A447" s="47" t="n"/>
      <c r="B447" s="40" t="n"/>
      <c r="C447" s="39" t="n"/>
      <c r="D447" s="39" t="n"/>
      <c r="E447" s="46" t="n"/>
      <c r="F447" s="40" t="n"/>
      <c r="G447" s="24">
        <f>IF(C447="","",IFERROR(INDEX(Casos!$B$5:$B$204,MATCH(C447,Casos!$A$5:$A$204,0)),""))</f>
        <v/>
      </c>
      <c r="H447" s="29">
        <f>IF(OR(B447="",E447=""),"",E447*IFERROR(INDEX(Config!$D$12:$D$21,MATCH(B447,Config!$A$12:$A$21,0)),Config!$B$23))</f>
        <v/>
      </c>
      <c r="I447" s="23">
        <f>IF(A447="","",MONTH(A447))</f>
        <v/>
      </c>
      <c r="J447" s="23">
        <f>IF(A447="","",YEAR(A447))</f>
        <v/>
      </c>
    </row>
    <row r="448">
      <c r="A448" s="47" t="n"/>
      <c r="B448" s="40" t="n"/>
      <c r="C448" s="39" t="n"/>
      <c r="D448" s="39" t="n"/>
      <c r="E448" s="46" t="n"/>
      <c r="F448" s="40" t="n"/>
      <c r="G448" s="24">
        <f>IF(C448="","",IFERROR(INDEX(Casos!$B$5:$B$204,MATCH(C448,Casos!$A$5:$A$204,0)),""))</f>
        <v/>
      </c>
      <c r="H448" s="29">
        <f>IF(OR(B448="",E448=""),"",E448*IFERROR(INDEX(Config!$D$12:$D$21,MATCH(B448,Config!$A$12:$A$21,0)),Config!$B$23))</f>
        <v/>
      </c>
      <c r="I448" s="23">
        <f>IF(A448="","",MONTH(A448))</f>
        <v/>
      </c>
      <c r="J448" s="23">
        <f>IF(A448="","",YEAR(A448))</f>
        <v/>
      </c>
    </row>
    <row r="449">
      <c r="A449" s="47" t="n"/>
      <c r="B449" s="40" t="n"/>
      <c r="C449" s="39" t="n"/>
      <c r="D449" s="39" t="n"/>
      <c r="E449" s="46" t="n"/>
      <c r="F449" s="40" t="n"/>
      <c r="G449" s="24">
        <f>IF(C449="","",IFERROR(INDEX(Casos!$B$5:$B$204,MATCH(C449,Casos!$A$5:$A$204,0)),""))</f>
        <v/>
      </c>
      <c r="H449" s="29">
        <f>IF(OR(B449="",E449=""),"",E449*IFERROR(INDEX(Config!$D$12:$D$21,MATCH(B449,Config!$A$12:$A$21,0)),Config!$B$23))</f>
        <v/>
      </c>
      <c r="I449" s="23">
        <f>IF(A449="","",MONTH(A449))</f>
        <v/>
      </c>
      <c r="J449" s="23">
        <f>IF(A449="","",YEAR(A449))</f>
        <v/>
      </c>
    </row>
    <row r="450">
      <c r="A450" s="47" t="n"/>
      <c r="B450" s="40" t="n"/>
      <c r="C450" s="39" t="n"/>
      <c r="D450" s="39" t="n"/>
      <c r="E450" s="46" t="n"/>
      <c r="F450" s="40" t="n"/>
      <c r="G450" s="24">
        <f>IF(C450="","",IFERROR(INDEX(Casos!$B$5:$B$204,MATCH(C450,Casos!$A$5:$A$204,0)),""))</f>
        <v/>
      </c>
      <c r="H450" s="29">
        <f>IF(OR(B450="",E450=""),"",E450*IFERROR(INDEX(Config!$D$12:$D$21,MATCH(B450,Config!$A$12:$A$21,0)),Config!$B$23))</f>
        <v/>
      </c>
      <c r="I450" s="23">
        <f>IF(A450="","",MONTH(A450))</f>
        <v/>
      </c>
      <c r="J450" s="23">
        <f>IF(A450="","",YEAR(A450))</f>
        <v/>
      </c>
    </row>
    <row r="451">
      <c r="A451" s="47" t="n"/>
      <c r="B451" s="40" t="n"/>
      <c r="C451" s="39" t="n"/>
      <c r="D451" s="39" t="n"/>
      <c r="E451" s="46" t="n"/>
      <c r="F451" s="40" t="n"/>
      <c r="G451" s="24">
        <f>IF(C451="","",IFERROR(INDEX(Casos!$B$5:$B$204,MATCH(C451,Casos!$A$5:$A$204,0)),""))</f>
        <v/>
      </c>
      <c r="H451" s="29">
        <f>IF(OR(B451="",E451=""),"",E451*IFERROR(INDEX(Config!$D$12:$D$21,MATCH(B451,Config!$A$12:$A$21,0)),Config!$B$23))</f>
        <v/>
      </c>
      <c r="I451" s="23">
        <f>IF(A451="","",MONTH(A451))</f>
        <v/>
      </c>
      <c r="J451" s="23">
        <f>IF(A451="","",YEAR(A451))</f>
        <v/>
      </c>
    </row>
    <row r="452">
      <c r="A452" s="47" t="n"/>
      <c r="B452" s="40" t="n"/>
      <c r="C452" s="39" t="n"/>
      <c r="D452" s="39" t="n"/>
      <c r="E452" s="46" t="n"/>
      <c r="F452" s="40" t="n"/>
      <c r="G452" s="24">
        <f>IF(C452="","",IFERROR(INDEX(Casos!$B$5:$B$204,MATCH(C452,Casos!$A$5:$A$204,0)),""))</f>
        <v/>
      </c>
      <c r="H452" s="29">
        <f>IF(OR(B452="",E452=""),"",E452*IFERROR(INDEX(Config!$D$12:$D$21,MATCH(B452,Config!$A$12:$A$21,0)),Config!$B$23))</f>
        <v/>
      </c>
      <c r="I452" s="23">
        <f>IF(A452="","",MONTH(A452))</f>
        <v/>
      </c>
      <c r="J452" s="23">
        <f>IF(A452="","",YEAR(A452))</f>
        <v/>
      </c>
    </row>
    <row r="453">
      <c r="A453" s="47" t="n"/>
      <c r="B453" s="40" t="n"/>
      <c r="C453" s="39" t="n"/>
      <c r="D453" s="39" t="n"/>
      <c r="E453" s="46" t="n"/>
      <c r="F453" s="40" t="n"/>
      <c r="G453" s="24">
        <f>IF(C453="","",IFERROR(INDEX(Casos!$B$5:$B$204,MATCH(C453,Casos!$A$5:$A$204,0)),""))</f>
        <v/>
      </c>
      <c r="H453" s="29">
        <f>IF(OR(B453="",E453=""),"",E453*IFERROR(INDEX(Config!$D$12:$D$21,MATCH(B453,Config!$A$12:$A$21,0)),Config!$B$23))</f>
        <v/>
      </c>
      <c r="I453" s="23">
        <f>IF(A453="","",MONTH(A453))</f>
        <v/>
      </c>
      <c r="J453" s="23">
        <f>IF(A453="","",YEAR(A453))</f>
        <v/>
      </c>
    </row>
    <row r="454">
      <c r="A454" s="47" t="n"/>
      <c r="B454" s="40" t="n"/>
      <c r="C454" s="39" t="n"/>
      <c r="D454" s="39" t="n"/>
      <c r="E454" s="46" t="n"/>
      <c r="F454" s="40" t="n"/>
      <c r="G454" s="24">
        <f>IF(C454="","",IFERROR(INDEX(Casos!$B$5:$B$204,MATCH(C454,Casos!$A$5:$A$204,0)),""))</f>
        <v/>
      </c>
      <c r="H454" s="29">
        <f>IF(OR(B454="",E454=""),"",E454*IFERROR(INDEX(Config!$D$12:$D$21,MATCH(B454,Config!$A$12:$A$21,0)),Config!$B$23))</f>
        <v/>
      </c>
      <c r="I454" s="23">
        <f>IF(A454="","",MONTH(A454))</f>
        <v/>
      </c>
      <c r="J454" s="23">
        <f>IF(A454="","",YEAR(A454))</f>
        <v/>
      </c>
    </row>
    <row r="455">
      <c r="A455" s="47" t="n"/>
      <c r="B455" s="40" t="n"/>
      <c r="C455" s="39" t="n"/>
      <c r="D455" s="39" t="n"/>
      <c r="E455" s="46" t="n"/>
      <c r="F455" s="40" t="n"/>
      <c r="G455" s="24">
        <f>IF(C455="","",IFERROR(INDEX(Casos!$B$5:$B$204,MATCH(C455,Casos!$A$5:$A$204,0)),""))</f>
        <v/>
      </c>
      <c r="H455" s="29">
        <f>IF(OR(B455="",E455=""),"",E455*IFERROR(INDEX(Config!$D$12:$D$21,MATCH(B455,Config!$A$12:$A$21,0)),Config!$B$23))</f>
        <v/>
      </c>
      <c r="I455" s="23">
        <f>IF(A455="","",MONTH(A455))</f>
        <v/>
      </c>
      <c r="J455" s="23">
        <f>IF(A455="","",YEAR(A455))</f>
        <v/>
      </c>
    </row>
    <row r="456">
      <c r="A456" s="47" t="n"/>
      <c r="B456" s="40" t="n"/>
      <c r="C456" s="39" t="n"/>
      <c r="D456" s="39" t="n"/>
      <c r="E456" s="46" t="n"/>
      <c r="F456" s="40" t="n"/>
      <c r="G456" s="24">
        <f>IF(C456="","",IFERROR(INDEX(Casos!$B$5:$B$204,MATCH(C456,Casos!$A$5:$A$204,0)),""))</f>
        <v/>
      </c>
      <c r="H456" s="29">
        <f>IF(OR(B456="",E456=""),"",E456*IFERROR(INDEX(Config!$D$12:$D$21,MATCH(B456,Config!$A$12:$A$21,0)),Config!$B$23))</f>
        <v/>
      </c>
      <c r="I456" s="23">
        <f>IF(A456="","",MONTH(A456))</f>
        <v/>
      </c>
      <c r="J456" s="23">
        <f>IF(A456="","",YEAR(A456))</f>
        <v/>
      </c>
    </row>
    <row r="457">
      <c r="A457" s="47" t="n"/>
      <c r="B457" s="40" t="n"/>
      <c r="C457" s="39" t="n"/>
      <c r="D457" s="39" t="n"/>
      <c r="E457" s="46" t="n"/>
      <c r="F457" s="40" t="n"/>
      <c r="G457" s="24">
        <f>IF(C457="","",IFERROR(INDEX(Casos!$B$5:$B$204,MATCH(C457,Casos!$A$5:$A$204,0)),""))</f>
        <v/>
      </c>
      <c r="H457" s="29">
        <f>IF(OR(B457="",E457=""),"",E457*IFERROR(INDEX(Config!$D$12:$D$21,MATCH(B457,Config!$A$12:$A$21,0)),Config!$B$23))</f>
        <v/>
      </c>
      <c r="I457" s="23">
        <f>IF(A457="","",MONTH(A457))</f>
        <v/>
      </c>
      <c r="J457" s="23">
        <f>IF(A457="","",YEAR(A457))</f>
        <v/>
      </c>
    </row>
    <row r="458">
      <c r="A458" s="47" t="n"/>
      <c r="B458" s="40" t="n"/>
      <c r="C458" s="39" t="n"/>
      <c r="D458" s="39" t="n"/>
      <c r="E458" s="46" t="n"/>
      <c r="F458" s="40" t="n"/>
      <c r="G458" s="24">
        <f>IF(C458="","",IFERROR(INDEX(Casos!$B$5:$B$204,MATCH(C458,Casos!$A$5:$A$204,0)),""))</f>
        <v/>
      </c>
      <c r="H458" s="29">
        <f>IF(OR(B458="",E458=""),"",E458*IFERROR(INDEX(Config!$D$12:$D$21,MATCH(B458,Config!$A$12:$A$21,0)),Config!$B$23))</f>
        <v/>
      </c>
      <c r="I458" s="23">
        <f>IF(A458="","",MONTH(A458))</f>
        <v/>
      </c>
      <c r="J458" s="23">
        <f>IF(A458="","",YEAR(A458))</f>
        <v/>
      </c>
    </row>
    <row r="459">
      <c r="A459" s="47" t="n"/>
      <c r="B459" s="40" t="n"/>
      <c r="C459" s="39" t="n"/>
      <c r="D459" s="39" t="n"/>
      <c r="E459" s="46" t="n"/>
      <c r="F459" s="40" t="n"/>
      <c r="G459" s="24">
        <f>IF(C459="","",IFERROR(INDEX(Casos!$B$5:$B$204,MATCH(C459,Casos!$A$5:$A$204,0)),""))</f>
        <v/>
      </c>
      <c r="H459" s="29">
        <f>IF(OR(B459="",E459=""),"",E459*IFERROR(INDEX(Config!$D$12:$D$21,MATCH(B459,Config!$A$12:$A$21,0)),Config!$B$23))</f>
        <v/>
      </c>
      <c r="I459" s="23">
        <f>IF(A459="","",MONTH(A459))</f>
        <v/>
      </c>
      <c r="J459" s="23">
        <f>IF(A459="","",YEAR(A459))</f>
        <v/>
      </c>
    </row>
    <row r="460">
      <c r="A460" s="47" t="n"/>
      <c r="B460" s="40" t="n"/>
      <c r="C460" s="39" t="n"/>
      <c r="D460" s="39" t="n"/>
      <c r="E460" s="46" t="n"/>
      <c r="F460" s="40" t="n"/>
      <c r="G460" s="24">
        <f>IF(C460="","",IFERROR(INDEX(Casos!$B$5:$B$204,MATCH(C460,Casos!$A$5:$A$204,0)),""))</f>
        <v/>
      </c>
      <c r="H460" s="29">
        <f>IF(OR(B460="",E460=""),"",E460*IFERROR(INDEX(Config!$D$12:$D$21,MATCH(B460,Config!$A$12:$A$21,0)),Config!$B$23))</f>
        <v/>
      </c>
      <c r="I460" s="23">
        <f>IF(A460="","",MONTH(A460))</f>
        <v/>
      </c>
      <c r="J460" s="23">
        <f>IF(A460="","",YEAR(A460))</f>
        <v/>
      </c>
    </row>
    <row r="461">
      <c r="A461" s="47" t="n"/>
      <c r="B461" s="40" t="n"/>
      <c r="C461" s="39" t="n"/>
      <c r="D461" s="39" t="n"/>
      <c r="E461" s="46" t="n"/>
      <c r="F461" s="40" t="n"/>
      <c r="G461" s="24">
        <f>IF(C461="","",IFERROR(INDEX(Casos!$B$5:$B$204,MATCH(C461,Casos!$A$5:$A$204,0)),""))</f>
        <v/>
      </c>
      <c r="H461" s="29">
        <f>IF(OR(B461="",E461=""),"",E461*IFERROR(INDEX(Config!$D$12:$D$21,MATCH(B461,Config!$A$12:$A$21,0)),Config!$B$23))</f>
        <v/>
      </c>
      <c r="I461" s="23">
        <f>IF(A461="","",MONTH(A461))</f>
        <v/>
      </c>
      <c r="J461" s="23">
        <f>IF(A461="","",YEAR(A461))</f>
        <v/>
      </c>
    </row>
    <row r="462">
      <c r="A462" s="47" t="n"/>
      <c r="B462" s="40" t="n"/>
      <c r="C462" s="39" t="n"/>
      <c r="D462" s="39" t="n"/>
      <c r="E462" s="46" t="n"/>
      <c r="F462" s="40" t="n"/>
      <c r="G462" s="24">
        <f>IF(C462="","",IFERROR(INDEX(Casos!$B$5:$B$204,MATCH(C462,Casos!$A$5:$A$204,0)),""))</f>
        <v/>
      </c>
      <c r="H462" s="29">
        <f>IF(OR(B462="",E462=""),"",E462*IFERROR(INDEX(Config!$D$12:$D$21,MATCH(B462,Config!$A$12:$A$21,0)),Config!$B$23))</f>
        <v/>
      </c>
      <c r="I462" s="23">
        <f>IF(A462="","",MONTH(A462))</f>
        <v/>
      </c>
      <c r="J462" s="23">
        <f>IF(A462="","",YEAR(A462))</f>
        <v/>
      </c>
    </row>
    <row r="463">
      <c r="A463" s="47" t="n"/>
      <c r="B463" s="40" t="n"/>
      <c r="C463" s="39" t="n"/>
      <c r="D463" s="39" t="n"/>
      <c r="E463" s="46" t="n"/>
      <c r="F463" s="40" t="n"/>
      <c r="G463" s="24">
        <f>IF(C463="","",IFERROR(INDEX(Casos!$B$5:$B$204,MATCH(C463,Casos!$A$5:$A$204,0)),""))</f>
        <v/>
      </c>
      <c r="H463" s="29">
        <f>IF(OR(B463="",E463=""),"",E463*IFERROR(INDEX(Config!$D$12:$D$21,MATCH(B463,Config!$A$12:$A$21,0)),Config!$B$23))</f>
        <v/>
      </c>
      <c r="I463" s="23">
        <f>IF(A463="","",MONTH(A463))</f>
        <v/>
      </c>
      <c r="J463" s="23">
        <f>IF(A463="","",YEAR(A463))</f>
        <v/>
      </c>
    </row>
    <row r="464">
      <c r="A464" s="47" t="n"/>
      <c r="B464" s="40" t="n"/>
      <c r="C464" s="39" t="n"/>
      <c r="D464" s="39" t="n"/>
      <c r="E464" s="46" t="n"/>
      <c r="F464" s="40" t="n"/>
      <c r="G464" s="24">
        <f>IF(C464="","",IFERROR(INDEX(Casos!$B$5:$B$204,MATCH(C464,Casos!$A$5:$A$204,0)),""))</f>
        <v/>
      </c>
      <c r="H464" s="29">
        <f>IF(OR(B464="",E464=""),"",E464*IFERROR(INDEX(Config!$D$12:$D$21,MATCH(B464,Config!$A$12:$A$21,0)),Config!$B$23))</f>
        <v/>
      </c>
      <c r="I464" s="23">
        <f>IF(A464="","",MONTH(A464))</f>
        <v/>
      </c>
      <c r="J464" s="23">
        <f>IF(A464="","",YEAR(A464))</f>
        <v/>
      </c>
    </row>
    <row r="465">
      <c r="A465" s="47" t="n"/>
      <c r="B465" s="40" t="n"/>
      <c r="C465" s="39" t="n"/>
      <c r="D465" s="39" t="n"/>
      <c r="E465" s="46" t="n"/>
      <c r="F465" s="40" t="n"/>
      <c r="G465" s="24">
        <f>IF(C465="","",IFERROR(INDEX(Casos!$B$5:$B$204,MATCH(C465,Casos!$A$5:$A$204,0)),""))</f>
        <v/>
      </c>
      <c r="H465" s="29">
        <f>IF(OR(B465="",E465=""),"",E465*IFERROR(INDEX(Config!$D$12:$D$21,MATCH(B465,Config!$A$12:$A$21,0)),Config!$B$23))</f>
        <v/>
      </c>
      <c r="I465" s="23">
        <f>IF(A465="","",MONTH(A465))</f>
        <v/>
      </c>
      <c r="J465" s="23">
        <f>IF(A465="","",YEAR(A465))</f>
        <v/>
      </c>
    </row>
    <row r="466">
      <c r="A466" s="47" t="n"/>
      <c r="B466" s="40" t="n"/>
      <c r="C466" s="39" t="n"/>
      <c r="D466" s="39" t="n"/>
      <c r="E466" s="46" t="n"/>
      <c r="F466" s="40" t="n"/>
      <c r="G466" s="24">
        <f>IF(C466="","",IFERROR(INDEX(Casos!$B$5:$B$204,MATCH(C466,Casos!$A$5:$A$204,0)),""))</f>
        <v/>
      </c>
      <c r="H466" s="29">
        <f>IF(OR(B466="",E466=""),"",E466*IFERROR(INDEX(Config!$D$12:$D$21,MATCH(B466,Config!$A$12:$A$21,0)),Config!$B$23))</f>
        <v/>
      </c>
      <c r="I466" s="23">
        <f>IF(A466="","",MONTH(A466))</f>
        <v/>
      </c>
      <c r="J466" s="23">
        <f>IF(A466="","",YEAR(A466))</f>
        <v/>
      </c>
    </row>
    <row r="467">
      <c r="A467" s="47" t="n"/>
      <c r="B467" s="40" t="n"/>
      <c r="C467" s="39" t="n"/>
      <c r="D467" s="39" t="n"/>
      <c r="E467" s="46" t="n"/>
      <c r="F467" s="40" t="n"/>
      <c r="G467" s="24">
        <f>IF(C467="","",IFERROR(INDEX(Casos!$B$5:$B$204,MATCH(C467,Casos!$A$5:$A$204,0)),""))</f>
        <v/>
      </c>
      <c r="H467" s="29">
        <f>IF(OR(B467="",E467=""),"",E467*IFERROR(INDEX(Config!$D$12:$D$21,MATCH(B467,Config!$A$12:$A$21,0)),Config!$B$23))</f>
        <v/>
      </c>
      <c r="I467" s="23">
        <f>IF(A467="","",MONTH(A467))</f>
        <v/>
      </c>
      <c r="J467" s="23">
        <f>IF(A467="","",YEAR(A467))</f>
        <v/>
      </c>
    </row>
    <row r="468">
      <c r="A468" s="47" t="n"/>
      <c r="B468" s="40" t="n"/>
      <c r="C468" s="39" t="n"/>
      <c r="D468" s="39" t="n"/>
      <c r="E468" s="46" t="n"/>
      <c r="F468" s="40" t="n"/>
      <c r="G468" s="24">
        <f>IF(C468="","",IFERROR(INDEX(Casos!$B$5:$B$204,MATCH(C468,Casos!$A$5:$A$204,0)),""))</f>
        <v/>
      </c>
      <c r="H468" s="29">
        <f>IF(OR(B468="",E468=""),"",E468*IFERROR(INDEX(Config!$D$12:$D$21,MATCH(B468,Config!$A$12:$A$21,0)),Config!$B$23))</f>
        <v/>
      </c>
      <c r="I468" s="23">
        <f>IF(A468="","",MONTH(A468))</f>
        <v/>
      </c>
      <c r="J468" s="23">
        <f>IF(A468="","",YEAR(A468))</f>
        <v/>
      </c>
    </row>
    <row r="469">
      <c r="A469" s="47" t="n"/>
      <c r="B469" s="40" t="n"/>
      <c r="C469" s="39" t="n"/>
      <c r="D469" s="39" t="n"/>
      <c r="E469" s="46" t="n"/>
      <c r="F469" s="40" t="n"/>
      <c r="G469" s="24">
        <f>IF(C469="","",IFERROR(INDEX(Casos!$B$5:$B$204,MATCH(C469,Casos!$A$5:$A$204,0)),""))</f>
        <v/>
      </c>
      <c r="H469" s="29">
        <f>IF(OR(B469="",E469=""),"",E469*IFERROR(INDEX(Config!$D$12:$D$21,MATCH(B469,Config!$A$12:$A$21,0)),Config!$B$23))</f>
        <v/>
      </c>
      <c r="I469" s="23">
        <f>IF(A469="","",MONTH(A469))</f>
        <v/>
      </c>
      <c r="J469" s="23">
        <f>IF(A469="","",YEAR(A469))</f>
        <v/>
      </c>
    </row>
    <row r="470">
      <c r="A470" s="47" t="n"/>
      <c r="B470" s="40" t="n"/>
      <c r="C470" s="39" t="n"/>
      <c r="D470" s="39" t="n"/>
      <c r="E470" s="46" t="n"/>
      <c r="F470" s="40" t="n"/>
      <c r="G470" s="24">
        <f>IF(C470="","",IFERROR(INDEX(Casos!$B$5:$B$204,MATCH(C470,Casos!$A$5:$A$204,0)),""))</f>
        <v/>
      </c>
      <c r="H470" s="29">
        <f>IF(OR(B470="",E470=""),"",E470*IFERROR(INDEX(Config!$D$12:$D$21,MATCH(B470,Config!$A$12:$A$21,0)),Config!$B$23))</f>
        <v/>
      </c>
      <c r="I470" s="23">
        <f>IF(A470="","",MONTH(A470))</f>
        <v/>
      </c>
      <c r="J470" s="23">
        <f>IF(A470="","",YEAR(A470))</f>
        <v/>
      </c>
    </row>
    <row r="471">
      <c r="A471" s="47" t="n"/>
      <c r="B471" s="40" t="n"/>
      <c r="C471" s="39" t="n"/>
      <c r="D471" s="39" t="n"/>
      <c r="E471" s="46" t="n"/>
      <c r="F471" s="40" t="n"/>
      <c r="G471" s="24">
        <f>IF(C471="","",IFERROR(INDEX(Casos!$B$5:$B$204,MATCH(C471,Casos!$A$5:$A$204,0)),""))</f>
        <v/>
      </c>
      <c r="H471" s="29">
        <f>IF(OR(B471="",E471=""),"",E471*IFERROR(INDEX(Config!$D$12:$D$21,MATCH(B471,Config!$A$12:$A$21,0)),Config!$B$23))</f>
        <v/>
      </c>
      <c r="I471" s="23">
        <f>IF(A471="","",MONTH(A471))</f>
        <v/>
      </c>
      <c r="J471" s="23">
        <f>IF(A471="","",YEAR(A471))</f>
        <v/>
      </c>
    </row>
    <row r="472">
      <c r="A472" s="47" t="n"/>
      <c r="B472" s="40" t="n"/>
      <c r="C472" s="39" t="n"/>
      <c r="D472" s="39" t="n"/>
      <c r="E472" s="46" t="n"/>
      <c r="F472" s="40" t="n"/>
      <c r="G472" s="24">
        <f>IF(C472="","",IFERROR(INDEX(Casos!$B$5:$B$204,MATCH(C472,Casos!$A$5:$A$204,0)),""))</f>
        <v/>
      </c>
      <c r="H472" s="29">
        <f>IF(OR(B472="",E472=""),"",E472*IFERROR(INDEX(Config!$D$12:$D$21,MATCH(B472,Config!$A$12:$A$21,0)),Config!$B$23))</f>
        <v/>
      </c>
      <c r="I472" s="23">
        <f>IF(A472="","",MONTH(A472))</f>
        <v/>
      </c>
      <c r="J472" s="23">
        <f>IF(A472="","",YEAR(A472))</f>
        <v/>
      </c>
    </row>
    <row r="473">
      <c r="A473" s="47" t="n"/>
      <c r="B473" s="40" t="n"/>
      <c r="C473" s="39" t="n"/>
      <c r="D473" s="39" t="n"/>
      <c r="E473" s="46" t="n"/>
      <c r="F473" s="40" t="n"/>
      <c r="G473" s="24">
        <f>IF(C473="","",IFERROR(INDEX(Casos!$B$5:$B$204,MATCH(C473,Casos!$A$5:$A$204,0)),""))</f>
        <v/>
      </c>
      <c r="H473" s="29">
        <f>IF(OR(B473="",E473=""),"",E473*IFERROR(INDEX(Config!$D$12:$D$21,MATCH(B473,Config!$A$12:$A$21,0)),Config!$B$23))</f>
        <v/>
      </c>
      <c r="I473" s="23">
        <f>IF(A473="","",MONTH(A473))</f>
        <v/>
      </c>
      <c r="J473" s="23">
        <f>IF(A473="","",YEAR(A473))</f>
        <v/>
      </c>
    </row>
    <row r="474">
      <c r="A474" s="47" t="n"/>
      <c r="B474" s="40" t="n"/>
      <c r="C474" s="39" t="n"/>
      <c r="D474" s="39" t="n"/>
      <c r="E474" s="46" t="n"/>
      <c r="F474" s="40" t="n"/>
      <c r="G474" s="24">
        <f>IF(C474="","",IFERROR(INDEX(Casos!$B$5:$B$204,MATCH(C474,Casos!$A$5:$A$204,0)),""))</f>
        <v/>
      </c>
      <c r="H474" s="29">
        <f>IF(OR(B474="",E474=""),"",E474*IFERROR(INDEX(Config!$D$12:$D$21,MATCH(B474,Config!$A$12:$A$21,0)),Config!$B$23))</f>
        <v/>
      </c>
      <c r="I474" s="23">
        <f>IF(A474="","",MONTH(A474))</f>
        <v/>
      </c>
      <c r="J474" s="23">
        <f>IF(A474="","",YEAR(A474))</f>
        <v/>
      </c>
    </row>
    <row r="475">
      <c r="A475" s="47" t="n"/>
      <c r="B475" s="40" t="n"/>
      <c r="C475" s="39" t="n"/>
      <c r="D475" s="39" t="n"/>
      <c r="E475" s="46" t="n"/>
      <c r="F475" s="40" t="n"/>
      <c r="G475" s="24">
        <f>IF(C475="","",IFERROR(INDEX(Casos!$B$5:$B$204,MATCH(C475,Casos!$A$5:$A$204,0)),""))</f>
        <v/>
      </c>
      <c r="H475" s="29">
        <f>IF(OR(B475="",E475=""),"",E475*IFERROR(INDEX(Config!$D$12:$D$21,MATCH(B475,Config!$A$12:$A$21,0)),Config!$B$23))</f>
        <v/>
      </c>
      <c r="I475" s="23">
        <f>IF(A475="","",MONTH(A475))</f>
        <v/>
      </c>
      <c r="J475" s="23">
        <f>IF(A475="","",YEAR(A475))</f>
        <v/>
      </c>
    </row>
    <row r="476">
      <c r="A476" s="47" t="n"/>
      <c r="B476" s="40" t="n"/>
      <c r="C476" s="39" t="n"/>
      <c r="D476" s="39" t="n"/>
      <c r="E476" s="46" t="n"/>
      <c r="F476" s="40" t="n"/>
      <c r="G476" s="24">
        <f>IF(C476="","",IFERROR(INDEX(Casos!$B$5:$B$204,MATCH(C476,Casos!$A$5:$A$204,0)),""))</f>
        <v/>
      </c>
      <c r="H476" s="29">
        <f>IF(OR(B476="",E476=""),"",E476*IFERROR(INDEX(Config!$D$12:$D$21,MATCH(B476,Config!$A$12:$A$21,0)),Config!$B$23))</f>
        <v/>
      </c>
      <c r="I476" s="23">
        <f>IF(A476="","",MONTH(A476))</f>
        <v/>
      </c>
      <c r="J476" s="23">
        <f>IF(A476="","",YEAR(A476))</f>
        <v/>
      </c>
    </row>
    <row r="477">
      <c r="A477" s="47" t="n"/>
      <c r="B477" s="40" t="n"/>
      <c r="C477" s="39" t="n"/>
      <c r="D477" s="39" t="n"/>
      <c r="E477" s="46" t="n"/>
      <c r="F477" s="40" t="n"/>
      <c r="G477" s="24">
        <f>IF(C477="","",IFERROR(INDEX(Casos!$B$5:$B$204,MATCH(C477,Casos!$A$5:$A$204,0)),""))</f>
        <v/>
      </c>
      <c r="H477" s="29">
        <f>IF(OR(B477="",E477=""),"",E477*IFERROR(INDEX(Config!$D$12:$D$21,MATCH(B477,Config!$A$12:$A$21,0)),Config!$B$23))</f>
        <v/>
      </c>
      <c r="I477" s="23">
        <f>IF(A477="","",MONTH(A477))</f>
        <v/>
      </c>
      <c r="J477" s="23">
        <f>IF(A477="","",YEAR(A477))</f>
        <v/>
      </c>
    </row>
    <row r="478">
      <c r="A478" s="47" t="n"/>
      <c r="B478" s="40" t="n"/>
      <c r="C478" s="39" t="n"/>
      <c r="D478" s="39" t="n"/>
      <c r="E478" s="46" t="n"/>
      <c r="F478" s="40" t="n"/>
      <c r="G478" s="24">
        <f>IF(C478="","",IFERROR(INDEX(Casos!$B$5:$B$204,MATCH(C478,Casos!$A$5:$A$204,0)),""))</f>
        <v/>
      </c>
      <c r="H478" s="29">
        <f>IF(OR(B478="",E478=""),"",E478*IFERROR(INDEX(Config!$D$12:$D$21,MATCH(B478,Config!$A$12:$A$21,0)),Config!$B$23))</f>
        <v/>
      </c>
      <c r="I478" s="23">
        <f>IF(A478="","",MONTH(A478))</f>
        <v/>
      </c>
      <c r="J478" s="23">
        <f>IF(A478="","",YEAR(A478))</f>
        <v/>
      </c>
    </row>
    <row r="479">
      <c r="A479" s="47" t="n"/>
      <c r="B479" s="40" t="n"/>
      <c r="C479" s="39" t="n"/>
      <c r="D479" s="39" t="n"/>
      <c r="E479" s="46" t="n"/>
      <c r="F479" s="40" t="n"/>
      <c r="G479" s="24">
        <f>IF(C479="","",IFERROR(INDEX(Casos!$B$5:$B$204,MATCH(C479,Casos!$A$5:$A$204,0)),""))</f>
        <v/>
      </c>
      <c r="H479" s="29">
        <f>IF(OR(B479="",E479=""),"",E479*IFERROR(INDEX(Config!$D$12:$D$21,MATCH(B479,Config!$A$12:$A$21,0)),Config!$B$23))</f>
        <v/>
      </c>
      <c r="I479" s="23">
        <f>IF(A479="","",MONTH(A479))</f>
        <v/>
      </c>
      <c r="J479" s="23">
        <f>IF(A479="","",YEAR(A479))</f>
        <v/>
      </c>
    </row>
    <row r="480">
      <c r="A480" s="47" t="n"/>
      <c r="B480" s="40" t="n"/>
      <c r="C480" s="39" t="n"/>
      <c r="D480" s="39" t="n"/>
      <c r="E480" s="46" t="n"/>
      <c r="F480" s="40" t="n"/>
      <c r="G480" s="24">
        <f>IF(C480="","",IFERROR(INDEX(Casos!$B$5:$B$204,MATCH(C480,Casos!$A$5:$A$204,0)),""))</f>
        <v/>
      </c>
      <c r="H480" s="29">
        <f>IF(OR(B480="",E480=""),"",E480*IFERROR(INDEX(Config!$D$12:$D$21,MATCH(B480,Config!$A$12:$A$21,0)),Config!$B$23))</f>
        <v/>
      </c>
      <c r="I480" s="23">
        <f>IF(A480="","",MONTH(A480))</f>
        <v/>
      </c>
      <c r="J480" s="23">
        <f>IF(A480="","",YEAR(A480))</f>
        <v/>
      </c>
    </row>
    <row r="481">
      <c r="A481" s="47" t="n"/>
      <c r="B481" s="40" t="n"/>
      <c r="C481" s="39" t="n"/>
      <c r="D481" s="39" t="n"/>
      <c r="E481" s="46" t="n"/>
      <c r="F481" s="40" t="n"/>
      <c r="G481" s="24">
        <f>IF(C481="","",IFERROR(INDEX(Casos!$B$5:$B$204,MATCH(C481,Casos!$A$5:$A$204,0)),""))</f>
        <v/>
      </c>
      <c r="H481" s="29">
        <f>IF(OR(B481="",E481=""),"",E481*IFERROR(INDEX(Config!$D$12:$D$21,MATCH(B481,Config!$A$12:$A$21,0)),Config!$B$23))</f>
        <v/>
      </c>
      <c r="I481" s="23">
        <f>IF(A481="","",MONTH(A481))</f>
        <v/>
      </c>
      <c r="J481" s="23">
        <f>IF(A481="","",YEAR(A481))</f>
        <v/>
      </c>
    </row>
    <row r="482">
      <c r="A482" s="47" t="n"/>
      <c r="B482" s="40" t="n"/>
      <c r="C482" s="39" t="n"/>
      <c r="D482" s="39" t="n"/>
      <c r="E482" s="46" t="n"/>
      <c r="F482" s="40" t="n"/>
      <c r="G482" s="24">
        <f>IF(C482="","",IFERROR(INDEX(Casos!$B$5:$B$204,MATCH(C482,Casos!$A$5:$A$204,0)),""))</f>
        <v/>
      </c>
      <c r="H482" s="29">
        <f>IF(OR(B482="",E482=""),"",E482*IFERROR(INDEX(Config!$D$12:$D$21,MATCH(B482,Config!$A$12:$A$21,0)),Config!$B$23))</f>
        <v/>
      </c>
      <c r="I482" s="23">
        <f>IF(A482="","",MONTH(A482))</f>
        <v/>
      </c>
      <c r="J482" s="23">
        <f>IF(A482="","",YEAR(A482))</f>
        <v/>
      </c>
    </row>
    <row r="483">
      <c r="A483" s="47" t="n"/>
      <c r="B483" s="40" t="n"/>
      <c r="C483" s="39" t="n"/>
      <c r="D483" s="39" t="n"/>
      <c r="E483" s="46" t="n"/>
      <c r="F483" s="40" t="n"/>
      <c r="G483" s="24">
        <f>IF(C483="","",IFERROR(INDEX(Casos!$B$5:$B$204,MATCH(C483,Casos!$A$5:$A$204,0)),""))</f>
        <v/>
      </c>
      <c r="H483" s="29">
        <f>IF(OR(B483="",E483=""),"",E483*IFERROR(INDEX(Config!$D$12:$D$21,MATCH(B483,Config!$A$12:$A$21,0)),Config!$B$23))</f>
        <v/>
      </c>
      <c r="I483" s="23">
        <f>IF(A483="","",MONTH(A483))</f>
        <v/>
      </c>
      <c r="J483" s="23">
        <f>IF(A483="","",YEAR(A483))</f>
        <v/>
      </c>
    </row>
    <row r="484">
      <c r="A484" s="47" t="n"/>
      <c r="B484" s="40" t="n"/>
      <c r="C484" s="39" t="n"/>
      <c r="D484" s="39" t="n"/>
      <c r="E484" s="46" t="n"/>
      <c r="F484" s="40" t="n"/>
      <c r="G484" s="24">
        <f>IF(C484="","",IFERROR(INDEX(Casos!$B$5:$B$204,MATCH(C484,Casos!$A$5:$A$204,0)),""))</f>
        <v/>
      </c>
      <c r="H484" s="29">
        <f>IF(OR(B484="",E484=""),"",E484*IFERROR(INDEX(Config!$D$12:$D$21,MATCH(B484,Config!$A$12:$A$21,0)),Config!$B$23))</f>
        <v/>
      </c>
      <c r="I484" s="23">
        <f>IF(A484="","",MONTH(A484))</f>
        <v/>
      </c>
      <c r="J484" s="23">
        <f>IF(A484="","",YEAR(A484))</f>
        <v/>
      </c>
    </row>
    <row r="485">
      <c r="A485" s="47" t="n"/>
      <c r="B485" s="40" t="n"/>
      <c r="C485" s="39" t="n"/>
      <c r="D485" s="39" t="n"/>
      <c r="E485" s="46" t="n"/>
      <c r="F485" s="40" t="n"/>
      <c r="G485" s="24">
        <f>IF(C485="","",IFERROR(INDEX(Casos!$B$5:$B$204,MATCH(C485,Casos!$A$5:$A$204,0)),""))</f>
        <v/>
      </c>
      <c r="H485" s="29">
        <f>IF(OR(B485="",E485=""),"",E485*IFERROR(INDEX(Config!$D$12:$D$21,MATCH(B485,Config!$A$12:$A$21,0)),Config!$B$23))</f>
        <v/>
      </c>
      <c r="I485" s="23">
        <f>IF(A485="","",MONTH(A485))</f>
        <v/>
      </c>
      <c r="J485" s="23">
        <f>IF(A485="","",YEAR(A485))</f>
        <v/>
      </c>
    </row>
    <row r="486">
      <c r="A486" s="47" t="n"/>
      <c r="B486" s="40" t="n"/>
      <c r="C486" s="39" t="n"/>
      <c r="D486" s="39" t="n"/>
      <c r="E486" s="46" t="n"/>
      <c r="F486" s="40" t="n"/>
      <c r="G486" s="24">
        <f>IF(C486="","",IFERROR(INDEX(Casos!$B$5:$B$204,MATCH(C486,Casos!$A$5:$A$204,0)),""))</f>
        <v/>
      </c>
      <c r="H486" s="29">
        <f>IF(OR(B486="",E486=""),"",E486*IFERROR(INDEX(Config!$D$12:$D$21,MATCH(B486,Config!$A$12:$A$21,0)),Config!$B$23))</f>
        <v/>
      </c>
      <c r="I486" s="23">
        <f>IF(A486="","",MONTH(A486))</f>
        <v/>
      </c>
      <c r="J486" s="23">
        <f>IF(A486="","",YEAR(A486))</f>
        <v/>
      </c>
    </row>
    <row r="487">
      <c r="A487" s="47" t="n"/>
      <c r="B487" s="40" t="n"/>
      <c r="C487" s="39" t="n"/>
      <c r="D487" s="39" t="n"/>
      <c r="E487" s="46" t="n"/>
      <c r="F487" s="40" t="n"/>
      <c r="G487" s="24">
        <f>IF(C487="","",IFERROR(INDEX(Casos!$B$5:$B$204,MATCH(C487,Casos!$A$5:$A$204,0)),""))</f>
        <v/>
      </c>
      <c r="H487" s="29">
        <f>IF(OR(B487="",E487=""),"",E487*IFERROR(INDEX(Config!$D$12:$D$21,MATCH(B487,Config!$A$12:$A$21,0)),Config!$B$23))</f>
        <v/>
      </c>
      <c r="I487" s="23">
        <f>IF(A487="","",MONTH(A487))</f>
        <v/>
      </c>
      <c r="J487" s="23">
        <f>IF(A487="","",YEAR(A487))</f>
        <v/>
      </c>
    </row>
    <row r="488">
      <c r="A488" s="47" t="n"/>
      <c r="B488" s="40" t="n"/>
      <c r="C488" s="39" t="n"/>
      <c r="D488" s="39" t="n"/>
      <c r="E488" s="46" t="n"/>
      <c r="F488" s="40" t="n"/>
      <c r="G488" s="24">
        <f>IF(C488="","",IFERROR(INDEX(Casos!$B$5:$B$204,MATCH(C488,Casos!$A$5:$A$204,0)),""))</f>
        <v/>
      </c>
      <c r="H488" s="29">
        <f>IF(OR(B488="",E488=""),"",E488*IFERROR(INDEX(Config!$D$12:$D$21,MATCH(B488,Config!$A$12:$A$21,0)),Config!$B$23))</f>
        <v/>
      </c>
      <c r="I488" s="23">
        <f>IF(A488="","",MONTH(A488))</f>
        <v/>
      </c>
      <c r="J488" s="23">
        <f>IF(A488="","",YEAR(A488))</f>
        <v/>
      </c>
    </row>
    <row r="489">
      <c r="A489" s="47" t="n"/>
      <c r="B489" s="40" t="n"/>
      <c r="C489" s="39" t="n"/>
      <c r="D489" s="39" t="n"/>
      <c r="E489" s="46" t="n"/>
      <c r="F489" s="40" t="n"/>
      <c r="G489" s="24">
        <f>IF(C489="","",IFERROR(INDEX(Casos!$B$5:$B$204,MATCH(C489,Casos!$A$5:$A$204,0)),""))</f>
        <v/>
      </c>
      <c r="H489" s="29">
        <f>IF(OR(B489="",E489=""),"",E489*IFERROR(INDEX(Config!$D$12:$D$21,MATCH(B489,Config!$A$12:$A$21,0)),Config!$B$23))</f>
        <v/>
      </c>
      <c r="I489" s="23">
        <f>IF(A489="","",MONTH(A489))</f>
        <v/>
      </c>
      <c r="J489" s="23">
        <f>IF(A489="","",YEAR(A489))</f>
        <v/>
      </c>
    </row>
    <row r="490">
      <c r="A490" s="47" t="n"/>
      <c r="B490" s="40" t="n"/>
      <c r="C490" s="39" t="n"/>
      <c r="D490" s="39" t="n"/>
      <c r="E490" s="46" t="n"/>
      <c r="F490" s="40" t="n"/>
      <c r="G490" s="24">
        <f>IF(C490="","",IFERROR(INDEX(Casos!$B$5:$B$204,MATCH(C490,Casos!$A$5:$A$204,0)),""))</f>
        <v/>
      </c>
      <c r="H490" s="29">
        <f>IF(OR(B490="",E490=""),"",E490*IFERROR(INDEX(Config!$D$12:$D$21,MATCH(B490,Config!$A$12:$A$21,0)),Config!$B$23))</f>
        <v/>
      </c>
      <c r="I490" s="23">
        <f>IF(A490="","",MONTH(A490))</f>
        <v/>
      </c>
      <c r="J490" s="23">
        <f>IF(A490="","",YEAR(A490))</f>
        <v/>
      </c>
    </row>
    <row r="491">
      <c r="A491" s="47" t="n"/>
      <c r="B491" s="40" t="n"/>
      <c r="C491" s="39" t="n"/>
      <c r="D491" s="39" t="n"/>
      <c r="E491" s="46" t="n"/>
      <c r="F491" s="40" t="n"/>
      <c r="G491" s="24">
        <f>IF(C491="","",IFERROR(INDEX(Casos!$B$5:$B$204,MATCH(C491,Casos!$A$5:$A$204,0)),""))</f>
        <v/>
      </c>
      <c r="H491" s="29">
        <f>IF(OR(B491="",E491=""),"",E491*IFERROR(INDEX(Config!$D$12:$D$21,MATCH(B491,Config!$A$12:$A$21,0)),Config!$B$23))</f>
        <v/>
      </c>
      <c r="I491" s="23">
        <f>IF(A491="","",MONTH(A491))</f>
        <v/>
      </c>
      <c r="J491" s="23">
        <f>IF(A491="","",YEAR(A491))</f>
        <v/>
      </c>
    </row>
    <row r="492">
      <c r="A492" s="47" t="n"/>
      <c r="B492" s="40" t="n"/>
      <c r="C492" s="39" t="n"/>
      <c r="D492" s="39" t="n"/>
      <c r="E492" s="46" t="n"/>
      <c r="F492" s="40" t="n"/>
      <c r="G492" s="24">
        <f>IF(C492="","",IFERROR(INDEX(Casos!$B$5:$B$204,MATCH(C492,Casos!$A$5:$A$204,0)),""))</f>
        <v/>
      </c>
      <c r="H492" s="29">
        <f>IF(OR(B492="",E492=""),"",E492*IFERROR(INDEX(Config!$D$12:$D$21,MATCH(B492,Config!$A$12:$A$21,0)),Config!$B$23))</f>
        <v/>
      </c>
      <c r="I492" s="23">
        <f>IF(A492="","",MONTH(A492))</f>
        <v/>
      </c>
      <c r="J492" s="23">
        <f>IF(A492="","",YEAR(A492))</f>
        <v/>
      </c>
    </row>
    <row r="493">
      <c r="A493" s="47" t="n"/>
      <c r="B493" s="40" t="n"/>
      <c r="C493" s="39" t="n"/>
      <c r="D493" s="39" t="n"/>
      <c r="E493" s="46" t="n"/>
      <c r="F493" s="40" t="n"/>
      <c r="G493" s="24">
        <f>IF(C493="","",IFERROR(INDEX(Casos!$B$5:$B$204,MATCH(C493,Casos!$A$5:$A$204,0)),""))</f>
        <v/>
      </c>
      <c r="H493" s="29">
        <f>IF(OR(B493="",E493=""),"",E493*IFERROR(INDEX(Config!$D$12:$D$21,MATCH(B493,Config!$A$12:$A$21,0)),Config!$B$23))</f>
        <v/>
      </c>
      <c r="I493" s="23">
        <f>IF(A493="","",MONTH(A493))</f>
        <v/>
      </c>
      <c r="J493" s="23">
        <f>IF(A493="","",YEAR(A493))</f>
        <v/>
      </c>
    </row>
    <row r="494">
      <c r="A494" s="47" t="n"/>
      <c r="B494" s="40" t="n"/>
      <c r="C494" s="39" t="n"/>
      <c r="D494" s="39" t="n"/>
      <c r="E494" s="46" t="n"/>
      <c r="F494" s="40" t="n"/>
      <c r="G494" s="24">
        <f>IF(C494="","",IFERROR(INDEX(Casos!$B$5:$B$204,MATCH(C494,Casos!$A$5:$A$204,0)),""))</f>
        <v/>
      </c>
      <c r="H494" s="29">
        <f>IF(OR(B494="",E494=""),"",E494*IFERROR(INDEX(Config!$D$12:$D$21,MATCH(B494,Config!$A$12:$A$21,0)),Config!$B$23))</f>
        <v/>
      </c>
      <c r="I494" s="23">
        <f>IF(A494="","",MONTH(A494))</f>
        <v/>
      </c>
      <c r="J494" s="23">
        <f>IF(A494="","",YEAR(A494))</f>
        <v/>
      </c>
    </row>
    <row r="495">
      <c r="A495" s="47" t="n"/>
      <c r="B495" s="40" t="n"/>
      <c r="C495" s="39" t="n"/>
      <c r="D495" s="39" t="n"/>
      <c r="E495" s="46" t="n"/>
      <c r="F495" s="40" t="n"/>
      <c r="G495" s="24">
        <f>IF(C495="","",IFERROR(INDEX(Casos!$B$5:$B$204,MATCH(C495,Casos!$A$5:$A$204,0)),""))</f>
        <v/>
      </c>
      <c r="H495" s="29">
        <f>IF(OR(B495="",E495=""),"",E495*IFERROR(INDEX(Config!$D$12:$D$21,MATCH(B495,Config!$A$12:$A$21,0)),Config!$B$23))</f>
        <v/>
      </c>
      <c r="I495" s="23">
        <f>IF(A495="","",MONTH(A495))</f>
        <v/>
      </c>
      <c r="J495" s="23">
        <f>IF(A495="","",YEAR(A495))</f>
        <v/>
      </c>
    </row>
    <row r="496">
      <c r="A496" s="47" t="n"/>
      <c r="B496" s="40" t="n"/>
      <c r="C496" s="39" t="n"/>
      <c r="D496" s="39" t="n"/>
      <c r="E496" s="46" t="n"/>
      <c r="F496" s="40" t="n"/>
      <c r="G496" s="24">
        <f>IF(C496="","",IFERROR(INDEX(Casos!$B$5:$B$204,MATCH(C496,Casos!$A$5:$A$204,0)),""))</f>
        <v/>
      </c>
      <c r="H496" s="29">
        <f>IF(OR(B496="",E496=""),"",E496*IFERROR(INDEX(Config!$D$12:$D$21,MATCH(B496,Config!$A$12:$A$21,0)),Config!$B$23))</f>
        <v/>
      </c>
      <c r="I496" s="23">
        <f>IF(A496="","",MONTH(A496))</f>
        <v/>
      </c>
      <c r="J496" s="23">
        <f>IF(A496="","",YEAR(A496))</f>
        <v/>
      </c>
    </row>
    <row r="497">
      <c r="A497" s="47" t="n"/>
      <c r="B497" s="40" t="n"/>
      <c r="C497" s="39" t="n"/>
      <c r="D497" s="39" t="n"/>
      <c r="E497" s="46" t="n"/>
      <c r="F497" s="40" t="n"/>
      <c r="G497" s="24">
        <f>IF(C497="","",IFERROR(INDEX(Casos!$B$5:$B$204,MATCH(C497,Casos!$A$5:$A$204,0)),""))</f>
        <v/>
      </c>
      <c r="H497" s="29">
        <f>IF(OR(B497="",E497=""),"",E497*IFERROR(INDEX(Config!$D$12:$D$21,MATCH(B497,Config!$A$12:$A$21,0)),Config!$B$23))</f>
        <v/>
      </c>
      <c r="I497" s="23">
        <f>IF(A497="","",MONTH(A497))</f>
        <v/>
      </c>
      <c r="J497" s="23">
        <f>IF(A497="","",YEAR(A497))</f>
        <v/>
      </c>
    </row>
    <row r="498">
      <c r="A498" s="47" t="n"/>
      <c r="B498" s="40" t="n"/>
      <c r="C498" s="39" t="n"/>
      <c r="D498" s="39" t="n"/>
      <c r="E498" s="46" t="n"/>
      <c r="F498" s="40" t="n"/>
      <c r="G498" s="24">
        <f>IF(C498="","",IFERROR(INDEX(Casos!$B$5:$B$204,MATCH(C498,Casos!$A$5:$A$204,0)),""))</f>
        <v/>
      </c>
      <c r="H498" s="29">
        <f>IF(OR(B498="",E498=""),"",E498*IFERROR(INDEX(Config!$D$12:$D$21,MATCH(B498,Config!$A$12:$A$21,0)),Config!$B$23))</f>
        <v/>
      </c>
      <c r="I498" s="23">
        <f>IF(A498="","",MONTH(A498))</f>
        <v/>
      </c>
      <c r="J498" s="23">
        <f>IF(A498="","",YEAR(A498))</f>
        <v/>
      </c>
    </row>
    <row r="499">
      <c r="A499" s="47" t="n"/>
      <c r="B499" s="40" t="n"/>
      <c r="C499" s="39" t="n"/>
      <c r="D499" s="39" t="n"/>
      <c r="E499" s="46" t="n"/>
      <c r="F499" s="40" t="n"/>
      <c r="G499" s="24">
        <f>IF(C499="","",IFERROR(INDEX(Casos!$B$5:$B$204,MATCH(C499,Casos!$A$5:$A$204,0)),""))</f>
        <v/>
      </c>
      <c r="H499" s="29">
        <f>IF(OR(B499="",E499=""),"",E499*IFERROR(INDEX(Config!$D$12:$D$21,MATCH(B499,Config!$A$12:$A$21,0)),Config!$B$23))</f>
        <v/>
      </c>
      <c r="I499" s="23">
        <f>IF(A499="","",MONTH(A499))</f>
        <v/>
      </c>
      <c r="J499" s="23">
        <f>IF(A499="","",YEAR(A499))</f>
        <v/>
      </c>
    </row>
    <row r="500">
      <c r="A500" s="47" t="n"/>
      <c r="B500" s="40" t="n"/>
      <c r="C500" s="39" t="n"/>
      <c r="D500" s="39" t="n"/>
      <c r="E500" s="46" t="n"/>
      <c r="F500" s="40" t="n"/>
      <c r="G500" s="24">
        <f>IF(C500="","",IFERROR(INDEX(Casos!$B$5:$B$204,MATCH(C500,Casos!$A$5:$A$204,0)),""))</f>
        <v/>
      </c>
      <c r="H500" s="29">
        <f>IF(OR(B500="",E500=""),"",E500*IFERROR(INDEX(Config!$D$12:$D$21,MATCH(B500,Config!$A$12:$A$21,0)),Config!$B$23))</f>
        <v/>
      </c>
      <c r="I500" s="23">
        <f>IF(A500="","",MONTH(A500))</f>
        <v/>
      </c>
      <c r="J500" s="23">
        <f>IF(A500="","",YEAR(A500))</f>
        <v/>
      </c>
    </row>
    <row r="501">
      <c r="A501" s="47" t="n"/>
      <c r="B501" s="40" t="n"/>
      <c r="C501" s="39" t="n"/>
      <c r="D501" s="39" t="n"/>
      <c r="E501" s="46" t="n"/>
      <c r="F501" s="40" t="n"/>
      <c r="G501" s="24">
        <f>IF(C501="","",IFERROR(INDEX(Casos!$B$5:$B$204,MATCH(C501,Casos!$A$5:$A$204,0)),""))</f>
        <v/>
      </c>
      <c r="H501" s="29">
        <f>IF(OR(B501="",E501=""),"",E501*IFERROR(INDEX(Config!$D$12:$D$21,MATCH(B501,Config!$A$12:$A$21,0)),Config!$B$23))</f>
        <v/>
      </c>
      <c r="I501" s="23">
        <f>IF(A501="","",MONTH(A501))</f>
        <v/>
      </c>
      <c r="J501" s="23">
        <f>IF(A501="","",YEAR(A501))</f>
        <v/>
      </c>
    </row>
    <row r="502">
      <c r="A502" s="47" t="n"/>
      <c r="B502" s="40" t="n"/>
      <c r="C502" s="39" t="n"/>
      <c r="D502" s="39" t="n"/>
      <c r="E502" s="46" t="n"/>
      <c r="F502" s="40" t="n"/>
      <c r="G502" s="24">
        <f>IF(C502="","",IFERROR(INDEX(Casos!$B$5:$B$204,MATCH(C502,Casos!$A$5:$A$204,0)),""))</f>
        <v/>
      </c>
      <c r="H502" s="29">
        <f>IF(OR(B502="",E502=""),"",E502*IFERROR(INDEX(Config!$D$12:$D$21,MATCH(B502,Config!$A$12:$A$21,0)),Config!$B$23))</f>
        <v/>
      </c>
      <c r="I502" s="23">
        <f>IF(A502="","",MONTH(A502))</f>
        <v/>
      </c>
      <c r="J502" s="23">
        <f>IF(A502="","",YEAR(A502))</f>
        <v/>
      </c>
    </row>
    <row r="503">
      <c r="A503" s="47" t="n"/>
      <c r="B503" s="40" t="n"/>
      <c r="C503" s="39" t="n"/>
      <c r="D503" s="39" t="n"/>
      <c r="E503" s="46" t="n"/>
      <c r="F503" s="40" t="n"/>
      <c r="G503" s="24">
        <f>IF(C503="","",IFERROR(INDEX(Casos!$B$5:$B$204,MATCH(C503,Casos!$A$5:$A$204,0)),""))</f>
        <v/>
      </c>
      <c r="H503" s="29">
        <f>IF(OR(B503="",E503=""),"",E503*IFERROR(INDEX(Config!$D$12:$D$21,MATCH(B503,Config!$A$12:$A$21,0)),Config!$B$23))</f>
        <v/>
      </c>
      <c r="I503" s="23">
        <f>IF(A503="","",MONTH(A503))</f>
        <v/>
      </c>
      <c r="J503" s="23">
        <f>IF(A503="","",YEAR(A503))</f>
        <v/>
      </c>
    </row>
    <row r="504">
      <c r="A504" s="47" t="n"/>
      <c r="B504" s="40" t="n"/>
      <c r="C504" s="39" t="n"/>
      <c r="D504" s="39" t="n"/>
      <c r="E504" s="46" t="n"/>
      <c r="F504" s="40" t="n"/>
      <c r="G504" s="24">
        <f>IF(C504="","",IFERROR(INDEX(Casos!$B$5:$B$204,MATCH(C504,Casos!$A$5:$A$204,0)),""))</f>
        <v/>
      </c>
      <c r="H504" s="29">
        <f>IF(OR(B504="",E504=""),"",E504*IFERROR(INDEX(Config!$D$12:$D$21,MATCH(B504,Config!$A$12:$A$21,0)),Config!$B$23))</f>
        <v/>
      </c>
      <c r="I504" s="23">
        <f>IF(A504="","",MONTH(A504))</f>
        <v/>
      </c>
      <c r="J504" s="23">
        <f>IF(A504="","",YEAR(A504))</f>
        <v/>
      </c>
    </row>
    <row r="505">
      <c r="A505" s="47" t="n"/>
      <c r="B505" s="40" t="n"/>
      <c r="C505" s="39" t="n"/>
      <c r="D505" s="39" t="n"/>
      <c r="E505" s="46" t="n"/>
      <c r="F505" s="40" t="n"/>
      <c r="G505" s="24">
        <f>IF(C505="","",IFERROR(INDEX(Casos!$B$5:$B$204,MATCH(C505,Casos!$A$5:$A$204,0)),""))</f>
        <v/>
      </c>
      <c r="H505" s="29">
        <f>IF(OR(B505="",E505=""),"",E505*IFERROR(INDEX(Config!$D$12:$D$21,MATCH(B505,Config!$A$12:$A$21,0)),Config!$B$23))</f>
        <v/>
      </c>
      <c r="I505" s="23">
        <f>IF(A505="","",MONTH(A505))</f>
        <v/>
      </c>
      <c r="J505" s="23">
        <f>IF(A505="","",YEAR(A505))</f>
        <v/>
      </c>
    </row>
    <row r="506">
      <c r="A506" s="47" t="n"/>
      <c r="B506" s="40" t="n"/>
      <c r="C506" s="39" t="n"/>
      <c r="D506" s="39" t="n"/>
      <c r="E506" s="46" t="n"/>
      <c r="F506" s="40" t="n"/>
      <c r="G506" s="24">
        <f>IF(C506="","",IFERROR(INDEX(Casos!$B$5:$B$204,MATCH(C506,Casos!$A$5:$A$204,0)),""))</f>
        <v/>
      </c>
      <c r="H506" s="29">
        <f>IF(OR(B506="",E506=""),"",E506*IFERROR(INDEX(Config!$D$12:$D$21,MATCH(B506,Config!$A$12:$A$21,0)),Config!$B$23))</f>
        <v/>
      </c>
      <c r="I506" s="23">
        <f>IF(A506="","",MONTH(A506))</f>
        <v/>
      </c>
      <c r="J506" s="23">
        <f>IF(A506="","",YEAR(A506))</f>
        <v/>
      </c>
    </row>
    <row r="507">
      <c r="A507" s="47" t="n"/>
      <c r="B507" s="40" t="n"/>
      <c r="C507" s="39" t="n"/>
      <c r="D507" s="39" t="n"/>
      <c r="E507" s="46" t="n"/>
      <c r="F507" s="40" t="n"/>
      <c r="G507" s="24">
        <f>IF(C507="","",IFERROR(INDEX(Casos!$B$5:$B$204,MATCH(C507,Casos!$A$5:$A$204,0)),""))</f>
        <v/>
      </c>
      <c r="H507" s="29">
        <f>IF(OR(B507="",E507=""),"",E507*IFERROR(INDEX(Config!$D$12:$D$21,MATCH(B507,Config!$A$12:$A$21,0)),Config!$B$23))</f>
        <v/>
      </c>
      <c r="I507" s="23">
        <f>IF(A507="","",MONTH(A507))</f>
        <v/>
      </c>
      <c r="J507" s="23">
        <f>IF(A507="","",YEAR(A507))</f>
        <v/>
      </c>
    </row>
    <row r="508">
      <c r="A508" s="47" t="n"/>
      <c r="B508" s="40" t="n"/>
      <c r="C508" s="39" t="n"/>
      <c r="D508" s="39" t="n"/>
      <c r="E508" s="46" t="n"/>
      <c r="F508" s="40" t="n"/>
      <c r="G508" s="24">
        <f>IF(C508="","",IFERROR(INDEX(Casos!$B$5:$B$204,MATCH(C508,Casos!$A$5:$A$204,0)),""))</f>
        <v/>
      </c>
      <c r="H508" s="29">
        <f>IF(OR(B508="",E508=""),"",E508*IFERROR(INDEX(Config!$D$12:$D$21,MATCH(B508,Config!$A$12:$A$21,0)),Config!$B$23))</f>
        <v/>
      </c>
      <c r="I508" s="23">
        <f>IF(A508="","",MONTH(A508))</f>
        <v/>
      </c>
      <c r="J508" s="23">
        <f>IF(A508="","",YEAR(A508))</f>
        <v/>
      </c>
    </row>
    <row r="509">
      <c r="A509" s="47" t="n"/>
      <c r="B509" s="40" t="n"/>
      <c r="C509" s="39" t="n"/>
      <c r="D509" s="39" t="n"/>
      <c r="E509" s="46" t="n"/>
      <c r="F509" s="40" t="n"/>
      <c r="G509" s="24">
        <f>IF(C509="","",IFERROR(INDEX(Casos!$B$5:$B$204,MATCH(C509,Casos!$A$5:$A$204,0)),""))</f>
        <v/>
      </c>
      <c r="H509" s="29">
        <f>IF(OR(B509="",E509=""),"",E509*IFERROR(INDEX(Config!$D$12:$D$21,MATCH(B509,Config!$A$12:$A$21,0)),Config!$B$23))</f>
        <v/>
      </c>
      <c r="I509" s="23">
        <f>IF(A509="","",MONTH(A509))</f>
        <v/>
      </c>
      <c r="J509" s="23">
        <f>IF(A509="","",YEAR(A509))</f>
        <v/>
      </c>
    </row>
    <row r="510">
      <c r="A510" s="47" t="n"/>
      <c r="B510" s="40" t="n"/>
      <c r="C510" s="39" t="n"/>
      <c r="D510" s="39" t="n"/>
      <c r="E510" s="46" t="n"/>
      <c r="F510" s="40" t="n"/>
      <c r="G510" s="24">
        <f>IF(C510="","",IFERROR(INDEX(Casos!$B$5:$B$204,MATCH(C510,Casos!$A$5:$A$204,0)),""))</f>
        <v/>
      </c>
      <c r="H510" s="29">
        <f>IF(OR(B510="",E510=""),"",E510*IFERROR(INDEX(Config!$D$12:$D$21,MATCH(B510,Config!$A$12:$A$21,0)),Config!$B$23))</f>
        <v/>
      </c>
      <c r="I510" s="23">
        <f>IF(A510="","",MONTH(A510))</f>
        <v/>
      </c>
      <c r="J510" s="23">
        <f>IF(A510="","",YEAR(A510))</f>
        <v/>
      </c>
    </row>
    <row r="511">
      <c r="A511" s="47" t="n"/>
      <c r="B511" s="40" t="n"/>
      <c r="C511" s="39" t="n"/>
      <c r="D511" s="39" t="n"/>
      <c r="E511" s="46" t="n"/>
      <c r="F511" s="40" t="n"/>
      <c r="G511" s="24">
        <f>IF(C511="","",IFERROR(INDEX(Casos!$B$5:$B$204,MATCH(C511,Casos!$A$5:$A$204,0)),""))</f>
        <v/>
      </c>
      <c r="H511" s="29">
        <f>IF(OR(B511="",E511=""),"",E511*IFERROR(INDEX(Config!$D$12:$D$21,MATCH(B511,Config!$A$12:$A$21,0)),Config!$B$23))</f>
        <v/>
      </c>
      <c r="I511" s="23">
        <f>IF(A511="","",MONTH(A511))</f>
        <v/>
      </c>
      <c r="J511" s="23">
        <f>IF(A511="","",YEAR(A511))</f>
        <v/>
      </c>
    </row>
    <row r="512">
      <c r="A512" s="47" t="n"/>
      <c r="B512" s="40" t="n"/>
      <c r="C512" s="39" t="n"/>
      <c r="D512" s="39" t="n"/>
      <c r="E512" s="46" t="n"/>
      <c r="F512" s="40" t="n"/>
      <c r="G512" s="24">
        <f>IF(C512="","",IFERROR(INDEX(Casos!$B$5:$B$204,MATCH(C512,Casos!$A$5:$A$204,0)),""))</f>
        <v/>
      </c>
      <c r="H512" s="29">
        <f>IF(OR(B512="",E512=""),"",E512*IFERROR(INDEX(Config!$D$12:$D$21,MATCH(B512,Config!$A$12:$A$21,0)),Config!$B$23))</f>
        <v/>
      </c>
      <c r="I512" s="23">
        <f>IF(A512="","",MONTH(A512))</f>
        <v/>
      </c>
      <c r="J512" s="23">
        <f>IF(A512="","",YEAR(A512))</f>
        <v/>
      </c>
    </row>
    <row r="513">
      <c r="A513" s="47" t="n"/>
      <c r="B513" s="40" t="n"/>
      <c r="C513" s="39" t="n"/>
      <c r="D513" s="39" t="n"/>
      <c r="E513" s="46" t="n"/>
      <c r="F513" s="40" t="n"/>
      <c r="G513" s="24">
        <f>IF(C513="","",IFERROR(INDEX(Casos!$B$5:$B$204,MATCH(C513,Casos!$A$5:$A$204,0)),""))</f>
        <v/>
      </c>
      <c r="H513" s="29">
        <f>IF(OR(B513="",E513=""),"",E513*IFERROR(INDEX(Config!$D$12:$D$21,MATCH(B513,Config!$A$12:$A$21,0)),Config!$B$23))</f>
        <v/>
      </c>
      <c r="I513" s="23">
        <f>IF(A513="","",MONTH(A513))</f>
        <v/>
      </c>
      <c r="J513" s="23">
        <f>IF(A513="","",YEAR(A513))</f>
        <v/>
      </c>
    </row>
    <row r="514">
      <c r="A514" s="47" t="n"/>
      <c r="B514" s="40" t="n"/>
      <c r="C514" s="39" t="n"/>
      <c r="D514" s="39" t="n"/>
      <c r="E514" s="46" t="n"/>
      <c r="F514" s="40" t="n"/>
      <c r="G514" s="24">
        <f>IF(C514="","",IFERROR(INDEX(Casos!$B$5:$B$204,MATCH(C514,Casos!$A$5:$A$204,0)),""))</f>
        <v/>
      </c>
      <c r="H514" s="29">
        <f>IF(OR(B514="",E514=""),"",E514*IFERROR(INDEX(Config!$D$12:$D$21,MATCH(B514,Config!$A$12:$A$21,0)),Config!$B$23))</f>
        <v/>
      </c>
      <c r="I514" s="23">
        <f>IF(A514="","",MONTH(A514))</f>
        <v/>
      </c>
      <c r="J514" s="23">
        <f>IF(A514="","",YEAR(A514))</f>
        <v/>
      </c>
    </row>
    <row r="515">
      <c r="A515" s="47" t="n"/>
      <c r="B515" s="40" t="n"/>
      <c r="C515" s="39" t="n"/>
      <c r="D515" s="39" t="n"/>
      <c r="E515" s="46" t="n"/>
      <c r="F515" s="40" t="n"/>
      <c r="G515" s="24">
        <f>IF(C515="","",IFERROR(INDEX(Casos!$B$5:$B$204,MATCH(C515,Casos!$A$5:$A$204,0)),""))</f>
        <v/>
      </c>
      <c r="H515" s="29">
        <f>IF(OR(B515="",E515=""),"",E515*IFERROR(INDEX(Config!$D$12:$D$21,MATCH(B515,Config!$A$12:$A$21,0)),Config!$B$23))</f>
        <v/>
      </c>
      <c r="I515" s="23">
        <f>IF(A515="","",MONTH(A515))</f>
        <v/>
      </c>
      <c r="J515" s="23">
        <f>IF(A515="","",YEAR(A515))</f>
        <v/>
      </c>
    </row>
    <row r="516">
      <c r="A516" s="47" t="n"/>
      <c r="B516" s="40" t="n"/>
      <c r="C516" s="39" t="n"/>
      <c r="D516" s="39" t="n"/>
      <c r="E516" s="46" t="n"/>
      <c r="F516" s="40" t="n"/>
      <c r="G516" s="24">
        <f>IF(C516="","",IFERROR(INDEX(Casos!$B$5:$B$204,MATCH(C516,Casos!$A$5:$A$204,0)),""))</f>
        <v/>
      </c>
      <c r="H516" s="29">
        <f>IF(OR(B516="",E516=""),"",E516*IFERROR(INDEX(Config!$D$12:$D$21,MATCH(B516,Config!$A$12:$A$21,0)),Config!$B$23))</f>
        <v/>
      </c>
      <c r="I516" s="23">
        <f>IF(A516="","",MONTH(A516))</f>
        <v/>
      </c>
      <c r="J516" s="23">
        <f>IF(A516="","",YEAR(A516))</f>
        <v/>
      </c>
    </row>
    <row r="517">
      <c r="A517" s="47" t="n"/>
      <c r="B517" s="40" t="n"/>
      <c r="C517" s="39" t="n"/>
      <c r="D517" s="39" t="n"/>
      <c r="E517" s="46" t="n"/>
      <c r="F517" s="40" t="n"/>
      <c r="G517" s="24">
        <f>IF(C517="","",IFERROR(INDEX(Casos!$B$5:$B$204,MATCH(C517,Casos!$A$5:$A$204,0)),""))</f>
        <v/>
      </c>
      <c r="H517" s="29">
        <f>IF(OR(B517="",E517=""),"",E517*IFERROR(INDEX(Config!$D$12:$D$21,MATCH(B517,Config!$A$12:$A$21,0)),Config!$B$23))</f>
        <v/>
      </c>
      <c r="I517" s="23">
        <f>IF(A517="","",MONTH(A517))</f>
        <v/>
      </c>
      <c r="J517" s="23">
        <f>IF(A517="","",YEAR(A517))</f>
        <v/>
      </c>
    </row>
    <row r="518">
      <c r="A518" s="47" t="n"/>
      <c r="B518" s="40" t="n"/>
      <c r="C518" s="39" t="n"/>
      <c r="D518" s="39" t="n"/>
      <c r="E518" s="46" t="n"/>
      <c r="F518" s="40" t="n"/>
      <c r="G518" s="24">
        <f>IF(C518="","",IFERROR(INDEX(Casos!$B$5:$B$204,MATCH(C518,Casos!$A$5:$A$204,0)),""))</f>
        <v/>
      </c>
      <c r="H518" s="29">
        <f>IF(OR(B518="",E518=""),"",E518*IFERROR(INDEX(Config!$D$12:$D$21,MATCH(B518,Config!$A$12:$A$21,0)),Config!$B$23))</f>
        <v/>
      </c>
      <c r="I518" s="23">
        <f>IF(A518="","",MONTH(A518))</f>
        <v/>
      </c>
      <c r="J518" s="23">
        <f>IF(A518="","",YEAR(A518))</f>
        <v/>
      </c>
    </row>
    <row r="519">
      <c r="A519" s="47" t="n"/>
      <c r="B519" s="40" t="n"/>
      <c r="C519" s="39" t="n"/>
      <c r="D519" s="39" t="n"/>
      <c r="E519" s="46" t="n"/>
      <c r="F519" s="40" t="n"/>
      <c r="G519" s="24">
        <f>IF(C519="","",IFERROR(INDEX(Casos!$B$5:$B$204,MATCH(C519,Casos!$A$5:$A$204,0)),""))</f>
        <v/>
      </c>
      <c r="H519" s="29">
        <f>IF(OR(B519="",E519=""),"",E519*IFERROR(INDEX(Config!$D$12:$D$21,MATCH(B519,Config!$A$12:$A$21,0)),Config!$B$23))</f>
        <v/>
      </c>
      <c r="I519" s="23">
        <f>IF(A519="","",MONTH(A519))</f>
        <v/>
      </c>
      <c r="J519" s="23">
        <f>IF(A519="","",YEAR(A519))</f>
        <v/>
      </c>
    </row>
    <row r="520">
      <c r="A520" s="47" t="n"/>
      <c r="B520" s="40" t="n"/>
      <c r="C520" s="39" t="n"/>
      <c r="D520" s="39" t="n"/>
      <c r="E520" s="46" t="n"/>
      <c r="F520" s="40" t="n"/>
      <c r="G520" s="24">
        <f>IF(C520="","",IFERROR(INDEX(Casos!$B$5:$B$204,MATCH(C520,Casos!$A$5:$A$204,0)),""))</f>
        <v/>
      </c>
      <c r="H520" s="29">
        <f>IF(OR(B520="",E520=""),"",E520*IFERROR(INDEX(Config!$D$12:$D$21,MATCH(B520,Config!$A$12:$A$21,0)),Config!$B$23))</f>
        <v/>
      </c>
      <c r="I520" s="23">
        <f>IF(A520="","",MONTH(A520))</f>
        <v/>
      </c>
      <c r="J520" s="23">
        <f>IF(A520="","",YEAR(A520))</f>
        <v/>
      </c>
    </row>
    <row r="521">
      <c r="A521" s="47" t="n"/>
      <c r="B521" s="40" t="n"/>
      <c r="C521" s="39" t="n"/>
      <c r="D521" s="39" t="n"/>
      <c r="E521" s="46" t="n"/>
      <c r="F521" s="40" t="n"/>
      <c r="G521" s="24">
        <f>IF(C521="","",IFERROR(INDEX(Casos!$B$5:$B$204,MATCH(C521,Casos!$A$5:$A$204,0)),""))</f>
        <v/>
      </c>
      <c r="H521" s="29">
        <f>IF(OR(B521="",E521=""),"",E521*IFERROR(INDEX(Config!$D$12:$D$21,MATCH(B521,Config!$A$12:$A$21,0)),Config!$B$23))</f>
        <v/>
      </c>
      <c r="I521" s="23">
        <f>IF(A521="","",MONTH(A521))</f>
        <v/>
      </c>
      <c r="J521" s="23">
        <f>IF(A521="","",YEAR(A521))</f>
        <v/>
      </c>
    </row>
    <row r="522">
      <c r="A522" s="47" t="n"/>
      <c r="B522" s="40" t="n"/>
      <c r="C522" s="39" t="n"/>
      <c r="D522" s="39" t="n"/>
      <c r="E522" s="46" t="n"/>
      <c r="F522" s="40" t="n"/>
      <c r="G522" s="24">
        <f>IF(C522="","",IFERROR(INDEX(Casos!$B$5:$B$204,MATCH(C522,Casos!$A$5:$A$204,0)),""))</f>
        <v/>
      </c>
      <c r="H522" s="29">
        <f>IF(OR(B522="",E522=""),"",E522*IFERROR(INDEX(Config!$D$12:$D$21,MATCH(B522,Config!$A$12:$A$21,0)),Config!$B$23))</f>
        <v/>
      </c>
      <c r="I522" s="23">
        <f>IF(A522="","",MONTH(A522))</f>
        <v/>
      </c>
      <c r="J522" s="23">
        <f>IF(A522="","",YEAR(A522))</f>
        <v/>
      </c>
    </row>
    <row r="523">
      <c r="A523" s="47" t="n"/>
      <c r="B523" s="40" t="n"/>
      <c r="C523" s="39" t="n"/>
      <c r="D523" s="39" t="n"/>
      <c r="E523" s="46" t="n"/>
      <c r="F523" s="40" t="n"/>
      <c r="G523" s="24">
        <f>IF(C523="","",IFERROR(INDEX(Casos!$B$5:$B$204,MATCH(C523,Casos!$A$5:$A$204,0)),""))</f>
        <v/>
      </c>
      <c r="H523" s="29">
        <f>IF(OR(B523="",E523=""),"",E523*IFERROR(INDEX(Config!$D$12:$D$21,MATCH(B523,Config!$A$12:$A$21,0)),Config!$B$23))</f>
        <v/>
      </c>
      <c r="I523" s="23">
        <f>IF(A523="","",MONTH(A523))</f>
        <v/>
      </c>
      <c r="J523" s="23">
        <f>IF(A523="","",YEAR(A523))</f>
        <v/>
      </c>
    </row>
    <row r="524">
      <c r="A524" s="47" t="n"/>
      <c r="B524" s="40" t="n"/>
      <c r="C524" s="39" t="n"/>
      <c r="D524" s="39" t="n"/>
      <c r="E524" s="46" t="n"/>
      <c r="F524" s="40" t="n"/>
      <c r="G524" s="24">
        <f>IF(C524="","",IFERROR(INDEX(Casos!$B$5:$B$204,MATCH(C524,Casos!$A$5:$A$204,0)),""))</f>
        <v/>
      </c>
      <c r="H524" s="29">
        <f>IF(OR(B524="",E524=""),"",E524*IFERROR(INDEX(Config!$D$12:$D$21,MATCH(B524,Config!$A$12:$A$21,0)),Config!$B$23))</f>
        <v/>
      </c>
      <c r="I524" s="23">
        <f>IF(A524="","",MONTH(A524))</f>
        <v/>
      </c>
      <c r="J524" s="23">
        <f>IF(A524="","",YEAR(A524))</f>
        <v/>
      </c>
    </row>
    <row r="525">
      <c r="A525" s="47" t="n"/>
      <c r="B525" s="40" t="n"/>
      <c r="C525" s="39" t="n"/>
      <c r="D525" s="39" t="n"/>
      <c r="E525" s="46" t="n"/>
      <c r="F525" s="40" t="n"/>
      <c r="G525" s="24">
        <f>IF(C525="","",IFERROR(INDEX(Casos!$B$5:$B$204,MATCH(C525,Casos!$A$5:$A$204,0)),""))</f>
        <v/>
      </c>
      <c r="H525" s="29">
        <f>IF(OR(B525="",E525=""),"",E525*IFERROR(INDEX(Config!$D$12:$D$21,MATCH(B525,Config!$A$12:$A$21,0)),Config!$B$23))</f>
        <v/>
      </c>
      <c r="I525" s="23">
        <f>IF(A525="","",MONTH(A525))</f>
        <v/>
      </c>
      <c r="J525" s="23">
        <f>IF(A525="","",YEAR(A525))</f>
        <v/>
      </c>
    </row>
    <row r="526">
      <c r="A526" s="47" t="n"/>
      <c r="B526" s="40" t="n"/>
      <c r="C526" s="39" t="n"/>
      <c r="D526" s="39" t="n"/>
      <c r="E526" s="46" t="n"/>
      <c r="F526" s="40" t="n"/>
      <c r="G526" s="24">
        <f>IF(C526="","",IFERROR(INDEX(Casos!$B$5:$B$204,MATCH(C526,Casos!$A$5:$A$204,0)),""))</f>
        <v/>
      </c>
      <c r="H526" s="29">
        <f>IF(OR(B526="",E526=""),"",E526*IFERROR(INDEX(Config!$D$12:$D$21,MATCH(B526,Config!$A$12:$A$21,0)),Config!$B$23))</f>
        <v/>
      </c>
      <c r="I526" s="23">
        <f>IF(A526="","",MONTH(A526))</f>
        <v/>
      </c>
      <c r="J526" s="23">
        <f>IF(A526="","",YEAR(A526))</f>
        <v/>
      </c>
    </row>
    <row r="527">
      <c r="A527" s="47" t="n"/>
      <c r="B527" s="40" t="n"/>
      <c r="C527" s="39" t="n"/>
      <c r="D527" s="39" t="n"/>
      <c r="E527" s="46" t="n"/>
      <c r="F527" s="40" t="n"/>
      <c r="G527" s="24">
        <f>IF(C527="","",IFERROR(INDEX(Casos!$B$5:$B$204,MATCH(C527,Casos!$A$5:$A$204,0)),""))</f>
        <v/>
      </c>
      <c r="H527" s="29">
        <f>IF(OR(B527="",E527=""),"",E527*IFERROR(INDEX(Config!$D$12:$D$21,MATCH(B527,Config!$A$12:$A$21,0)),Config!$B$23))</f>
        <v/>
      </c>
      <c r="I527" s="23">
        <f>IF(A527="","",MONTH(A527))</f>
        <v/>
      </c>
      <c r="J527" s="23">
        <f>IF(A527="","",YEAR(A527))</f>
        <v/>
      </c>
    </row>
    <row r="528">
      <c r="A528" s="47" t="n"/>
      <c r="B528" s="40" t="n"/>
      <c r="C528" s="39" t="n"/>
      <c r="D528" s="39" t="n"/>
      <c r="E528" s="46" t="n"/>
      <c r="F528" s="40" t="n"/>
      <c r="G528" s="24">
        <f>IF(C528="","",IFERROR(INDEX(Casos!$B$5:$B$204,MATCH(C528,Casos!$A$5:$A$204,0)),""))</f>
        <v/>
      </c>
      <c r="H528" s="29">
        <f>IF(OR(B528="",E528=""),"",E528*IFERROR(INDEX(Config!$D$12:$D$21,MATCH(B528,Config!$A$12:$A$21,0)),Config!$B$23))</f>
        <v/>
      </c>
      <c r="I528" s="23">
        <f>IF(A528="","",MONTH(A528))</f>
        <v/>
      </c>
      <c r="J528" s="23">
        <f>IF(A528="","",YEAR(A528))</f>
        <v/>
      </c>
    </row>
    <row r="529">
      <c r="A529" s="47" t="n"/>
      <c r="B529" s="40" t="n"/>
      <c r="C529" s="39" t="n"/>
      <c r="D529" s="39" t="n"/>
      <c r="E529" s="46" t="n"/>
      <c r="F529" s="40" t="n"/>
      <c r="G529" s="24">
        <f>IF(C529="","",IFERROR(INDEX(Casos!$B$5:$B$204,MATCH(C529,Casos!$A$5:$A$204,0)),""))</f>
        <v/>
      </c>
      <c r="H529" s="29">
        <f>IF(OR(B529="",E529=""),"",E529*IFERROR(INDEX(Config!$D$12:$D$21,MATCH(B529,Config!$A$12:$A$21,0)),Config!$B$23))</f>
        <v/>
      </c>
      <c r="I529" s="23">
        <f>IF(A529="","",MONTH(A529))</f>
        <v/>
      </c>
      <c r="J529" s="23">
        <f>IF(A529="","",YEAR(A529))</f>
        <v/>
      </c>
    </row>
    <row r="530">
      <c r="A530" s="47" t="n"/>
      <c r="B530" s="40" t="n"/>
      <c r="C530" s="39" t="n"/>
      <c r="D530" s="39" t="n"/>
      <c r="E530" s="46" t="n"/>
      <c r="F530" s="40" t="n"/>
      <c r="G530" s="24">
        <f>IF(C530="","",IFERROR(INDEX(Casos!$B$5:$B$204,MATCH(C530,Casos!$A$5:$A$204,0)),""))</f>
        <v/>
      </c>
      <c r="H530" s="29">
        <f>IF(OR(B530="",E530=""),"",E530*IFERROR(INDEX(Config!$D$12:$D$21,MATCH(B530,Config!$A$12:$A$21,0)),Config!$B$23))</f>
        <v/>
      </c>
      <c r="I530" s="23">
        <f>IF(A530="","",MONTH(A530))</f>
        <v/>
      </c>
      <c r="J530" s="23">
        <f>IF(A530="","",YEAR(A530))</f>
        <v/>
      </c>
    </row>
    <row r="531">
      <c r="A531" s="47" t="n"/>
      <c r="B531" s="40" t="n"/>
      <c r="C531" s="39" t="n"/>
      <c r="D531" s="39" t="n"/>
      <c r="E531" s="46" t="n"/>
      <c r="F531" s="40" t="n"/>
      <c r="G531" s="24">
        <f>IF(C531="","",IFERROR(INDEX(Casos!$B$5:$B$204,MATCH(C531,Casos!$A$5:$A$204,0)),""))</f>
        <v/>
      </c>
      <c r="H531" s="29">
        <f>IF(OR(B531="",E531=""),"",E531*IFERROR(INDEX(Config!$D$12:$D$21,MATCH(B531,Config!$A$12:$A$21,0)),Config!$B$23))</f>
        <v/>
      </c>
      <c r="I531" s="23">
        <f>IF(A531="","",MONTH(A531))</f>
        <v/>
      </c>
      <c r="J531" s="23">
        <f>IF(A531="","",YEAR(A531))</f>
        <v/>
      </c>
    </row>
    <row r="532">
      <c r="A532" s="47" t="n"/>
      <c r="B532" s="40" t="n"/>
      <c r="C532" s="39" t="n"/>
      <c r="D532" s="39" t="n"/>
      <c r="E532" s="46" t="n"/>
      <c r="F532" s="40" t="n"/>
      <c r="G532" s="24">
        <f>IF(C532="","",IFERROR(INDEX(Casos!$B$5:$B$204,MATCH(C532,Casos!$A$5:$A$204,0)),""))</f>
        <v/>
      </c>
      <c r="H532" s="29">
        <f>IF(OR(B532="",E532=""),"",E532*IFERROR(INDEX(Config!$D$12:$D$21,MATCH(B532,Config!$A$12:$A$21,0)),Config!$B$23))</f>
        <v/>
      </c>
      <c r="I532" s="23">
        <f>IF(A532="","",MONTH(A532))</f>
        <v/>
      </c>
      <c r="J532" s="23">
        <f>IF(A532="","",YEAR(A532))</f>
        <v/>
      </c>
    </row>
    <row r="533">
      <c r="A533" s="47" t="n"/>
      <c r="B533" s="40" t="n"/>
      <c r="C533" s="39" t="n"/>
      <c r="D533" s="39" t="n"/>
      <c r="E533" s="46" t="n"/>
      <c r="F533" s="40" t="n"/>
      <c r="G533" s="24">
        <f>IF(C533="","",IFERROR(INDEX(Casos!$B$5:$B$204,MATCH(C533,Casos!$A$5:$A$204,0)),""))</f>
        <v/>
      </c>
      <c r="H533" s="29">
        <f>IF(OR(B533="",E533=""),"",E533*IFERROR(INDEX(Config!$D$12:$D$21,MATCH(B533,Config!$A$12:$A$21,0)),Config!$B$23))</f>
        <v/>
      </c>
      <c r="I533" s="23">
        <f>IF(A533="","",MONTH(A533))</f>
        <v/>
      </c>
      <c r="J533" s="23">
        <f>IF(A533="","",YEAR(A533))</f>
        <v/>
      </c>
    </row>
    <row r="534">
      <c r="A534" s="47" t="n"/>
      <c r="B534" s="40" t="n"/>
      <c r="C534" s="39" t="n"/>
      <c r="D534" s="39" t="n"/>
      <c r="E534" s="46" t="n"/>
      <c r="F534" s="40" t="n"/>
      <c r="G534" s="24">
        <f>IF(C534="","",IFERROR(INDEX(Casos!$B$5:$B$204,MATCH(C534,Casos!$A$5:$A$204,0)),""))</f>
        <v/>
      </c>
      <c r="H534" s="29">
        <f>IF(OR(B534="",E534=""),"",E534*IFERROR(INDEX(Config!$D$12:$D$21,MATCH(B534,Config!$A$12:$A$21,0)),Config!$B$23))</f>
        <v/>
      </c>
      <c r="I534" s="23">
        <f>IF(A534="","",MONTH(A534))</f>
        <v/>
      </c>
      <c r="J534" s="23">
        <f>IF(A534="","",YEAR(A534))</f>
        <v/>
      </c>
    </row>
    <row r="535">
      <c r="A535" s="47" t="n"/>
      <c r="B535" s="40" t="n"/>
      <c r="C535" s="39" t="n"/>
      <c r="D535" s="39" t="n"/>
      <c r="E535" s="46" t="n"/>
      <c r="F535" s="40" t="n"/>
      <c r="G535" s="24">
        <f>IF(C535="","",IFERROR(INDEX(Casos!$B$5:$B$204,MATCH(C535,Casos!$A$5:$A$204,0)),""))</f>
        <v/>
      </c>
      <c r="H535" s="29">
        <f>IF(OR(B535="",E535=""),"",E535*IFERROR(INDEX(Config!$D$12:$D$21,MATCH(B535,Config!$A$12:$A$21,0)),Config!$B$23))</f>
        <v/>
      </c>
      <c r="I535" s="23">
        <f>IF(A535="","",MONTH(A535))</f>
        <v/>
      </c>
      <c r="J535" s="23">
        <f>IF(A535="","",YEAR(A535))</f>
        <v/>
      </c>
    </row>
    <row r="536">
      <c r="A536" s="47" t="n"/>
      <c r="B536" s="40" t="n"/>
      <c r="C536" s="39" t="n"/>
      <c r="D536" s="39" t="n"/>
      <c r="E536" s="46" t="n"/>
      <c r="F536" s="40" t="n"/>
      <c r="G536" s="24">
        <f>IF(C536="","",IFERROR(INDEX(Casos!$B$5:$B$204,MATCH(C536,Casos!$A$5:$A$204,0)),""))</f>
        <v/>
      </c>
      <c r="H536" s="29">
        <f>IF(OR(B536="",E536=""),"",E536*IFERROR(INDEX(Config!$D$12:$D$21,MATCH(B536,Config!$A$12:$A$21,0)),Config!$B$23))</f>
        <v/>
      </c>
      <c r="I536" s="23">
        <f>IF(A536="","",MONTH(A536))</f>
        <v/>
      </c>
      <c r="J536" s="23">
        <f>IF(A536="","",YEAR(A536))</f>
        <v/>
      </c>
    </row>
    <row r="537">
      <c r="A537" s="47" t="n"/>
      <c r="B537" s="40" t="n"/>
      <c r="C537" s="39" t="n"/>
      <c r="D537" s="39" t="n"/>
      <c r="E537" s="46" t="n"/>
      <c r="F537" s="40" t="n"/>
      <c r="G537" s="24">
        <f>IF(C537="","",IFERROR(INDEX(Casos!$B$5:$B$204,MATCH(C537,Casos!$A$5:$A$204,0)),""))</f>
        <v/>
      </c>
      <c r="H537" s="29">
        <f>IF(OR(B537="",E537=""),"",E537*IFERROR(INDEX(Config!$D$12:$D$21,MATCH(B537,Config!$A$12:$A$21,0)),Config!$B$23))</f>
        <v/>
      </c>
      <c r="I537" s="23">
        <f>IF(A537="","",MONTH(A537))</f>
        <v/>
      </c>
      <c r="J537" s="23">
        <f>IF(A537="","",YEAR(A537))</f>
        <v/>
      </c>
    </row>
    <row r="538">
      <c r="A538" s="47" t="n"/>
      <c r="B538" s="40" t="n"/>
      <c r="C538" s="39" t="n"/>
      <c r="D538" s="39" t="n"/>
      <c r="E538" s="46" t="n"/>
      <c r="F538" s="40" t="n"/>
      <c r="G538" s="24">
        <f>IF(C538="","",IFERROR(INDEX(Casos!$B$5:$B$204,MATCH(C538,Casos!$A$5:$A$204,0)),""))</f>
        <v/>
      </c>
      <c r="H538" s="29">
        <f>IF(OR(B538="",E538=""),"",E538*IFERROR(INDEX(Config!$D$12:$D$21,MATCH(B538,Config!$A$12:$A$21,0)),Config!$B$23))</f>
        <v/>
      </c>
      <c r="I538" s="23">
        <f>IF(A538="","",MONTH(A538))</f>
        <v/>
      </c>
      <c r="J538" s="23">
        <f>IF(A538="","",YEAR(A538))</f>
        <v/>
      </c>
    </row>
    <row r="539">
      <c r="A539" s="47" t="n"/>
      <c r="B539" s="40" t="n"/>
      <c r="C539" s="39" t="n"/>
      <c r="D539" s="39" t="n"/>
      <c r="E539" s="46" t="n"/>
      <c r="F539" s="40" t="n"/>
      <c r="G539" s="24">
        <f>IF(C539="","",IFERROR(INDEX(Casos!$B$5:$B$204,MATCH(C539,Casos!$A$5:$A$204,0)),""))</f>
        <v/>
      </c>
      <c r="H539" s="29">
        <f>IF(OR(B539="",E539=""),"",E539*IFERROR(INDEX(Config!$D$12:$D$21,MATCH(B539,Config!$A$12:$A$21,0)),Config!$B$23))</f>
        <v/>
      </c>
      <c r="I539" s="23">
        <f>IF(A539="","",MONTH(A539))</f>
        <v/>
      </c>
      <c r="J539" s="23">
        <f>IF(A539="","",YEAR(A539))</f>
        <v/>
      </c>
    </row>
    <row r="540">
      <c r="A540" s="47" t="n"/>
      <c r="B540" s="40" t="n"/>
      <c r="C540" s="39" t="n"/>
      <c r="D540" s="39" t="n"/>
      <c r="E540" s="46" t="n"/>
      <c r="F540" s="40" t="n"/>
      <c r="G540" s="24">
        <f>IF(C540="","",IFERROR(INDEX(Casos!$B$5:$B$204,MATCH(C540,Casos!$A$5:$A$204,0)),""))</f>
        <v/>
      </c>
      <c r="H540" s="29">
        <f>IF(OR(B540="",E540=""),"",E540*IFERROR(INDEX(Config!$D$12:$D$21,MATCH(B540,Config!$A$12:$A$21,0)),Config!$B$23))</f>
        <v/>
      </c>
      <c r="I540" s="23">
        <f>IF(A540="","",MONTH(A540))</f>
        <v/>
      </c>
      <c r="J540" s="23">
        <f>IF(A540="","",YEAR(A540))</f>
        <v/>
      </c>
    </row>
    <row r="541">
      <c r="A541" s="47" t="n"/>
      <c r="B541" s="40" t="n"/>
      <c r="C541" s="39" t="n"/>
      <c r="D541" s="39" t="n"/>
      <c r="E541" s="46" t="n"/>
      <c r="F541" s="40" t="n"/>
      <c r="G541" s="24">
        <f>IF(C541="","",IFERROR(INDEX(Casos!$B$5:$B$204,MATCH(C541,Casos!$A$5:$A$204,0)),""))</f>
        <v/>
      </c>
      <c r="H541" s="29">
        <f>IF(OR(B541="",E541=""),"",E541*IFERROR(INDEX(Config!$D$12:$D$21,MATCH(B541,Config!$A$12:$A$21,0)),Config!$B$23))</f>
        <v/>
      </c>
      <c r="I541" s="23">
        <f>IF(A541="","",MONTH(A541))</f>
        <v/>
      </c>
      <c r="J541" s="23">
        <f>IF(A541="","",YEAR(A541))</f>
        <v/>
      </c>
    </row>
    <row r="542">
      <c r="A542" s="47" t="n"/>
      <c r="B542" s="40" t="n"/>
      <c r="C542" s="39" t="n"/>
      <c r="D542" s="39" t="n"/>
      <c r="E542" s="46" t="n"/>
      <c r="F542" s="40" t="n"/>
      <c r="G542" s="24">
        <f>IF(C542="","",IFERROR(INDEX(Casos!$B$5:$B$204,MATCH(C542,Casos!$A$5:$A$204,0)),""))</f>
        <v/>
      </c>
      <c r="H542" s="29">
        <f>IF(OR(B542="",E542=""),"",E542*IFERROR(INDEX(Config!$D$12:$D$21,MATCH(B542,Config!$A$12:$A$21,0)),Config!$B$23))</f>
        <v/>
      </c>
      <c r="I542" s="23">
        <f>IF(A542="","",MONTH(A542))</f>
        <v/>
      </c>
      <c r="J542" s="23">
        <f>IF(A542="","",YEAR(A542))</f>
        <v/>
      </c>
    </row>
    <row r="543">
      <c r="A543" s="47" t="n"/>
      <c r="B543" s="40" t="n"/>
      <c r="C543" s="39" t="n"/>
      <c r="D543" s="39" t="n"/>
      <c r="E543" s="46" t="n"/>
      <c r="F543" s="40" t="n"/>
      <c r="G543" s="24">
        <f>IF(C543="","",IFERROR(INDEX(Casos!$B$5:$B$204,MATCH(C543,Casos!$A$5:$A$204,0)),""))</f>
        <v/>
      </c>
      <c r="H543" s="29">
        <f>IF(OR(B543="",E543=""),"",E543*IFERROR(INDEX(Config!$D$12:$D$21,MATCH(B543,Config!$A$12:$A$21,0)),Config!$B$23))</f>
        <v/>
      </c>
      <c r="I543" s="23">
        <f>IF(A543="","",MONTH(A543))</f>
        <v/>
      </c>
      <c r="J543" s="23">
        <f>IF(A543="","",YEAR(A543))</f>
        <v/>
      </c>
    </row>
    <row r="544">
      <c r="A544" s="47" t="n"/>
      <c r="B544" s="40" t="n"/>
      <c r="C544" s="39" t="n"/>
      <c r="D544" s="39" t="n"/>
      <c r="E544" s="46" t="n"/>
      <c r="F544" s="40" t="n"/>
      <c r="G544" s="24">
        <f>IF(C544="","",IFERROR(INDEX(Casos!$B$5:$B$204,MATCH(C544,Casos!$A$5:$A$204,0)),""))</f>
        <v/>
      </c>
      <c r="H544" s="29">
        <f>IF(OR(B544="",E544=""),"",E544*IFERROR(INDEX(Config!$D$12:$D$21,MATCH(B544,Config!$A$12:$A$21,0)),Config!$B$23))</f>
        <v/>
      </c>
      <c r="I544" s="23">
        <f>IF(A544="","",MONTH(A544))</f>
        <v/>
      </c>
      <c r="J544" s="23">
        <f>IF(A544="","",YEAR(A544))</f>
        <v/>
      </c>
    </row>
    <row r="545">
      <c r="A545" s="47" t="n"/>
      <c r="B545" s="40" t="n"/>
      <c r="C545" s="39" t="n"/>
      <c r="D545" s="39" t="n"/>
      <c r="E545" s="46" t="n"/>
      <c r="F545" s="40" t="n"/>
      <c r="G545" s="24">
        <f>IF(C545="","",IFERROR(INDEX(Casos!$B$5:$B$204,MATCH(C545,Casos!$A$5:$A$204,0)),""))</f>
        <v/>
      </c>
      <c r="H545" s="29">
        <f>IF(OR(B545="",E545=""),"",E545*IFERROR(INDEX(Config!$D$12:$D$21,MATCH(B545,Config!$A$12:$A$21,0)),Config!$B$23))</f>
        <v/>
      </c>
      <c r="I545" s="23">
        <f>IF(A545="","",MONTH(A545))</f>
        <v/>
      </c>
      <c r="J545" s="23">
        <f>IF(A545="","",YEAR(A545))</f>
        <v/>
      </c>
    </row>
    <row r="546">
      <c r="A546" s="47" t="n"/>
      <c r="B546" s="40" t="n"/>
      <c r="C546" s="39" t="n"/>
      <c r="D546" s="39" t="n"/>
      <c r="E546" s="46" t="n"/>
      <c r="F546" s="40" t="n"/>
      <c r="G546" s="24">
        <f>IF(C546="","",IFERROR(INDEX(Casos!$B$5:$B$204,MATCH(C546,Casos!$A$5:$A$204,0)),""))</f>
        <v/>
      </c>
      <c r="H546" s="29">
        <f>IF(OR(B546="",E546=""),"",E546*IFERROR(INDEX(Config!$D$12:$D$21,MATCH(B546,Config!$A$12:$A$21,0)),Config!$B$23))</f>
        <v/>
      </c>
      <c r="I546" s="23">
        <f>IF(A546="","",MONTH(A546))</f>
        <v/>
      </c>
      <c r="J546" s="23">
        <f>IF(A546="","",YEAR(A546))</f>
        <v/>
      </c>
    </row>
    <row r="547">
      <c r="A547" s="47" t="n"/>
      <c r="B547" s="40" t="n"/>
      <c r="C547" s="39" t="n"/>
      <c r="D547" s="39" t="n"/>
      <c r="E547" s="46" t="n"/>
      <c r="F547" s="40" t="n"/>
      <c r="G547" s="24">
        <f>IF(C547="","",IFERROR(INDEX(Casos!$B$5:$B$204,MATCH(C547,Casos!$A$5:$A$204,0)),""))</f>
        <v/>
      </c>
      <c r="H547" s="29">
        <f>IF(OR(B547="",E547=""),"",E547*IFERROR(INDEX(Config!$D$12:$D$21,MATCH(B547,Config!$A$12:$A$21,0)),Config!$B$23))</f>
        <v/>
      </c>
      <c r="I547" s="23">
        <f>IF(A547="","",MONTH(A547))</f>
        <v/>
      </c>
      <c r="J547" s="23">
        <f>IF(A547="","",YEAR(A547))</f>
        <v/>
      </c>
    </row>
    <row r="548">
      <c r="A548" s="47" t="n"/>
      <c r="B548" s="40" t="n"/>
      <c r="C548" s="39" t="n"/>
      <c r="D548" s="39" t="n"/>
      <c r="E548" s="46" t="n"/>
      <c r="F548" s="40" t="n"/>
      <c r="G548" s="24">
        <f>IF(C548="","",IFERROR(INDEX(Casos!$B$5:$B$204,MATCH(C548,Casos!$A$5:$A$204,0)),""))</f>
        <v/>
      </c>
      <c r="H548" s="29">
        <f>IF(OR(B548="",E548=""),"",E548*IFERROR(INDEX(Config!$D$12:$D$21,MATCH(B548,Config!$A$12:$A$21,0)),Config!$B$23))</f>
        <v/>
      </c>
      <c r="I548" s="23">
        <f>IF(A548="","",MONTH(A548))</f>
        <v/>
      </c>
      <c r="J548" s="23">
        <f>IF(A548="","",YEAR(A548))</f>
        <v/>
      </c>
    </row>
    <row r="549">
      <c r="A549" s="47" t="n"/>
      <c r="B549" s="40" t="n"/>
      <c r="C549" s="39" t="n"/>
      <c r="D549" s="39" t="n"/>
      <c r="E549" s="46" t="n"/>
      <c r="F549" s="40" t="n"/>
      <c r="G549" s="24">
        <f>IF(C549="","",IFERROR(INDEX(Casos!$B$5:$B$204,MATCH(C549,Casos!$A$5:$A$204,0)),""))</f>
        <v/>
      </c>
      <c r="H549" s="29">
        <f>IF(OR(B549="",E549=""),"",E549*IFERROR(INDEX(Config!$D$12:$D$21,MATCH(B549,Config!$A$12:$A$21,0)),Config!$B$23))</f>
        <v/>
      </c>
      <c r="I549" s="23">
        <f>IF(A549="","",MONTH(A549))</f>
        <v/>
      </c>
      <c r="J549" s="23">
        <f>IF(A549="","",YEAR(A549))</f>
        <v/>
      </c>
    </row>
    <row r="550">
      <c r="A550" s="47" t="n"/>
      <c r="B550" s="40" t="n"/>
      <c r="C550" s="39" t="n"/>
      <c r="D550" s="39" t="n"/>
      <c r="E550" s="46" t="n"/>
      <c r="F550" s="40" t="n"/>
      <c r="G550" s="24">
        <f>IF(C550="","",IFERROR(INDEX(Casos!$B$5:$B$204,MATCH(C550,Casos!$A$5:$A$204,0)),""))</f>
        <v/>
      </c>
      <c r="H550" s="29">
        <f>IF(OR(B550="",E550=""),"",E550*IFERROR(INDEX(Config!$D$12:$D$21,MATCH(B550,Config!$A$12:$A$21,0)),Config!$B$23))</f>
        <v/>
      </c>
      <c r="I550" s="23">
        <f>IF(A550="","",MONTH(A550))</f>
        <v/>
      </c>
      <c r="J550" s="23">
        <f>IF(A550="","",YEAR(A550))</f>
        <v/>
      </c>
    </row>
    <row r="551">
      <c r="A551" s="47" t="n"/>
      <c r="B551" s="40" t="n"/>
      <c r="C551" s="39" t="n"/>
      <c r="D551" s="39" t="n"/>
      <c r="E551" s="46" t="n"/>
      <c r="F551" s="40" t="n"/>
      <c r="G551" s="24">
        <f>IF(C551="","",IFERROR(INDEX(Casos!$B$5:$B$204,MATCH(C551,Casos!$A$5:$A$204,0)),""))</f>
        <v/>
      </c>
      <c r="H551" s="29">
        <f>IF(OR(B551="",E551=""),"",E551*IFERROR(INDEX(Config!$D$12:$D$21,MATCH(B551,Config!$A$12:$A$21,0)),Config!$B$23))</f>
        <v/>
      </c>
      <c r="I551" s="23">
        <f>IF(A551="","",MONTH(A551))</f>
        <v/>
      </c>
      <c r="J551" s="23">
        <f>IF(A551="","",YEAR(A551))</f>
        <v/>
      </c>
    </row>
    <row r="552">
      <c r="A552" s="47" t="n"/>
      <c r="B552" s="40" t="n"/>
      <c r="C552" s="39" t="n"/>
      <c r="D552" s="39" t="n"/>
      <c r="E552" s="46" t="n"/>
      <c r="F552" s="40" t="n"/>
      <c r="G552" s="24">
        <f>IF(C552="","",IFERROR(INDEX(Casos!$B$5:$B$204,MATCH(C552,Casos!$A$5:$A$204,0)),""))</f>
        <v/>
      </c>
      <c r="H552" s="29">
        <f>IF(OR(B552="",E552=""),"",E552*IFERROR(INDEX(Config!$D$12:$D$21,MATCH(B552,Config!$A$12:$A$21,0)),Config!$B$23))</f>
        <v/>
      </c>
      <c r="I552" s="23">
        <f>IF(A552="","",MONTH(A552))</f>
        <v/>
      </c>
      <c r="J552" s="23">
        <f>IF(A552="","",YEAR(A552))</f>
        <v/>
      </c>
    </row>
    <row r="553">
      <c r="A553" s="47" t="n"/>
      <c r="B553" s="40" t="n"/>
      <c r="C553" s="39" t="n"/>
      <c r="D553" s="39" t="n"/>
      <c r="E553" s="46" t="n"/>
      <c r="F553" s="40" t="n"/>
      <c r="G553" s="24">
        <f>IF(C553="","",IFERROR(INDEX(Casos!$B$5:$B$204,MATCH(C553,Casos!$A$5:$A$204,0)),""))</f>
        <v/>
      </c>
      <c r="H553" s="29">
        <f>IF(OR(B553="",E553=""),"",E553*IFERROR(INDEX(Config!$D$12:$D$21,MATCH(B553,Config!$A$12:$A$21,0)),Config!$B$23))</f>
        <v/>
      </c>
      <c r="I553" s="23">
        <f>IF(A553="","",MONTH(A553))</f>
        <v/>
      </c>
      <c r="J553" s="23">
        <f>IF(A553="","",YEAR(A553))</f>
        <v/>
      </c>
    </row>
    <row r="554">
      <c r="A554" s="47" t="n"/>
      <c r="B554" s="40" t="n"/>
      <c r="C554" s="39" t="n"/>
      <c r="D554" s="39" t="n"/>
      <c r="E554" s="46" t="n"/>
      <c r="F554" s="40" t="n"/>
      <c r="G554" s="24">
        <f>IF(C554="","",IFERROR(INDEX(Casos!$B$5:$B$204,MATCH(C554,Casos!$A$5:$A$204,0)),""))</f>
        <v/>
      </c>
      <c r="H554" s="29">
        <f>IF(OR(B554="",E554=""),"",E554*IFERROR(INDEX(Config!$D$12:$D$21,MATCH(B554,Config!$A$12:$A$21,0)),Config!$B$23))</f>
        <v/>
      </c>
      <c r="I554" s="23">
        <f>IF(A554="","",MONTH(A554))</f>
        <v/>
      </c>
      <c r="J554" s="23">
        <f>IF(A554="","",YEAR(A554))</f>
        <v/>
      </c>
    </row>
    <row r="555">
      <c r="A555" s="47" t="n"/>
      <c r="B555" s="40" t="n"/>
      <c r="C555" s="39" t="n"/>
      <c r="D555" s="39" t="n"/>
      <c r="E555" s="46" t="n"/>
      <c r="F555" s="40" t="n"/>
      <c r="G555" s="24">
        <f>IF(C555="","",IFERROR(INDEX(Casos!$B$5:$B$204,MATCH(C555,Casos!$A$5:$A$204,0)),""))</f>
        <v/>
      </c>
      <c r="H555" s="29">
        <f>IF(OR(B555="",E555=""),"",E555*IFERROR(INDEX(Config!$D$12:$D$21,MATCH(B555,Config!$A$12:$A$21,0)),Config!$B$23))</f>
        <v/>
      </c>
      <c r="I555" s="23">
        <f>IF(A555="","",MONTH(A555))</f>
        <v/>
      </c>
      <c r="J555" s="23">
        <f>IF(A555="","",YEAR(A555))</f>
        <v/>
      </c>
    </row>
    <row r="556">
      <c r="A556" s="47" t="n"/>
      <c r="B556" s="40" t="n"/>
      <c r="C556" s="39" t="n"/>
      <c r="D556" s="39" t="n"/>
      <c r="E556" s="46" t="n"/>
      <c r="F556" s="40" t="n"/>
      <c r="G556" s="24">
        <f>IF(C556="","",IFERROR(INDEX(Casos!$B$5:$B$204,MATCH(C556,Casos!$A$5:$A$204,0)),""))</f>
        <v/>
      </c>
      <c r="H556" s="29">
        <f>IF(OR(B556="",E556=""),"",E556*IFERROR(INDEX(Config!$D$12:$D$21,MATCH(B556,Config!$A$12:$A$21,0)),Config!$B$23))</f>
        <v/>
      </c>
      <c r="I556" s="23">
        <f>IF(A556="","",MONTH(A556))</f>
        <v/>
      </c>
      <c r="J556" s="23">
        <f>IF(A556="","",YEAR(A556))</f>
        <v/>
      </c>
    </row>
    <row r="557">
      <c r="A557" s="47" t="n"/>
      <c r="B557" s="40" t="n"/>
      <c r="C557" s="39" t="n"/>
      <c r="D557" s="39" t="n"/>
      <c r="E557" s="46" t="n"/>
      <c r="F557" s="40" t="n"/>
      <c r="G557" s="24">
        <f>IF(C557="","",IFERROR(INDEX(Casos!$B$5:$B$204,MATCH(C557,Casos!$A$5:$A$204,0)),""))</f>
        <v/>
      </c>
      <c r="H557" s="29">
        <f>IF(OR(B557="",E557=""),"",E557*IFERROR(INDEX(Config!$D$12:$D$21,MATCH(B557,Config!$A$12:$A$21,0)),Config!$B$23))</f>
        <v/>
      </c>
      <c r="I557" s="23">
        <f>IF(A557="","",MONTH(A557))</f>
        <v/>
      </c>
      <c r="J557" s="23">
        <f>IF(A557="","",YEAR(A557))</f>
        <v/>
      </c>
    </row>
    <row r="558">
      <c r="A558" s="47" t="n"/>
      <c r="B558" s="40" t="n"/>
      <c r="C558" s="39" t="n"/>
      <c r="D558" s="39" t="n"/>
      <c r="E558" s="46" t="n"/>
      <c r="F558" s="40" t="n"/>
      <c r="G558" s="24">
        <f>IF(C558="","",IFERROR(INDEX(Casos!$B$5:$B$204,MATCH(C558,Casos!$A$5:$A$204,0)),""))</f>
        <v/>
      </c>
      <c r="H558" s="29">
        <f>IF(OR(B558="",E558=""),"",E558*IFERROR(INDEX(Config!$D$12:$D$21,MATCH(B558,Config!$A$12:$A$21,0)),Config!$B$23))</f>
        <v/>
      </c>
      <c r="I558" s="23">
        <f>IF(A558="","",MONTH(A558))</f>
        <v/>
      </c>
      <c r="J558" s="23">
        <f>IF(A558="","",YEAR(A558))</f>
        <v/>
      </c>
    </row>
    <row r="559">
      <c r="A559" s="47" t="n"/>
      <c r="B559" s="40" t="n"/>
      <c r="C559" s="39" t="n"/>
      <c r="D559" s="39" t="n"/>
      <c r="E559" s="46" t="n"/>
      <c r="F559" s="40" t="n"/>
      <c r="G559" s="24">
        <f>IF(C559="","",IFERROR(INDEX(Casos!$B$5:$B$204,MATCH(C559,Casos!$A$5:$A$204,0)),""))</f>
        <v/>
      </c>
      <c r="H559" s="29">
        <f>IF(OR(B559="",E559=""),"",E559*IFERROR(INDEX(Config!$D$12:$D$21,MATCH(B559,Config!$A$12:$A$21,0)),Config!$B$23))</f>
        <v/>
      </c>
      <c r="I559" s="23">
        <f>IF(A559="","",MONTH(A559))</f>
        <v/>
      </c>
      <c r="J559" s="23">
        <f>IF(A559="","",YEAR(A559))</f>
        <v/>
      </c>
    </row>
    <row r="560">
      <c r="A560" s="47" t="n"/>
      <c r="B560" s="40" t="n"/>
      <c r="C560" s="39" t="n"/>
      <c r="D560" s="39" t="n"/>
      <c r="E560" s="46" t="n"/>
      <c r="F560" s="40" t="n"/>
      <c r="G560" s="24">
        <f>IF(C560="","",IFERROR(INDEX(Casos!$B$5:$B$204,MATCH(C560,Casos!$A$5:$A$204,0)),""))</f>
        <v/>
      </c>
      <c r="H560" s="29">
        <f>IF(OR(B560="",E560=""),"",E560*IFERROR(INDEX(Config!$D$12:$D$21,MATCH(B560,Config!$A$12:$A$21,0)),Config!$B$23))</f>
        <v/>
      </c>
      <c r="I560" s="23">
        <f>IF(A560="","",MONTH(A560))</f>
        <v/>
      </c>
      <c r="J560" s="23">
        <f>IF(A560="","",YEAR(A560))</f>
        <v/>
      </c>
    </row>
    <row r="561">
      <c r="A561" s="47" t="n"/>
      <c r="B561" s="40" t="n"/>
      <c r="C561" s="39" t="n"/>
      <c r="D561" s="39" t="n"/>
      <c r="E561" s="46" t="n"/>
      <c r="F561" s="40" t="n"/>
      <c r="G561" s="24">
        <f>IF(C561="","",IFERROR(INDEX(Casos!$B$5:$B$204,MATCH(C561,Casos!$A$5:$A$204,0)),""))</f>
        <v/>
      </c>
      <c r="H561" s="29">
        <f>IF(OR(B561="",E561=""),"",E561*IFERROR(INDEX(Config!$D$12:$D$21,MATCH(B561,Config!$A$12:$A$21,0)),Config!$B$23))</f>
        <v/>
      </c>
      <c r="I561" s="23">
        <f>IF(A561="","",MONTH(A561))</f>
        <v/>
      </c>
      <c r="J561" s="23">
        <f>IF(A561="","",YEAR(A561))</f>
        <v/>
      </c>
    </row>
    <row r="562">
      <c r="A562" s="47" t="n"/>
      <c r="B562" s="40" t="n"/>
      <c r="C562" s="39" t="n"/>
      <c r="D562" s="39" t="n"/>
      <c r="E562" s="46" t="n"/>
      <c r="F562" s="40" t="n"/>
      <c r="G562" s="24">
        <f>IF(C562="","",IFERROR(INDEX(Casos!$B$5:$B$204,MATCH(C562,Casos!$A$5:$A$204,0)),""))</f>
        <v/>
      </c>
      <c r="H562" s="29">
        <f>IF(OR(B562="",E562=""),"",E562*IFERROR(INDEX(Config!$D$12:$D$21,MATCH(B562,Config!$A$12:$A$21,0)),Config!$B$23))</f>
        <v/>
      </c>
      <c r="I562" s="23">
        <f>IF(A562="","",MONTH(A562))</f>
        <v/>
      </c>
      <c r="J562" s="23">
        <f>IF(A562="","",YEAR(A562))</f>
        <v/>
      </c>
    </row>
    <row r="563">
      <c r="A563" s="47" t="n"/>
      <c r="B563" s="40" t="n"/>
      <c r="C563" s="39" t="n"/>
      <c r="D563" s="39" t="n"/>
      <c r="E563" s="46" t="n"/>
      <c r="F563" s="40" t="n"/>
      <c r="G563" s="24">
        <f>IF(C563="","",IFERROR(INDEX(Casos!$B$5:$B$204,MATCH(C563,Casos!$A$5:$A$204,0)),""))</f>
        <v/>
      </c>
      <c r="H563" s="29">
        <f>IF(OR(B563="",E563=""),"",E563*IFERROR(INDEX(Config!$D$12:$D$21,MATCH(B563,Config!$A$12:$A$21,0)),Config!$B$23))</f>
        <v/>
      </c>
      <c r="I563" s="23">
        <f>IF(A563="","",MONTH(A563))</f>
        <v/>
      </c>
      <c r="J563" s="23">
        <f>IF(A563="","",YEAR(A563))</f>
        <v/>
      </c>
    </row>
    <row r="564">
      <c r="A564" s="47" t="n"/>
      <c r="B564" s="40" t="n"/>
      <c r="C564" s="39" t="n"/>
      <c r="D564" s="39" t="n"/>
      <c r="E564" s="46" t="n"/>
      <c r="F564" s="40" t="n"/>
      <c r="G564" s="24">
        <f>IF(C564="","",IFERROR(INDEX(Casos!$B$5:$B$204,MATCH(C564,Casos!$A$5:$A$204,0)),""))</f>
        <v/>
      </c>
      <c r="H564" s="29">
        <f>IF(OR(B564="",E564=""),"",E564*IFERROR(INDEX(Config!$D$12:$D$21,MATCH(B564,Config!$A$12:$A$21,0)),Config!$B$23))</f>
        <v/>
      </c>
      <c r="I564" s="23">
        <f>IF(A564="","",MONTH(A564))</f>
        <v/>
      </c>
      <c r="J564" s="23">
        <f>IF(A564="","",YEAR(A564))</f>
        <v/>
      </c>
    </row>
    <row r="565">
      <c r="A565" s="47" t="n"/>
      <c r="B565" s="40" t="n"/>
      <c r="C565" s="39" t="n"/>
      <c r="D565" s="39" t="n"/>
      <c r="E565" s="46" t="n"/>
      <c r="F565" s="40" t="n"/>
      <c r="G565" s="24">
        <f>IF(C565="","",IFERROR(INDEX(Casos!$B$5:$B$204,MATCH(C565,Casos!$A$5:$A$204,0)),""))</f>
        <v/>
      </c>
      <c r="H565" s="29">
        <f>IF(OR(B565="",E565=""),"",E565*IFERROR(INDEX(Config!$D$12:$D$21,MATCH(B565,Config!$A$12:$A$21,0)),Config!$B$23))</f>
        <v/>
      </c>
      <c r="I565" s="23">
        <f>IF(A565="","",MONTH(A565))</f>
        <v/>
      </c>
      <c r="J565" s="23">
        <f>IF(A565="","",YEAR(A565))</f>
        <v/>
      </c>
    </row>
    <row r="566">
      <c r="A566" s="47" t="n"/>
      <c r="B566" s="40" t="n"/>
      <c r="C566" s="39" t="n"/>
      <c r="D566" s="39" t="n"/>
      <c r="E566" s="46" t="n"/>
      <c r="F566" s="40" t="n"/>
      <c r="G566" s="24">
        <f>IF(C566="","",IFERROR(INDEX(Casos!$B$5:$B$204,MATCH(C566,Casos!$A$5:$A$204,0)),""))</f>
        <v/>
      </c>
      <c r="H566" s="29">
        <f>IF(OR(B566="",E566=""),"",E566*IFERROR(INDEX(Config!$D$12:$D$21,MATCH(B566,Config!$A$12:$A$21,0)),Config!$B$23))</f>
        <v/>
      </c>
      <c r="I566" s="23">
        <f>IF(A566="","",MONTH(A566))</f>
        <v/>
      </c>
      <c r="J566" s="23">
        <f>IF(A566="","",YEAR(A566))</f>
        <v/>
      </c>
    </row>
    <row r="567">
      <c r="A567" s="47" t="n"/>
      <c r="B567" s="40" t="n"/>
      <c r="C567" s="39" t="n"/>
      <c r="D567" s="39" t="n"/>
      <c r="E567" s="46" t="n"/>
      <c r="F567" s="40" t="n"/>
      <c r="G567" s="24">
        <f>IF(C567="","",IFERROR(INDEX(Casos!$B$5:$B$204,MATCH(C567,Casos!$A$5:$A$204,0)),""))</f>
        <v/>
      </c>
      <c r="H567" s="29">
        <f>IF(OR(B567="",E567=""),"",E567*IFERROR(INDEX(Config!$D$12:$D$21,MATCH(B567,Config!$A$12:$A$21,0)),Config!$B$23))</f>
        <v/>
      </c>
      <c r="I567" s="23">
        <f>IF(A567="","",MONTH(A567))</f>
        <v/>
      </c>
      <c r="J567" s="23">
        <f>IF(A567="","",YEAR(A567))</f>
        <v/>
      </c>
    </row>
    <row r="568">
      <c r="A568" s="47" t="n"/>
      <c r="B568" s="40" t="n"/>
      <c r="C568" s="39" t="n"/>
      <c r="D568" s="39" t="n"/>
      <c r="E568" s="46" t="n"/>
      <c r="F568" s="40" t="n"/>
      <c r="G568" s="24">
        <f>IF(C568="","",IFERROR(INDEX(Casos!$B$5:$B$204,MATCH(C568,Casos!$A$5:$A$204,0)),""))</f>
        <v/>
      </c>
      <c r="H568" s="29">
        <f>IF(OR(B568="",E568=""),"",E568*IFERROR(INDEX(Config!$D$12:$D$21,MATCH(B568,Config!$A$12:$A$21,0)),Config!$B$23))</f>
        <v/>
      </c>
      <c r="I568" s="23">
        <f>IF(A568="","",MONTH(A568))</f>
        <v/>
      </c>
      <c r="J568" s="23">
        <f>IF(A568="","",YEAR(A568))</f>
        <v/>
      </c>
    </row>
    <row r="569">
      <c r="A569" s="47" t="n"/>
      <c r="B569" s="40" t="n"/>
      <c r="C569" s="39" t="n"/>
      <c r="D569" s="39" t="n"/>
      <c r="E569" s="46" t="n"/>
      <c r="F569" s="40" t="n"/>
      <c r="G569" s="24">
        <f>IF(C569="","",IFERROR(INDEX(Casos!$B$5:$B$204,MATCH(C569,Casos!$A$5:$A$204,0)),""))</f>
        <v/>
      </c>
      <c r="H569" s="29">
        <f>IF(OR(B569="",E569=""),"",E569*IFERROR(INDEX(Config!$D$12:$D$21,MATCH(B569,Config!$A$12:$A$21,0)),Config!$B$23))</f>
        <v/>
      </c>
      <c r="I569" s="23">
        <f>IF(A569="","",MONTH(A569))</f>
        <v/>
      </c>
      <c r="J569" s="23">
        <f>IF(A569="","",YEAR(A569))</f>
        <v/>
      </c>
    </row>
    <row r="570">
      <c r="A570" s="47" t="n"/>
      <c r="B570" s="40" t="n"/>
      <c r="C570" s="39" t="n"/>
      <c r="D570" s="39" t="n"/>
      <c r="E570" s="46" t="n"/>
      <c r="F570" s="40" t="n"/>
      <c r="G570" s="24">
        <f>IF(C570="","",IFERROR(INDEX(Casos!$B$5:$B$204,MATCH(C570,Casos!$A$5:$A$204,0)),""))</f>
        <v/>
      </c>
      <c r="H570" s="29">
        <f>IF(OR(B570="",E570=""),"",E570*IFERROR(INDEX(Config!$D$12:$D$21,MATCH(B570,Config!$A$12:$A$21,0)),Config!$B$23))</f>
        <v/>
      </c>
      <c r="I570" s="23">
        <f>IF(A570="","",MONTH(A570))</f>
        <v/>
      </c>
      <c r="J570" s="23">
        <f>IF(A570="","",YEAR(A570))</f>
        <v/>
      </c>
    </row>
    <row r="571">
      <c r="A571" s="47" t="n"/>
      <c r="B571" s="40" t="n"/>
      <c r="C571" s="39" t="n"/>
      <c r="D571" s="39" t="n"/>
      <c r="E571" s="46" t="n"/>
      <c r="F571" s="40" t="n"/>
      <c r="G571" s="24">
        <f>IF(C571="","",IFERROR(INDEX(Casos!$B$5:$B$204,MATCH(C571,Casos!$A$5:$A$204,0)),""))</f>
        <v/>
      </c>
      <c r="H571" s="29">
        <f>IF(OR(B571="",E571=""),"",E571*IFERROR(INDEX(Config!$D$12:$D$21,MATCH(B571,Config!$A$12:$A$21,0)),Config!$B$23))</f>
        <v/>
      </c>
      <c r="I571" s="23">
        <f>IF(A571="","",MONTH(A571))</f>
        <v/>
      </c>
      <c r="J571" s="23">
        <f>IF(A571="","",YEAR(A571))</f>
        <v/>
      </c>
    </row>
    <row r="572">
      <c r="A572" s="47" t="n"/>
      <c r="B572" s="40" t="n"/>
      <c r="C572" s="39" t="n"/>
      <c r="D572" s="39" t="n"/>
      <c r="E572" s="46" t="n"/>
      <c r="F572" s="40" t="n"/>
      <c r="G572" s="24">
        <f>IF(C572="","",IFERROR(INDEX(Casos!$B$5:$B$204,MATCH(C572,Casos!$A$5:$A$204,0)),""))</f>
        <v/>
      </c>
      <c r="H572" s="29">
        <f>IF(OR(B572="",E572=""),"",E572*IFERROR(INDEX(Config!$D$12:$D$21,MATCH(B572,Config!$A$12:$A$21,0)),Config!$B$23))</f>
        <v/>
      </c>
      <c r="I572" s="23">
        <f>IF(A572="","",MONTH(A572))</f>
        <v/>
      </c>
      <c r="J572" s="23">
        <f>IF(A572="","",YEAR(A572))</f>
        <v/>
      </c>
    </row>
    <row r="573">
      <c r="A573" s="47" t="n"/>
      <c r="B573" s="40" t="n"/>
      <c r="C573" s="39" t="n"/>
      <c r="D573" s="39" t="n"/>
      <c r="E573" s="46" t="n"/>
      <c r="F573" s="40" t="n"/>
      <c r="G573" s="24">
        <f>IF(C573="","",IFERROR(INDEX(Casos!$B$5:$B$204,MATCH(C573,Casos!$A$5:$A$204,0)),""))</f>
        <v/>
      </c>
      <c r="H573" s="29">
        <f>IF(OR(B573="",E573=""),"",E573*IFERROR(INDEX(Config!$D$12:$D$21,MATCH(B573,Config!$A$12:$A$21,0)),Config!$B$23))</f>
        <v/>
      </c>
      <c r="I573" s="23">
        <f>IF(A573="","",MONTH(A573))</f>
        <v/>
      </c>
      <c r="J573" s="23">
        <f>IF(A573="","",YEAR(A573))</f>
        <v/>
      </c>
    </row>
    <row r="574">
      <c r="A574" s="47" t="n"/>
      <c r="B574" s="40" t="n"/>
      <c r="C574" s="39" t="n"/>
      <c r="D574" s="39" t="n"/>
      <c r="E574" s="46" t="n"/>
      <c r="F574" s="40" t="n"/>
      <c r="G574" s="24">
        <f>IF(C574="","",IFERROR(INDEX(Casos!$B$5:$B$204,MATCH(C574,Casos!$A$5:$A$204,0)),""))</f>
        <v/>
      </c>
      <c r="H574" s="29">
        <f>IF(OR(B574="",E574=""),"",E574*IFERROR(INDEX(Config!$D$12:$D$21,MATCH(B574,Config!$A$12:$A$21,0)),Config!$B$23))</f>
        <v/>
      </c>
      <c r="I574" s="23">
        <f>IF(A574="","",MONTH(A574))</f>
        <v/>
      </c>
      <c r="J574" s="23">
        <f>IF(A574="","",YEAR(A574))</f>
        <v/>
      </c>
    </row>
    <row r="575">
      <c r="A575" s="47" t="n"/>
      <c r="B575" s="40" t="n"/>
      <c r="C575" s="39" t="n"/>
      <c r="D575" s="39" t="n"/>
      <c r="E575" s="46" t="n"/>
      <c r="F575" s="40" t="n"/>
      <c r="G575" s="24">
        <f>IF(C575="","",IFERROR(INDEX(Casos!$B$5:$B$204,MATCH(C575,Casos!$A$5:$A$204,0)),""))</f>
        <v/>
      </c>
      <c r="H575" s="29">
        <f>IF(OR(B575="",E575=""),"",E575*IFERROR(INDEX(Config!$D$12:$D$21,MATCH(B575,Config!$A$12:$A$21,0)),Config!$B$23))</f>
        <v/>
      </c>
      <c r="I575" s="23">
        <f>IF(A575="","",MONTH(A575))</f>
        <v/>
      </c>
      <c r="J575" s="23">
        <f>IF(A575="","",YEAR(A575))</f>
        <v/>
      </c>
    </row>
    <row r="576">
      <c r="A576" s="47" t="n"/>
      <c r="B576" s="40" t="n"/>
      <c r="C576" s="39" t="n"/>
      <c r="D576" s="39" t="n"/>
      <c r="E576" s="46" t="n"/>
      <c r="F576" s="40" t="n"/>
      <c r="G576" s="24">
        <f>IF(C576="","",IFERROR(INDEX(Casos!$B$5:$B$204,MATCH(C576,Casos!$A$5:$A$204,0)),""))</f>
        <v/>
      </c>
      <c r="H576" s="29">
        <f>IF(OR(B576="",E576=""),"",E576*IFERROR(INDEX(Config!$D$12:$D$21,MATCH(B576,Config!$A$12:$A$21,0)),Config!$B$23))</f>
        <v/>
      </c>
      <c r="I576" s="23">
        <f>IF(A576="","",MONTH(A576))</f>
        <v/>
      </c>
      <c r="J576" s="23">
        <f>IF(A576="","",YEAR(A576))</f>
        <v/>
      </c>
    </row>
    <row r="577">
      <c r="A577" s="47" t="n"/>
      <c r="B577" s="40" t="n"/>
      <c r="C577" s="39" t="n"/>
      <c r="D577" s="39" t="n"/>
      <c r="E577" s="46" t="n"/>
      <c r="F577" s="40" t="n"/>
      <c r="G577" s="24">
        <f>IF(C577="","",IFERROR(INDEX(Casos!$B$5:$B$204,MATCH(C577,Casos!$A$5:$A$204,0)),""))</f>
        <v/>
      </c>
      <c r="H577" s="29">
        <f>IF(OR(B577="",E577=""),"",E577*IFERROR(INDEX(Config!$D$12:$D$21,MATCH(B577,Config!$A$12:$A$21,0)),Config!$B$23))</f>
        <v/>
      </c>
      <c r="I577" s="23">
        <f>IF(A577="","",MONTH(A577))</f>
        <v/>
      </c>
      <c r="J577" s="23">
        <f>IF(A577="","",YEAR(A577))</f>
        <v/>
      </c>
    </row>
    <row r="578">
      <c r="A578" s="47" t="n"/>
      <c r="B578" s="40" t="n"/>
      <c r="C578" s="39" t="n"/>
      <c r="D578" s="39" t="n"/>
      <c r="E578" s="46" t="n"/>
      <c r="F578" s="40" t="n"/>
      <c r="G578" s="24">
        <f>IF(C578="","",IFERROR(INDEX(Casos!$B$5:$B$204,MATCH(C578,Casos!$A$5:$A$204,0)),""))</f>
        <v/>
      </c>
      <c r="H578" s="29">
        <f>IF(OR(B578="",E578=""),"",E578*IFERROR(INDEX(Config!$D$12:$D$21,MATCH(B578,Config!$A$12:$A$21,0)),Config!$B$23))</f>
        <v/>
      </c>
      <c r="I578" s="23">
        <f>IF(A578="","",MONTH(A578))</f>
        <v/>
      </c>
      <c r="J578" s="23">
        <f>IF(A578="","",YEAR(A578))</f>
        <v/>
      </c>
    </row>
    <row r="579">
      <c r="A579" s="47" t="n"/>
      <c r="B579" s="40" t="n"/>
      <c r="C579" s="39" t="n"/>
      <c r="D579" s="39" t="n"/>
      <c r="E579" s="46" t="n"/>
      <c r="F579" s="40" t="n"/>
      <c r="G579" s="24">
        <f>IF(C579="","",IFERROR(INDEX(Casos!$B$5:$B$204,MATCH(C579,Casos!$A$5:$A$204,0)),""))</f>
        <v/>
      </c>
      <c r="H579" s="29">
        <f>IF(OR(B579="",E579=""),"",E579*IFERROR(INDEX(Config!$D$12:$D$21,MATCH(B579,Config!$A$12:$A$21,0)),Config!$B$23))</f>
        <v/>
      </c>
      <c r="I579" s="23">
        <f>IF(A579="","",MONTH(A579))</f>
        <v/>
      </c>
      <c r="J579" s="23">
        <f>IF(A579="","",YEAR(A579))</f>
        <v/>
      </c>
    </row>
    <row r="580">
      <c r="A580" s="47" t="n"/>
      <c r="B580" s="40" t="n"/>
      <c r="C580" s="39" t="n"/>
      <c r="D580" s="39" t="n"/>
      <c r="E580" s="46" t="n"/>
      <c r="F580" s="40" t="n"/>
      <c r="G580" s="24">
        <f>IF(C580="","",IFERROR(INDEX(Casos!$B$5:$B$204,MATCH(C580,Casos!$A$5:$A$204,0)),""))</f>
        <v/>
      </c>
      <c r="H580" s="29">
        <f>IF(OR(B580="",E580=""),"",E580*IFERROR(INDEX(Config!$D$12:$D$21,MATCH(B580,Config!$A$12:$A$21,0)),Config!$B$23))</f>
        <v/>
      </c>
      <c r="I580" s="23">
        <f>IF(A580="","",MONTH(A580))</f>
        <v/>
      </c>
      <c r="J580" s="23">
        <f>IF(A580="","",YEAR(A580))</f>
        <v/>
      </c>
    </row>
    <row r="581">
      <c r="A581" s="47" t="n"/>
      <c r="B581" s="40" t="n"/>
      <c r="C581" s="39" t="n"/>
      <c r="D581" s="39" t="n"/>
      <c r="E581" s="46" t="n"/>
      <c r="F581" s="40" t="n"/>
      <c r="G581" s="24">
        <f>IF(C581="","",IFERROR(INDEX(Casos!$B$5:$B$204,MATCH(C581,Casos!$A$5:$A$204,0)),""))</f>
        <v/>
      </c>
      <c r="H581" s="29">
        <f>IF(OR(B581="",E581=""),"",E581*IFERROR(INDEX(Config!$D$12:$D$21,MATCH(B581,Config!$A$12:$A$21,0)),Config!$B$23))</f>
        <v/>
      </c>
      <c r="I581" s="23">
        <f>IF(A581="","",MONTH(A581))</f>
        <v/>
      </c>
      <c r="J581" s="23">
        <f>IF(A581="","",YEAR(A581))</f>
        <v/>
      </c>
    </row>
    <row r="582">
      <c r="A582" s="47" t="n"/>
      <c r="B582" s="40" t="n"/>
      <c r="C582" s="39" t="n"/>
      <c r="D582" s="39" t="n"/>
      <c r="E582" s="46" t="n"/>
      <c r="F582" s="40" t="n"/>
      <c r="G582" s="24">
        <f>IF(C582="","",IFERROR(INDEX(Casos!$B$5:$B$204,MATCH(C582,Casos!$A$5:$A$204,0)),""))</f>
        <v/>
      </c>
      <c r="H582" s="29">
        <f>IF(OR(B582="",E582=""),"",E582*IFERROR(INDEX(Config!$D$12:$D$21,MATCH(B582,Config!$A$12:$A$21,0)),Config!$B$23))</f>
        <v/>
      </c>
      <c r="I582" s="23">
        <f>IF(A582="","",MONTH(A582))</f>
        <v/>
      </c>
      <c r="J582" s="23">
        <f>IF(A582="","",YEAR(A582))</f>
        <v/>
      </c>
    </row>
    <row r="583">
      <c r="A583" s="47" t="n"/>
      <c r="B583" s="40" t="n"/>
      <c r="C583" s="39" t="n"/>
      <c r="D583" s="39" t="n"/>
      <c r="E583" s="46" t="n"/>
      <c r="F583" s="40" t="n"/>
      <c r="G583" s="24">
        <f>IF(C583="","",IFERROR(INDEX(Casos!$B$5:$B$204,MATCH(C583,Casos!$A$5:$A$204,0)),""))</f>
        <v/>
      </c>
      <c r="H583" s="29">
        <f>IF(OR(B583="",E583=""),"",E583*IFERROR(INDEX(Config!$D$12:$D$21,MATCH(B583,Config!$A$12:$A$21,0)),Config!$B$23))</f>
        <v/>
      </c>
      <c r="I583" s="23">
        <f>IF(A583="","",MONTH(A583))</f>
        <v/>
      </c>
      <c r="J583" s="23">
        <f>IF(A583="","",YEAR(A583))</f>
        <v/>
      </c>
    </row>
    <row r="584">
      <c r="A584" s="47" t="n"/>
      <c r="B584" s="40" t="n"/>
      <c r="C584" s="39" t="n"/>
      <c r="D584" s="39" t="n"/>
      <c r="E584" s="46" t="n"/>
      <c r="F584" s="40" t="n"/>
      <c r="G584" s="24">
        <f>IF(C584="","",IFERROR(INDEX(Casos!$B$5:$B$204,MATCH(C584,Casos!$A$5:$A$204,0)),""))</f>
        <v/>
      </c>
      <c r="H584" s="29">
        <f>IF(OR(B584="",E584=""),"",E584*IFERROR(INDEX(Config!$D$12:$D$21,MATCH(B584,Config!$A$12:$A$21,0)),Config!$B$23))</f>
        <v/>
      </c>
      <c r="I584" s="23">
        <f>IF(A584="","",MONTH(A584))</f>
        <v/>
      </c>
      <c r="J584" s="23">
        <f>IF(A584="","",YEAR(A584))</f>
        <v/>
      </c>
    </row>
    <row r="585">
      <c r="A585" s="47" t="n"/>
      <c r="B585" s="40" t="n"/>
      <c r="C585" s="39" t="n"/>
      <c r="D585" s="39" t="n"/>
      <c r="E585" s="46" t="n"/>
      <c r="F585" s="40" t="n"/>
      <c r="G585" s="24">
        <f>IF(C585="","",IFERROR(INDEX(Casos!$B$5:$B$204,MATCH(C585,Casos!$A$5:$A$204,0)),""))</f>
        <v/>
      </c>
      <c r="H585" s="29">
        <f>IF(OR(B585="",E585=""),"",E585*IFERROR(INDEX(Config!$D$12:$D$21,MATCH(B585,Config!$A$12:$A$21,0)),Config!$B$23))</f>
        <v/>
      </c>
      <c r="I585" s="23">
        <f>IF(A585="","",MONTH(A585))</f>
        <v/>
      </c>
      <c r="J585" s="23">
        <f>IF(A585="","",YEAR(A585))</f>
        <v/>
      </c>
    </row>
    <row r="586">
      <c r="A586" s="47" t="n"/>
      <c r="B586" s="40" t="n"/>
      <c r="C586" s="39" t="n"/>
      <c r="D586" s="39" t="n"/>
      <c r="E586" s="46" t="n"/>
      <c r="F586" s="40" t="n"/>
      <c r="G586" s="24">
        <f>IF(C586="","",IFERROR(INDEX(Casos!$B$5:$B$204,MATCH(C586,Casos!$A$5:$A$204,0)),""))</f>
        <v/>
      </c>
      <c r="H586" s="29">
        <f>IF(OR(B586="",E586=""),"",E586*IFERROR(INDEX(Config!$D$12:$D$21,MATCH(B586,Config!$A$12:$A$21,0)),Config!$B$23))</f>
        <v/>
      </c>
      <c r="I586" s="23">
        <f>IF(A586="","",MONTH(A586))</f>
        <v/>
      </c>
      <c r="J586" s="23">
        <f>IF(A586="","",YEAR(A586))</f>
        <v/>
      </c>
    </row>
    <row r="587">
      <c r="A587" s="47" t="n"/>
      <c r="B587" s="40" t="n"/>
      <c r="C587" s="39" t="n"/>
      <c r="D587" s="39" t="n"/>
      <c r="E587" s="46" t="n"/>
      <c r="F587" s="40" t="n"/>
      <c r="G587" s="24">
        <f>IF(C587="","",IFERROR(INDEX(Casos!$B$5:$B$204,MATCH(C587,Casos!$A$5:$A$204,0)),""))</f>
        <v/>
      </c>
      <c r="H587" s="29">
        <f>IF(OR(B587="",E587=""),"",E587*IFERROR(INDEX(Config!$D$12:$D$21,MATCH(B587,Config!$A$12:$A$21,0)),Config!$B$23))</f>
        <v/>
      </c>
      <c r="I587" s="23">
        <f>IF(A587="","",MONTH(A587))</f>
        <v/>
      </c>
      <c r="J587" s="23">
        <f>IF(A587="","",YEAR(A587))</f>
        <v/>
      </c>
    </row>
    <row r="588">
      <c r="A588" s="47" t="n"/>
      <c r="B588" s="40" t="n"/>
      <c r="C588" s="39" t="n"/>
      <c r="D588" s="39" t="n"/>
      <c r="E588" s="46" t="n"/>
      <c r="F588" s="40" t="n"/>
      <c r="G588" s="24">
        <f>IF(C588="","",IFERROR(INDEX(Casos!$B$5:$B$204,MATCH(C588,Casos!$A$5:$A$204,0)),""))</f>
        <v/>
      </c>
      <c r="H588" s="29">
        <f>IF(OR(B588="",E588=""),"",E588*IFERROR(INDEX(Config!$D$12:$D$21,MATCH(B588,Config!$A$12:$A$21,0)),Config!$B$23))</f>
        <v/>
      </c>
      <c r="I588" s="23">
        <f>IF(A588="","",MONTH(A588))</f>
        <v/>
      </c>
      <c r="J588" s="23">
        <f>IF(A588="","",YEAR(A588))</f>
        <v/>
      </c>
    </row>
    <row r="589">
      <c r="A589" s="47" t="n"/>
      <c r="B589" s="40" t="n"/>
      <c r="C589" s="39" t="n"/>
      <c r="D589" s="39" t="n"/>
      <c r="E589" s="46" t="n"/>
      <c r="F589" s="40" t="n"/>
      <c r="G589" s="24">
        <f>IF(C589="","",IFERROR(INDEX(Casos!$B$5:$B$204,MATCH(C589,Casos!$A$5:$A$204,0)),""))</f>
        <v/>
      </c>
      <c r="H589" s="29">
        <f>IF(OR(B589="",E589=""),"",E589*IFERROR(INDEX(Config!$D$12:$D$21,MATCH(B589,Config!$A$12:$A$21,0)),Config!$B$23))</f>
        <v/>
      </c>
      <c r="I589" s="23">
        <f>IF(A589="","",MONTH(A589))</f>
        <v/>
      </c>
      <c r="J589" s="23">
        <f>IF(A589="","",YEAR(A589))</f>
        <v/>
      </c>
    </row>
    <row r="590">
      <c r="A590" s="47" t="n"/>
      <c r="B590" s="40" t="n"/>
      <c r="C590" s="39" t="n"/>
      <c r="D590" s="39" t="n"/>
      <c r="E590" s="46" t="n"/>
      <c r="F590" s="40" t="n"/>
      <c r="G590" s="24">
        <f>IF(C590="","",IFERROR(INDEX(Casos!$B$5:$B$204,MATCH(C590,Casos!$A$5:$A$204,0)),""))</f>
        <v/>
      </c>
      <c r="H590" s="29">
        <f>IF(OR(B590="",E590=""),"",E590*IFERROR(INDEX(Config!$D$12:$D$21,MATCH(B590,Config!$A$12:$A$21,0)),Config!$B$23))</f>
        <v/>
      </c>
      <c r="I590" s="23">
        <f>IF(A590="","",MONTH(A590))</f>
        <v/>
      </c>
      <c r="J590" s="23">
        <f>IF(A590="","",YEAR(A590))</f>
        <v/>
      </c>
    </row>
    <row r="591">
      <c r="A591" s="47" t="n"/>
      <c r="B591" s="40" t="n"/>
      <c r="C591" s="39" t="n"/>
      <c r="D591" s="39" t="n"/>
      <c r="E591" s="46" t="n"/>
      <c r="F591" s="40" t="n"/>
      <c r="G591" s="24">
        <f>IF(C591="","",IFERROR(INDEX(Casos!$B$5:$B$204,MATCH(C591,Casos!$A$5:$A$204,0)),""))</f>
        <v/>
      </c>
      <c r="H591" s="29">
        <f>IF(OR(B591="",E591=""),"",E591*IFERROR(INDEX(Config!$D$12:$D$21,MATCH(B591,Config!$A$12:$A$21,0)),Config!$B$23))</f>
        <v/>
      </c>
      <c r="I591" s="23">
        <f>IF(A591="","",MONTH(A591))</f>
        <v/>
      </c>
      <c r="J591" s="23">
        <f>IF(A591="","",YEAR(A591))</f>
        <v/>
      </c>
    </row>
    <row r="592">
      <c r="A592" s="47" t="n"/>
      <c r="B592" s="40" t="n"/>
      <c r="C592" s="39" t="n"/>
      <c r="D592" s="39" t="n"/>
      <c r="E592" s="46" t="n"/>
      <c r="F592" s="40" t="n"/>
      <c r="G592" s="24">
        <f>IF(C592="","",IFERROR(INDEX(Casos!$B$5:$B$204,MATCH(C592,Casos!$A$5:$A$204,0)),""))</f>
        <v/>
      </c>
      <c r="H592" s="29">
        <f>IF(OR(B592="",E592=""),"",E592*IFERROR(INDEX(Config!$D$12:$D$21,MATCH(B592,Config!$A$12:$A$21,0)),Config!$B$23))</f>
        <v/>
      </c>
      <c r="I592" s="23">
        <f>IF(A592="","",MONTH(A592))</f>
        <v/>
      </c>
      <c r="J592" s="23">
        <f>IF(A592="","",YEAR(A592))</f>
        <v/>
      </c>
    </row>
    <row r="593">
      <c r="A593" s="47" t="n"/>
      <c r="B593" s="40" t="n"/>
      <c r="C593" s="39" t="n"/>
      <c r="D593" s="39" t="n"/>
      <c r="E593" s="46" t="n"/>
      <c r="F593" s="40" t="n"/>
      <c r="G593" s="24">
        <f>IF(C593="","",IFERROR(INDEX(Casos!$B$5:$B$204,MATCH(C593,Casos!$A$5:$A$204,0)),""))</f>
        <v/>
      </c>
      <c r="H593" s="29">
        <f>IF(OR(B593="",E593=""),"",E593*IFERROR(INDEX(Config!$D$12:$D$21,MATCH(B593,Config!$A$12:$A$21,0)),Config!$B$23))</f>
        <v/>
      </c>
      <c r="I593" s="23">
        <f>IF(A593="","",MONTH(A593))</f>
        <v/>
      </c>
      <c r="J593" s="23">
        <f>IF(A593="","",YEAR(A593))</f>
        <v/>
      </c>
    </row>
    <row r="594">
      <c r="A594" s="47" t="n"/>
      <c r="B594" s="40" t="n"/>
      <c r="C594" s="39" t="n"/>
      <c r="D594" s="39" t="n"/>
      <c r="E594" s="46" t="n"/>
      <c r="F594" s="40" t="n"/>
      <c r="G594" s="24">
        <f>IF(C594="","",IFERROR(INDEX(Casos!$B$5:$B$204,MATCH(C594,Casos!$A$5:$A$204,0)),""))</f>
        <v/>
      </c>
      <c r="H594" s="29">
        <f>IF(OR(B594="",E594=""),"",E594*IFERROR(INDEX(Config!$D$12:$D$21,MATCH(B594,Config!$A$12:$A$21,0)),Config!$B$23))</f>
        <v/>
      </c>
      <c r="I594" s="23">
        <f>IF(A594="","",MONTH(A594))</f>
        <v/>
      </c>
      <c r="J594" s="23">
        <f>IF(A594="","",YEAR(A594))</f>
        <v/>
      </c>
    </row>
    <row r="595">
      <c r="A595" s="47" t="n"/>
      <c r="B595" s="40" t="n"/>
      <c r="C595" s="39" t="n"/>
      <c r="D595" s="39" t="n"/>
      <c r="E595" s="46" t="n"/>
      <c r="F595" s="40" t="n"/>
      <c r="G595" s="24">
        <f>IF(C595="","",IFERROR(INDEX(Casos!$B$5:$B$204,MATCH(C595,Casos!$A$5:$A$204,0)),""))</f>
        <v/>
      </c>
      <c r="H595" s="29">
        <f>IF(OR(B595="",E595=""),"",E595*IFERROR(INDEX(Config!$D$12:$D$21,MATCH(B595,Config!$A$12:$A$21,0)),Config!$B$23))</f>
        <v/>
      </c>
      <c r="I595" s="23">
        <f>IF(A595="","",MONTH(A595))</f>
        <v/>
      </c>
      <c r="J595" s="23">
        <f>IF(A595="","",YEAR(A595))</f>
        <v/>
      </c>
    </row>
    <row r="596">
      <c r="A596" s="47" t="n"/>
      <c r="B596" s="40" t="n"/>
      <c r="C596" s="39" t="n"/>
      <c r="D596" s="39" t="n"/>
      <c r="E596" s="46" t="n"/>
      <c r="F596" s="40" t="n"/>
      <c r="G596" s="24">
        <f>IF(C596="","",IFERROR(INDEX(Casos!$B$5:$B$204,MATCH(C596,Casos!$A$5:$A$204,0)),""))</f>
        <v/>
      </c>
      <c r="H596" s="29">
        <f>IF(OR(B596="",E596=""),"",E596*IFERROR(INDEX(Config!$D$12:$D$21,MATCH(B596,Config!$A$12:$A$21,0)),Config!$B$23))</f>
        <v/>
      </c>
      <c r="I596" s="23">
        <f>IF(A596="","",MONTH(A596))</f>
        <v/>
      </c>
      <c r="J596" s="23">
        <f>IF(A596="","",YEAR(A596))</f>
        <v/>
      </c>
    </row>
    <row r="597">
      <c r="A597" s="47" t="n"/>
      <c r="B597" s="40" t="n"/>
      <c r="C597" s="39" t="n"/>
      <c r="D597" s="39" t="n"/>
      <c r="E597" s="46" t="n"/>
      <c r="F597" s="40" t="n"/>
      <c r="G597" s="24">
        <f>IF(C597="","",IFERROR(INDEX(Casos!$B$5:$B$204,MATCH(C597,Casos!$A$5:$A$204,0)),""))</f>
        <v/>
      </c>
      <c r="H597" s="29">
        <f>IF(OR(B597="",E597=""),"",E597*IFERROR(INDEX(Config!$D$12:$D$21,MATCH(B597,Config!$A$12:$A$21,0)),Config!$B$23))</f>
        <v/>
      </c>
      <c r="I597" s="23">
        <f>IF(A597="","",MONTH(A597))</f>
        <v/>
      </c>
      <c r="J597" s="23">
        <f>IF(A597="","",YEAR(A597))</f>
        <v/>
      </c>
    </row>
    <row r="598">
      <c r="A598" s="47" t="n"/>
      <c r="B598" s="40" t="n"/>
      <c r="C598" s="39" t="n"/>
      <c r="D598" s="39" t="n"/>
      <c r="E598" s="46" t="n"/>
      <c r="F598" s="40" t="n"/>
      <c r="G598" s="24">
        <f>IF(C598="","",IFERROR(INDEX(Casos!$B$5:$B$204,MATCH(C598,Casos!$A$5:$A$204,0)),""))</f>
        <v/>
      </c>
      <c r="H598" s="29">
        <f>IF(OR(B598="",E598=""),"",E598*IFERROR(INDEX(Config!$D$12:$D$21,MATCH(B598,Config!$A$12:$A$21,0)),Config!$B$23))</f>
        <v/>
      </c>
      <c r="I598" s="23">
        <f>IF(A598="","",MONTH(A598))</f>
        <v/>
      </c>
      <c r="J598" s="23">
        <f>IF(A598="","",YEAR(A598))</f>
        <v/>
      </c>
    </row>
    <row r="599">
      <c r="A599" s="47" t="n"/>
      <c r="B599" s="40" t="n"/>
      <c r="C599" s="39" t="n"/>
      <c r="D599" s="39" t="n"/>
      <c r="E599" s="46" t="n"/>
      <c r="F599" s="40" t="n"/>
      <c r="G599" s="24">
        <f>IF(C599="","",IFERROR(INDEX(Casos!$B$5:$B$204,MATCH(C599,Casos!$A$5:$A$204,0)),""))</f>
        <v/>
      </c>
      <c r="H599" s="29">
        <f>IF(OR(B599="",E599=""),"",E599*IFERROR(INDEX(Config!$D$12:$D$21,MATCH(B599,Config!$A$12:$A$21,0)),Config!$B$23))</f>
        <v/>
      </c>
      <c r="I599" s="23">
        <f>IF(A599="","",MONTH(A599))</f>
        <v/>
      </c>
      <c r="J599" s="23">
        <f>IF(A599="","",YEAR(A599))</f>
        <v/>
      </c>
    </row>
    <row r="600">
      <c r="A600" s="47" t="n"/>
      <c r="B600" s="40" t="n"/>
      <c r="C600" s="39" t="n"/>
      <c r="D600" s="39" t="n"/>
      <c r="E600" s="46" t="n"/>
      <c r="F600" s="40" t="n"/>
      <c r="G600" s="24">
        <f>IF(C600="","",IFERROR(INDEX(Casos!$B$5:$B$204,MATCH(C600,Casos!$A$5:$A$204,0)),""))</f>
        <v/>
      </c>
      <c r="H600" s="29">
        <f>IF(OR(B600="",E600=""),"",E600*IFERROR(INDEX(Config!$D$12:$D$21,MATCH(B600,Config!$A$12:$A$21,0)),Config!$B$23))</f>
        <v/>
      </c>
      <c r="I600" s="23">
        <f>IF(A600="","",MONTH(A600))</f>
        <v/>
      </c>
      <c r="J600" s="23">
        <f>IF(A600="","",YEAR(A600))</f>
        <v/>
      </c>
    </row>
    <row r="601">
      <c r="A601" s="47" t="n"/>
      <c r="B601" s="40" t="n"/>
      <c r="C601" s="39" t="n"/>
      <c r="D601" s="39" t="n"/>
      <c r="E601" s="46" t="n"/>
      <c r="F601" s="40" t="n"/>
      <c r="G601" s="24">
        <f>IF(C601="","",IFERROR(INDEX(Casos!$B$5:$B$204,MATCH(C601,Casos!$A$5:$A$204,0)),""))</f>
        <v/>
      </c>
      <c r="H601" s="29">
        <f>IF(OR(B601="",E601=""),"",E601*IFERROR(INDEX(Config!$D$12:$D$21,MATCH(B601,Config!$A$12:$A$21,0)),Config!$B$23))</f>
        <v/>
      </c>
      <c r="I601" s="23">
        <f>IF(A601="","",MONTH(A601))</f>
        <v/>
      </c>
      <c r="J601" s="23">
        <f>IF(A601="","",YEAR(A601))</f>
        <v/>
      </c>
    </row>
    <row r="602">
      <c r="A602" s="47" t="n"/>
      <c r="B602" s="40" t="n"/>
      <c r="C602" s="39" t="n"/>
      <c r="D602" s="39" t="n"/>
      <c r="E602" s="46" t="n"/>
      <c r="F602" s="40" t="n"/>
      <c r="G602" s="24">
        <f>IF(C602="","",IFERROR(INDEX(Casos!$B$5:$B$204,MATCH(C602,Casos!$A$5:$A$204,0)),""))</f>
        <v/>
      </c>
      <c r="H602" s="29">
        <f>IF(OR(B602="",E602=""),"",E602*IFERROR(INDEX(Config!$D$12:$D$21,MATCH(B602,Config!$A$12:$A$21,0)),Config!$B$23))</f>
        <v/>
      </c>
      <c r="I602" s="23">
        <f>IF(A602="","",MONTH(A602))</f>
        <v/>
      </c>
      <c r="J602" s="23">
        <f>IF(A602="","",YEAR(A602))</f>
        <v/>
      </c>
    </row>
    <row r="603">
      <c r="A603" s="47" t="n"/>
      <c r="B603" s="40" t="n"/>
      <c r="C603" s="39" t="n"/>
      <c r="D603" s="39" t="n"/>
      <c r="E603" s="46" t="n"/>
      <c r="F603" s="40" t="n"/>
      <c r="G603" s="24">
        <f>IF(C603="","",IFERROR(INDEX(Casos!$B$5:$B$204,MATCH(C603,Casos!$A$5:$A$204,0)),""))</f>
        <v/>
      </c>
      <c r="H603" s="29">
        <f>IF(OR(B603="",E603=""),"",E603*IFERROR(INDEX(Config!$D$12:$D$21,MATCH(B603,Config!$A$12:$A$21,0)),Config!$B$23))</f>
        <v/>
      </c>
      <c r="I603" s="23">
        <f>IF(A603="","",MONTH(A603))</f>
        <v/>
      </c>
      <c r="J603" s="23">
        <f>IF(A603="","",YEAR(A603))</f>
        <v/>
      </c>
    </row>
    <row r="604">
      <c r="A604" s="47" t="n"/>
      <c r="B604" s="40" t="n"/>
      <c r="C604" s="39" t="n"/>
      <c r="D604" s="39" t="n"/>
      <c r="E604" s="46" t="n"/>
      <c r="F604" s="40" t="n"/>
      <c r="G604" s="24">
        <f>IF(C604="","",IFERROR(INDEX(Casos!$B$5:$B$204,MATCH(C604,Casos!$A$5:$A$204,0)),""))</f>
        <v/>
      </c>
      <c r="H604" s="29">
        <f>IF(OR(B604="",E604=""),"",E604*IFERROR(INDEX(Config!$D$12:$D$21,MATCH(B604,Config!$A$12:$A$21,0)),Config!$B$23))</f>
        <v/>
      </c>
      <c r="I604" s="23">
        <f>IF(A604="","",MONTH(A604))</f>
        <v/>
      </c>
      <c r="J604" s="23">
        <f>IF(A604="","",YEAR(A604))</f>
        <v/>
      </c>
    </row>
    <row r="606">
      <c r="A606" s="20" t="inlineStr">
        <is>
          <t>Faturável em vermelho: lançamento sem dizer se a hora é faturável. Faturável = hora que o cliente paga (direta ou dentro do valor fixo); reunião interna, deslocamento não cobrado e administração não são.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J604"/>
  <mergeCells count="2">
    <mergeCell ref="A1:J1"/>
    <mergeCell ref="A2:J2"/>
  </mergeCells>
  <conditionalFormatting sqref="F5:F604">
    <cfRule type="expression" priority="1" dxfId="5">
      <formula>AND($C5&lt;&gt;"",$F5="")</formula>
    </cfRule>
  </conditionalFormatting>
  <dataValidations count="6">
    <dataValidation sqref="B5:B604" showDropDown="0" showInputMessage="0" showErrorMessage="0" allowBlank="1" type="list">
      <formula1>=OFFSET(Config!$A$12,0,0,MAX(1,COUNTA(Config!$A$12:$A$21)),1)</formula1>
    </dataValidation>
    <dataValidation sqref="C5:C604" showDropDown="0" showInputMessage="0" showErrorMessage="0" allowBlank="1" type="list">
      <formula1>=OFFSET(Casos!$A$5,0,0,MAX(1,COUNTA(Casos!$A$5:$A$204)),1)</formula1>
    </dataValidation>
    <dataValidation sqref="D5:D604" showDropDown="0" showInputMessage="0" showErrorMessage="0" allowBlank="1" type="list">
      <formula1>=OFFSET(Config!$F$12,0,0,MAX(1,COUNTA(Config!$F$12:$F$23)),1)</formula1>
    </dataValidation>
    <dataValidation sqref="F5:F604" showDropDown="0" showInputMessage="0" showErrorMessage="1" allowBlank="1" type="list">
      <formula1>"Sim,Não"</formula1>
    </dataValidation>
    <dataValidation sqref="A5:A604" showDropDown="0" showInputMessage="0" showErrorMessage="0" allowBlank="1" type="date" operator="greaterThan">
      <formula1>1</formula1>
    </dataValidation>
    <dataValidation sqref="E5:E604" showDropDown="0" showInputMessage="0" showErrorMessage="0" allowBlank="1" type="decimal" operator="between">
      <formula1>0</formula1>
      <formula2>24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Horas por Caso e por Pessoa · Kit de Gestão para Advogados</dc:title>
  <dcterms:created xmlns:dcterms="http://purl.org/dc/terms/" xmlns:xsi="http://www.w3.org/2001/XMLSchema-instance" xsi:type="dcterms:W3CDTF">2026-09-14T09:39:43Z</dcterms:created>
  <dcterms:modified xmlns:dcterms="http://purl.org/dc/terms/" xmlns:xsi="http://www.w3.org/2001/XMLSchema-instance" xsi:type="dcterms:W3CDTF">2026-09-14T09:39:44Z</dcterms:modified>
</cp:coreProperties>
</file>