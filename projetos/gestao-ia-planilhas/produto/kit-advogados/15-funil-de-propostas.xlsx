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ropostas" sheetId="4" state="visible" r:id="rId4"/>
  </sheets>
  <definedNames>
    <definedName name="_xlnm._FilterDatabase" localSheetId="3" hidden="1">'Propostas'!$A$4:$Q$304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;[Red]-&quot;R$&quot; #,##0"/>
  </numFmts>
  <fonts count="16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166" fontId="1" fillId="4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6" fontId="10" fillId="6" borderId="0" applyAlignment="1" pivotButton="0" quotePrefix="0" xfId="0">
      <alignment horizontal="center"/>
    </xf>
    <xf numFmtId="9" fontId="10" fillId="6" borderId="0" applyAlignment="1" pivotButton="0" quotePrefix="0" xfId="0">
      <alignment horizontal="center"/>
    </xf>
    <xf numFmtId="9" fontId="1" fillId="4" borderId="0" applyAlignment="1" pivotButton="0" quotePrefix="0" xfId="0">
      <alignment horizontal="center"/>
    </xf>
    <xf numFmtId="1" fontId="1" fillId="4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2" fillId="0" borderId="1" pivotButton="0" quotePrefix="0" xfId="0"/>
    <xf numFmtId="1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166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5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b val="1"/>
        <color rgb="00155E3C"/>
        <sz val="10"/>
      </font>
    </dxf>
    <dxf>
      <font>
        <name val="Arial"/>
        <color rgb="008A86A0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por etapa (R$)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'Painel'!C10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'Painel'!$A$11:$A$14</f>
            </numRef>
          </cat>
          <val>
            <numRef>
              <f>'Painel'!$C$11:$C$14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46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Funil de Propostas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registra cada proposta de honorários com valor e etapa; ela calcula a previsão ponderada, mostra o funil por etapa, o que está parado ou com previsão vencida, a taxa de fechamento por área e origem e por que o escritório perde propostas.</t>
        </is>
      </c>
    </row>
    <row r="5" ht="46" customHeight="1">
      <c r="A5" s="3" t="inlineStr">
        <is>
          <t>Passo 1</t>
        </is>
      </c>
      <c r="B5" s="4" t="inlineStr">
        <is>
          <t>Em Config, preencha a meta de honorários fechados no trimestre, o limite de "parada" (14 dias é um bom padrão), as áreas, origens, motivos de perda, responsáveis e serviços. Ajuste as probabilidades por etapa se a sua experiência for diferente.</t>
        </is>
      </c>
    </row>
    <row r="6" ht="46" customHeight="1">
      <c r="A6" s="3" t="inlineStr">
        <is>
          <t>Passo 2</t>
        </is>
      </c>
      <c r="B6" s="4" t="inlineStr">
        <is>
          <t>Em Propostas, uma linha por proposta: cliente, área, serviço, origem, responsável, valor, etapa e datas. Sempre que falar com o cliente, atualize a última movimentação.</t>
        </is>
      </c>
    </row>
    <row r="7" ht="46" customHeight="1">
      <c r="A7" s="3" t="inlineStr">
        <is>
          <t>Passo 3</t>
        </is>
      </c>
      <c r="B7" s="4" t="inlineStr">
        <is>
          <t>Ao fechar, mude a etapa para Fechada ou Perdida e preencha a data. Se perdida, anote o motivo: é a parte mais valiosa da planilha.</t>
        </is>
      </c>
    </row>
    <row r="8" ht="46" customHeight="1">
      <c r="A8" s="3" t="inlineStr">
        <is>
          <t>Passo 4</t>
        </is>
      </c>
      <c r="B8" s="4" t="inlineStr">
        <is>
          <t>Em Painel, veja o funil, a previsão ponderada, a lista "O que mexer primeiro", a taxa de fechamento por área e origem e os motivos de perda.</t>
        </is>
      </c>
    </row>
    <row r="9" ht="46" customHeight="1">
      <c r="A9" s="3" t="inlineStr">
        <is>
          <t>Rotina</t>
        </is>
      </c>
      <c r="B9" s="4" t="inlineStr">
        <is>
          <t>Sexta-feira, 10 minutos: atualizar etapas e datas, retomar as paradas. Dia 1 do mês: comparar o fechado com a meta e olhar os motivos de perda.</t>
        </is>
      </c>
    </row>
    <row r="10" ht="46" customHeight="1">
      <c r="A10" s="3" t="inlineStr">
        <is>
          <t>Com a IA</t>
        </is>
      </c>
      <c r="B10" s="4" t="inlineStr">
        <is>
          <t>Copie "Motivos de perda" e use o prompt "Clientes 06 · Por que as propostas não fecham" da biblioteca; para uma proposta parada, "Honorários 02 · Revisar a proposta pela margem" antes de retomar o contato. A proposta fechada vira caso na planilha 13 (Carteira).</t>
        </is>
      </c>
    </row>
    <row r="11" ht="46" customHeight="1">
      <c r="A11" s="3" t="inlineStr">
        <is>
          <t>Exemplo</t>
        </is>
      </c>
      <c r="B11" s="4" t="inlineStr">
        <is>
          <t>O funil traz 20 propostas de junho a setembro de 2026: as 7 fechadas viraram casos na planilha 13 (abertura no mês do fechamento) e as 10 mais recentes já enviadas são as mesmas do Registro da planilha 07.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Ferraz &amp; Lima Advocacia é um escritório fictício. Clientes, processos, nomes e valores são inventados. Apague-os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16" customWidth="1" min="4" max="4"/>
    <col width="15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5" t="str">
        <f>Config!$B$4&amp;" · Funil de propostas · "&amp;TEXT(DAY(Config!$B$5),"00")&amp;"/"&amp;TEXT(MONTH(Config!$B$5),"00")&amp;"/"&amp;YEAR(Config!$B$5)</f>
        <v>Ferraz &amp; Lima Advocacia (exemplo fictício) · Funil de propostas · 14/09/2026</v>
      </c>
    </row>
    <row r="2">
      <c r="A2" s="6" t="inlineStr">
        <is>
          <t>Nada para digitar aqui: tudo vem de Propostas e Config.</t>
        </is>
      </c>
    </row>
    <row r="4">
      <c r="A4" s="7" t="inlineStr">
        <is>
          <t>Em aberto (R$)</t>
        </is>
      </c>
      <c r="B4" s="8" t="n"/>
      <c r="C4" s="9" t="inlineStr">
        <is>
          <t>Previsão ponderada</t>
        </is>
      </c>
      <c r="D4" s="10" t="n"/>
      <c r="E4" s="11" t="inlineStr">
        <is>
          <t>Fechado no trimestre</t>
        </is>
      </c>
      <c r="F4" s="12" t="n"/>
      <c r="G4" s="11" t="inlineStr">
        <is>
          <t>% da meta</t>
        </is>
      </c>
      <c r="H4" s="12" t="n"/>
      <c r="I4" s="7" t="inlineStr">
        <is>
          <t>Taxa de fechamento</t>
        </is>
      </c>
      <c r="J4" s="8" t="n"/>
      <c r="K4" s="7" t="inlineStr">
        <is>
          <t>Dias até fechar (média)</t>
        </is>
      </c>
      <c r="L4" s="8" t="n"/>
    </row>
    <row r="5" ht="30" customHeight="1">
      <c r="A5" s="13">
        <f>SUMIFS(Propostas!$F$5:$F$304,Propostas!$G$5:$G$304,"&lt;&gt;Fechada",Propostas!$G$5:$G$304,"&lt;&gt;Perdida",Propostas!$G$5:$G$304,"&lt;&gt;")</f>
        <v>72900</v>
      </c>
      <c r="B5" s="8" t="n"/>
      <c r="C5" s="14">
        <f>SUMIFS(Propostas!$N$5:$N$304,Propostas!$G$5:$G$304,"&lt;&gt;Fechada",Propostas!$G$5:$G$304,"&lt;&gt;Perdida",Propostas!$G$5:$G$304,"&lt;&gt;")</f>
        <v>30805</v>
      </c>
      <c r="D5" s="10" t="n"/>
      <c r="E5" s="15">
        <f>SUMIFS(Propostas!$F$5:$F$304,Propostas!$G$5:$G$304,"Fechada",Propostas!$K$5:$K$304,"&gt;="&amp;DATE(YEAR(Config!$B$5),3*INT((MONTH(Config!$B$5)-1)/3)+1,1),Propostas!$K$5:$K$304,"&lt;"&amp;DATE(YEAR(Config!$B$5)+(3*INT((MONTH(Config!$B$5)-1)/3)+4&gt;12),IF(3*INT((MONTH(Config!$B$5)-1)/3)+4&gt;12,1,3*INT((MONTH(Config!$B$5)-1)/3)+4),1))</f>
        <v>53000</v>
      </c>
      <c r="F5" s="12" t="n"/>
      <c r="G5" s="16">
        <f>IFERROR(E5/Config!$B$6,0)</f>
        <v>0.883333333333333</v>
      </c>
      <c r="H5" s="12" t="n"/>
      <c r="I5" s="17">
        <f>IFERROR(COUNTIFS(Propostas!$G$5:$G$304,"Fechada")/(COUNTIFS(Propostas!$G$5:$G$304,"Fechada")+COUNTIFS(Propostas!$G$5:$G$304,"Perdida")),0)</f>
        <v>0.636363636363636</v>
      </c>
      <c r="J5" s="8" t="n"/>
      <c r="K5" s="18">
        <f>IFERROR(AVERAGEIFS(Propostas!$P$5:$P$304,Propostas!$G$5:$G$304,"Fechada"),0)</f>
        <v>19.5714285714286</v>
      </c>
      <c r="L5" s="8" t="n"/>
    </row>
    <row r="7">
      <c r="A7" s="19" t="inlineStr">
        <is>
          <t>Taxa de fechamento = fechadas ÷ (fechadas + perdidas). Dias até fechar = da data de entrada à data de fechamento, média das fechadas.</t>
        </is>
      </c>
    </row>
    <row r="9">
      <c r="A9" s="20" t="inlineStr">
        <is>
          <t>Funil por etapa</t>
        </is>
      </c>
    </row>
    <row r="10" ht="26" customHeight="1">
      <c r="A10" s="21" t="inlineStr">
        <is>
          <t>Etapa</t>
        </is>
      </c>
      <c r="B10" s="21" t="inlineStr">
        <is>
          <t>Propostas</t>
        </is>
      </c>
      <c r="C10" s="21" t="inlineStr">
        <is>
          <t>Valor (R$)</t>
        </is>
      </c>
      <c r="D10" s="21" t="inlineStr">
        <is>
          <t>Ponderado (R$)</t>
        </is>
      </c>
      <c r="E10" s="21" t="inlineStr">
        <is>
          <t>Taxa de passagem</t>
        </is>
      </c>
      <c r="F10" s="21" t="inlineStr">
        <is>
          <t>Barra</t>
        </is>
      </c>
      <c r="G10" s="22" t="n"/>
      <c r="H10" s="23" t="n"/>
    </row>
    <row r="11">
      <c r="A11" s="24" t="str">
        <f>Config!$A$10</f>
        <v>Contato</v>
      </c>
      <c r="B11" s="25">
        <f>COUNTIFS(Propostas!$G$5:$G$304,A11)</f>
        <v>2</v>
      </c>
      <c r="C11" s="26">
        <f>SUMIFS(Propostas!$F$5:$F$304,Propostas!$G$5:$G$304,A11)</f>
        <v>18800</v>
      </c>
      <c r="D11" s="26">
        <f>SUMIFS(Propostas!$N$5:$N$304,Propostas!$G$5:$G$304,A11)</f>
        <v>1880</v>
      </c>
      <c r="E11" s="27">
        <f>IFERROR((COUNTIFS(Propostas!$G$5:$G$304,Config!$A$11)+COUNTIFS(Propostas!$G$5:$G$304,Config!$A$12)+COUNTIFS(Propostas!$G$5:$G$304,Config!$A$13)+COUNTIFS(Propostas!$G$5:$G$304,Config!$A$14)+COUNTIFS(Propostas!$G$5:$G$304,Config!$A$15))/(B11+COUNTIFS(Propostas!$G$5:$G$304,Config!$A$11)+COUNTIFS(Propostas!$G$5:$G$304,Config!$A$12)+COUNTIFS(Propostas!$G$5:$G$304,Config!$A$13)+COUNTIFS(Propostas!$G$5:$G$304,Config!$A$14)+COUNTIFS(Propostas!$G$5:$G$304,Config!$A$15)),0)</f>
        <v>0.9</v>
      </c>
      <c r="F11" s="28" t="str">
        <f>REPT("█",ROUND(IFERROR(C11/MAX($C$11:$C$14),0)*30,0))</f>
        <v>███████████████████████████</v>
      </c>
      <c r="G11" s="22" t="n"/>
      <c r="H11" s="23" t="n"/>
    </row>
    <row r="12">
      <c r="A12" s="24" t="str">
        <f>Config!$A$11</f>
        <v>Reunião feita</v>
      </c>
      <c r="B12" s="25">
        <f>COUNTIFS(Propostas!$G$5:$G$304,A12)</f>
        <v>2</v>
      </c>
      <c r="C12" s="26">
        <f>SUMIFS(Propostas!$F$5:$F$304,Propostas!$G$5:$G$304,A12)</f>
        <v>13700</v>
      </c>
      <c r="D12" s="26">
        <f>SUMIFS(Propostas!$N$5:$N$304,Propostas!$G$5:$G$304,A12)</f>
        <v>3425</v>
      </c>
      <c r="E12" s="27">
        <f>IFERROR((COUNTIFS(Propostas!$G$5:$G$304,Config!$A$12)+COUNTIFS(Propostas!$G$5:$G$304,Config!$A$13)+COUNTIFS(Propostas!$G$5:$G$304,Config!$A$14)+COUNTIFS(Propostas!$G$5:$G$304,Config!$A$15))/(B12+COUNTIFS(Propostas!$G$5:$G$304,Config!$A$12)+COUNTIFS(Propostas!$G$5:$G$304,Config!$A$13)+COUNTIFS(Propostas!$G$5:$G$304,Config!$A$14)+COUNTIFS(Propostas!$G$5:$G$304,Config!$A$15)),0)</f>
        <v>0.888888888888889</v>
      </c>
      <c r="F12" s="28" t="str">
        <f>REPT("█",ROUND(IFERROR(C12/MAX($C$11:$C$14),0)*30,0))</f>
        <v>███████████████████</v>
      </c>
      <c r="G12" s="22" t="n"/>
      <c r="H12" s="23" t="n"/>
    </row>
    <row r="13">
      <c r="A13" s="24" t="str">
        <f>Config!$A$12</f>
        <v>Proposta enviada</v>
      </c>
      <c r="B13" s="25">
        <f>COUNTIFS(Propostas!$G$5:$G$304,A13)</f>
        <v>3</v>
      </c>
      <c r="C13" s="26">
        <f>SUMIFS(Propostas!$F$5:$F$304,Propostas!$G$5:$G$304,A13)</f>
        <v>19200</v>
      </c>
      <c r="D13" s="26">
        <f>SUMIFS(Propostas!$N$5:$N$304,Propostas!$G$5:$G$304,A13)</f>
        <v>9600</v>
      </c>
      <c r="E13" s="27">
        <f>IFERROR((COUNTIFS(Propostas!$G$5:$G$304,Config!$A$13)+COUNTIFS(Propostas!$G$5:$G$304,Config!$A$14)+COUNTIFS(Propostas!$G$5:$G$304,Config!$A$15))/(B13+COUNTIFS(Propostas!$G$5:$G$304,Config!$A$13)+COUNTIFS(Propostas!$G$5:$G$304,Config!$A$14)+COUNTIFS(Propostas!$G$5:$G$304,Config!$A$15)),0)</f>
        <v>0.8125</v>
      </c>
      <c r="F13" s="28" t="str">
        <f>REPT("█",ROUND(IFERROR(C13/MAX($C$11:$C$14),0)*30,0))</f>
        <v>███████████████████████████</v>
      </c>
      <c r="G13" s="22" t="n"/>
      <c r="H13" s="23" t="n"/>
    </row>
    <row r="14">
      <c r="A14" s="24" t="str">
        <f>Config!$A$13</f>
        <v>Negociação</v>
      </c>
      <c r="B14" s="25">
        <f>COUNTIFS(Propostas!$G$5:$G$304,A14)</f>
        <v>2</v>
      </c>
      <c r="C14" s="26">
        <f>SUMIFS(Propostas!$F$5:$F$304,Propostas!$G$5:$G$304,A14)</f>
        <v>21200</v>
      </c>
      <c r="D14" s="26">
        <f>SUMIFS(Propostas!$N$5:$N$304,Propostas!$G$5:$G$304,A14)</f>
        <v>15900</v>
      </c>
      <c r="E14" s="27">
        <f>IFERROR((COUNTIFS(Propostas!$G$5:$G$304,Config!$A$14)+COUNTIFS(Propostas!$G$5:$G$304,Config!$A$15))/(B14+COUNTIFS(Propostas!$G$5:$G$304,Config!$A$14)+COUNTIFS(Propostas!$G$5:$G$304,Config!$A$15)),0)</f>
        <v>0.846153846153846</v>
      </c>
      <c r="F14" s="28" t="str">
        <f>REPT("█",ROUND(IFERROR(C14/MAX($C$11:$C$14),0)*30,0))</f>
        <v>██████████████████████████████</v>
      </c>
      <c r="G14" s="22" t="n"/>
      <c r="H14" s="23" t="n"/>
    </row>
    <row r="15">
      <c r="A15" s="24" t="inlineStr">
        <is>
          <t>Fechadas (total)</t>
        </is>
      </c>
      <c r="B15" s="25">
        <f>COUNTIFS(Propostas!$G$5:$G$304,"Fechada")</f>
        <v>7</v>
      </c>
      <c r="C15" s="26">
        <f>SUMIFS(Propostas!$F$5:$F$304,Propostas!$G$5:$G$304,"Fechada")</f>
        <v>71000</v>
      </c>
    </row>
    <row r="16">
      <c r="A16" s="24" t="inlineStr">
        <is>
          <t>Perdidas (total)</t>
        </is>
      </c>
      <c r="B16" s="25">
        <f>COUNTIFS(Propostas!$G$5:$G$304,"Perdida")</f>
        <v>4</v>
      </c>
      <c r="C16" s="26">
        <f>SUMIFS(Propostas!$F$5:$F$304,Propostas!$G$5:$G$304,"Perdida")</f>
        <v>27100</v>
      </c>
    </row>
    <row r="17">
      <c r="A17" s="24" t="inlineStr">
        <is>
          <t>Honorário médio das fechadas</t>
        </is>
      </c>
      <c r="B17" s="26">
        <f>IFERROR(C15/B15,0)</f>
        <v>10142.8571428571</v>
      </c>
      <c r="C17" s="26" t="n"/>
    </row>
    <row r="18">
      <c r="A18" s="19" t="inlineStr">
        <is>
          <t>Taxa de passagem: de tudo o que chegou a uma etapa, quanto já seguiu adiante (inclui fechadas e perdidas).</t>
        </is>
      </c>
    </row>
    <row r="20">
      <c r="A20" s="20" t="inlineStr">
        <is>
          <t>O que mexer primeiro</t>
        </is>
      </c>
    </row>
    <row r="21">
      <c r="A21" s="19" t="inlineStr">
        <is>
          <t>Propostas abertas com previsão vencida ou paradas há mais tempo; as de maior valor primeiro.</t>
        </is>
      </c>
    </row>
    <row r="22" ht="26" customHeight="1">
      <c r="A22" s="21" t="inlineStr">
        <is>
          <t>#</t>
        </is>
      </c>
      <c r="B22" s="21" t="inlineStr">
        <is>
          <t>Cliente</t>
        </is>
      </c>
      <c r="C22" s="21" t="inlineStr">
        <is>
          <t>Serviço</t>
        </is>
      </c>
      <c r="D22" s="21" t="inlineStr">
        <is>
          <t>Etapa</t>
        </is>
      </c>
      <c r="E22" s="21" t="inlineStr">
        <is>
          <t>Valor (R$)</t>
        </is>
      </c>
      <c r="F22" s="21" t="inlineStr">
        <is>
          <t>Dias parada</t>
        </is>
      </c>
      <c r="G22" s="21" t="inlineStr">
        <is>
          <t>Situação</t>
        </is>
      </c>
      <c r="H22" s="21" t="inlineStr">
        <is>
          <t>Responsável</t>
        </is>
      </c>
    </row>
    <row r="23">
      <c r="A23" s="25" t="n">
        <v>1</v>
      </c>
      <c r="B23" s="24" t="str">
        <f>IFERROR(IF(LARGE(Propostas!$R$5:$R$304,1)&gt;0,INDEX(Propostas!$A$5:$A$304,MATCH(LARGE(Propostas!$R$5:$R$304,1),Propostas!$R$5:$R$304,0)),""),"")</f>
        <v>Clínica Bem-Estar</v>
      </c>
      <c r="C23" s="24" t="str">
        <f>IFERROR(IF(LARGE(Propostas!$R$5:$R$304,1)&gt;0,INDEX(Propostas!$C$5:$C$304,MATCH(LARGE(Propostas!$R$5:$R$304,1),Propostas!$R$5:$R$304,0)),""),"")</f>
        <v>Contratos com convênios</v>
      </c>
      <c r="D23" s="25" t="str">
        <f>IFERROR(IF(LARGE(Propostas!$R$5:$R$304,1)&gt;0,INDEX(Propostas!$G$5:$G$304,MATCH(LARGE(Propostas!$R$5:$R$304,1),Propostas!$R$5:$R$304,0)),""),"")</f>
        <v>Negociação</v>
      </c>
      <c r="E23" s="26">
        <f>IFERROR(IF(LARGE(Propostas!$R$5:$R$304,1)&gt;0,INDEX(Propostas!$F$5:$F$304,MATCH(LARGE(Propostas!$R$5:$R$304,1),Propostas!$R$5:$R$304,0)),""),"")</f>
        <v>6800</v>
      </c>
      <c r="F23" s="29">
        <f>IFERROR(IF(LARGE(Propostas!$R$5:$R$304,1)&gt;0,INDEX(Propostas!$O$5:$O$304,MATCH(LARGE(Propostas!$R$5:$R$304,1),Propostas!$R$5:$R$304,0)),""),"")</f>
        <v>17</v>
      </c>
      <c r="G23" s="25" t="str">
        <f>IFERROR(IF(LARGE(Propostas!$R$5:$R$304,1)&gt;0,INDEX(Propostas!$Q$5:$Q$304,MATCH(LARGE(Propostas!$R$5:$R$304,1),Propostas!$R$5:$R$304,0)),""),"")</f>
        <v>Previsão vencida</v>
      </c>
      <c r="H23" s="25" t="str">
        <f>IFERROR(IF(LARGE(Propostas!$R$5:$R$304,1)&gt;0,INDEX(Propostas!$E$5:$E$304,MATCH(LARGE(Propostas!$R$5:$R$304,1),Propostas!$R$5:$R$304,0)),""),"")</f>
        <v>Marina Ferraz</v>
      </c>
    </row>
    <row r="24">
      <c r="A24" s="25" t="n">
        <v>2</v>
      </c>
      <c r="B24" s="24" t="str">
        <f>IFERROR(IF(LARGE(Propostas!$R$5:$R$304,2)&gt;0,INDEX(Propostas!$A$5:$A$304,MATCH(LARGE(Propostas!$R$5:$R$304,2),Propostas!$R$5:$R$304,0)),""),"")</f>
        <v>José Antônio Ribeiro</v>
      </c>
      <c r="C24" s="24" t="str">
        <f>IFERROR(IF(LARGE(Propostas!$R$5:$R$304,2)&gt;0,INDEX(Propostas!$C$5:$C$304,MATCH(LARGE(Propostas!$R$5:$R$304,2),Propostas!$R$5:$R$304,0)),""),"")</f>
        <v>Revisão de benefício</v>
      </c>
      <c r="D24" s="25" t="str">
        <f>IFERROR(IF(LARGE(Propostas!$R$5:$R$304,2)&gt;0,INDEX(Propostas!$G$5:$G$304,MATCH(LARGE(Propostas!$R$5:$R$304,2),Propostas!$R$5:$R$304,0)),""),"")</f>
        <v>Proposta enviada</v>
      </c>
      <c r="E24" s="26">
        <f>IFERROR(IF(LARGE(Propostas!$R$5:$R$304,2)&gt;0,INDEX(Propostas!$F$5:$F$304,MATCH(LARGE(Propostas!$R$5:$R$304,2),Propostas!$R$5:$R$304,0)),""),"")</f>
        <v>4200</v>
      </c>
      <c r="F24" s="29">
        <f>IFERROR(IF(LARGE(Propostas!$R$5:$R$304,2)&gt;0,INDEX(Propostas!$O$5:$O$304,MATCH(LARGE(Propostas!$R$5:$R$304,2),Propostas!$R$5:$R$304,0)),""),"")</f>
        <v>14</v>
      </c>
      <c r="G24" s="25" t="str">
        <f>IFERROR(IF(LARGE(Propostas!$R$5:$R$304,2)&gt;0,INDEX(Propostas!$Q$5:$Q$304,MATCH(LARGE(Propostas!$R$5:$R$304,2),Propostas!$R$5:$R$304,0)),""),"")</f>
        <v>Previsão vencida</v>
      </c>
      <c r="H24" s="25" t="str">
        <f>IFERROR(IF(LARGE(Propostas!$R$5:$R$304,2)&gt;0,INDEX(Propostas!$E$5:$E$304,MATCH(LARGE(Propostas!$R$5:$R$304,2),Propostas!$R$5:$R$304,0)),""),"")</f>
        <v>Rafael Lima</v>
      </c>
    </row>
    <row r="25">
      <c r="A25" s="25" t="n">
        <v>3</v>
      </c>
      <c r="B25" s="24" t="str">
        <f>IFERROR(IF(LARGE(Propostas!$R$5:$R$304,3)&gt;0,INDEX(Propostas!$A$5:$A$304,MATCH(LARGE(Propostas!$R$5:$R$304,3),Propostas!$R$5:$R$304,0)),""),"")</f>
        <v>Patrícia Gomes</v>
      </c>
      <c r="C25" s="24" t="str">
        <f>IFERROR(IF(LARGE(Propostas!$R$5:$R$304,3)&gt;0,INDEX(Propostas!$C$5:$C$304,MATCH(LARGE(Propostas!$R$5:$R$304,3),Propostas!$R$5:$R$304,0)),""),"")</f>
        <v>Inventário</v>
      </c>
      <c r="D25" s="25" t="str">
        <f>IFERROR(IF(LARGE(Propostas!$R$5:$R$304,3)&gt;0,INDEX(Propostas!$G$5:$G$304,MATCH(LARGE(Propostas!$R$5:$R$304,3),Propostas!$R$5:$R$304,0)),""),"")</f>
        <v>Proposta enviada</v>
      </c>
      <c r="E25" s="26">
        <f>IFERROR(IF(LARGE(Propostas!$R$5:$R$304,3)&gt;0,INDEX(Propostas!$F$5:$F$304,MATCH(LARGE(Propostas!$R$5:$R$304,3),Propostas!$R$5:$R$304,0)),""),"")</f>
        <v>10500</v>
      </c>
      <c r="F25" s="29">
        <f>IFERROR(IF(LARGE(Propostas!$R$5:$R$304,3)&gt;0,INDEX(Propostas!$O$5:$O$304,MATCH(LARGE(Propostas!$R$5:$R$304,3),Propostas!$R$5:$R$304,0)),""),"")</f>
        <v>16</v>
      </c>
      <c r="G25" s="25" t="str">
        <f>IFERROR(IF(LARGE(Propostas!$R$5:$R$304,3)&gt;0,INDEX(Propostas!$Q$5:$Q$304,MATCH(LARGE(Propostas!$R$5:$R$304,3),Propostas!$R$5:$R$304,0)),""),"")</f>
        <v>Parada</v>
      </c>
      <c r="H25" s="25" t="str">
        <f>IFERROR(IF(LARGE(Propostas!$R$5:$R$304,3)&gt;0,INDEX(Propostas!$E$5:$E$304,MATCH(LARGE(Propostas!$R$5:$R$304,3),Propostas!$R$5:$R$304,0)),""),"")</f>
        <v>Marina Ferraz</v>
      </c>
    </row>
    <row r="26">
      <c r="A26" s="25" t="n">
        <v>4</v>
      </c>
      <c r="B26" s="24" t="str">
        <f>IFERROR(IF(LARGE(Propostas!$R$5:$R$304,4)&gt;0,INDEX(Propostas!$A$5:$A$304,MATCH(LARGE(Propostas!$R$5:$R$304,4),Propostas!$R$5:$R$304,0)),""),"")</f>
        <v>Transportadora Rota Sul</v>
      </c>
      <c r="C26" s="24" t="str">
        <f>IFERROR(IF(LARGE(Propostas!$R$5:$R$304,4)&gt;0,INDEX(Propostas!$C$5:$C$304,MATCH(LARGE(Propostas!$R$5:$R$304,4),Propostas!$R$5:$R$304,0)),""),"")</f>
        <v>Assessoria mensal (12 meses)</v>
      </c>
      <c r="D26" s="25" t="str">
        <f>IFERROR(IF(LARGE(Propostas!$R$5:$R$304,4)&gt;0,INDEX(Propostas!$G$5:$G$304,MATCH(LARGE(Propostas!$R$5:$R$304,4),Propostas!$R$5:$R$304,0)),""),"")</f>
        <v>Negociação</v>
      </c>
      <c r="E26" s="26">
        <f>IFERROR(IF(LARGE(Propostas!$R$5:$R$304,4)&gt;0,INDEX(Propostas!$F$5:$F$304,MATCH(LARGE(Propostas!$R$5:$R$304,4),Propostas!$R$5:$R$304,0)),""),"")</f>
        <v>14400</v>
      </c>
      <c r="F26" s="29">
        <f>IFERROR(IF(LARGE(Propostas!$R$5:$R$304,4)&gt;0,INDEX(Propostas!$O$5:$O$304,MATCH(LARGE(Propostas!$R$5:$R$304,4),Propostas!$R$5:$R$304,0)),""),"")</f>
        <v>4</v>
      </c>
      <c r="G26" s="25" t="str">
        <f>IFERROR(IF(LARGE(Propostas!$R$5:$R$304,4)&gt;0,INDEX(Propostas!$Q$5:$Q$304,MATCH(LARGE(Propostas!$R$5:$R$304,4),Propostas!$R$5:$R$304,0)),""),"")</f>
        <v>Ativa</v>
      </c>
      <c r="H26" s="25" t="str">
        <f>IFERROR(IF(LARGE(Propostas!$R$5:$R$304,4)&gt;0,INDEX(Propostas!$E$5:$E$304,MATCH(LARGE(Propostas!$R$5:$R$304,4),Propostas!$R$5:$R$304,0)),""),"")</f>
        <v>Rafael Lima</v>
      </c>
    </row>
    <row r="27">
      <c r="A27" s="25" t="n">
        <v>5</v>
      </c>
      <c r="B27" s="24" t="str">
        <f>IFERROR(IF(LARGE(Propostas!$R$5:$R$304,5)&gt;0,INDEX(Propostas!$A$5:$A$304,MATCH(LARGE(Propostas!$R$5:$R$304,5),Propostas!$R$5:$R$304,0)),""),"")</f>
        <v>Helena Duarte</v>
      </c>
      <c r="C27" s="24" t="str">
        <f>IFERROR(IF(LARGE(Propostas!$R$5:$R$304,5)&gt;0,INDEX(Propostas!$C$5:$C$304,MATCH(LARGE(Propostas!$R$5:$R$304,5),Propostas!$R$5:$R$304,0)),""),"")</f>
        <v>Ação trabalhista</v>
      </c>
      <c r="D27" s="25" t="str">
        <f>IFERROR(IF(LARGE(Propostas!$R$5:$R$304,5)&gt;0,INDEX(Propostas!$G$5:$G$304,MATCH(LARGE(Propostas!$R$5:$R$304,5),Propostas!$R$5:$R$304,0)),""),"")</f>
        <v>Reunião feita</v>
      </c>
      <c r="E27" s="26">
        <f>IFERROR(IF(LARGE(Propostas!$R$5:$R$304,5)&gt;0,INDEX(Propostas!$F$5:$F$304,MATCH(LARGE(Propostas!$R$5:$R$304,5),Propostas!$R$5:$R$304,0)),""),"")</f>
        <v>5800</v>
      </c>
      <c r="F27" s="29">
        <f>IFERROR(IF(LARGE(Propostas!$R$5:$R$304,5)&gt;0,INDEX(Propostas!$O$5:$O$304,MATCH(LARGE(Propostas!$R$5:$R$304,5),Propostas!$R$5:$R$304,0)),""),"")</f>
        <v>3</v>
      </c>
      <c r="G27" s="25" t="str">
        <f>IFERROR(IF(LARGE(Propostas!$R$5:$R$304,5)&gt;0,INDEX(Propostas!$Q$5:$Q$304,MATCH(LARGE(Propostas!$R$5:$R$304,5),Propostas!$R$5:$R$304,0)),""),"")</f>
        <v>Ativa</v>
      </c>
      <c r="H27" s="25" t="str">
        <f>IFERROR(IF(LARGE(Propostas!$R$5:$R$304,5)&gt;0,INDEX(Propostas!$E$5:$E$304,MATCH(LARGE(Propostas!$R$5:$R$304,5),Propostas!$R$5:$R$304,0)),""),"")</f>
        <v>Rafael Lima</v>
      </c>
    </row>
    <row r="28">
      <c r="A28" s="25" t="n">
        <v>6</v>
      </c>
      <c r="B28" s="24" t="str">
        <f>IFERROR(IF(LARGE(Propostas!$R$5:$R$304,6)&gt;0,INDEX(Propostas!$A$5:$A$304,MATCH(LARGE(Propostas!$R$5:$R$304,6),Propostas!$R$5:$R$304,0)),""),"")</f>
        <v>Marcos Vinícius Teles</v>
      </c>
      <c r="C28" s="24" t="str">
        <f>IFERROR(IF(LARGE(Propostas!$R$5:$R$304,6)&gt;0,INDEX(Propostas!$C$5:$C$304,MATCH(LARGE(Propostas!$R$5:$R$304,6),Propostas!$R$5:$R$304,0)),""),"")</f>
        <v>Divórcio e partilha</v>
      </c>
      <c r="D28" s="25" t="str">
        <f>IFERROR(IF(LARGE(Propostas!$R$5:$R$304,6)&gt;0,INDEX(Propostas!$G$5:$G$304,MATCH(LARGE(Propostas!$R$5:$R$304,6),Propostas!$R$5:$R$304,0)),""),"")</f>
        <v>Contato</v>
      </c>
      <c r="E28" s="26">
        <f>IFERROR(IF(LARGE(Propostas!$R$5:$R$304,6)&gt;0,INDEX(Propostas!$F$5:$F$304,MATCH(LARGE(Propostas!$R$5:$R$304,6),Propostas!$R$5:$R$304,0)),""),"")</f>
        <v>5600</v>
      </c>
      <c r="F28" s="29">
        <f>IFERROR(IF(LARGE(Propostas!$R$5:$R$304,6)&gt;0,INDEX(Propostas!$O$5:$O$304,MATCH(LARGE(Propostas!$R$5:$R$304,6),Propostas!$R$5:$R$304,0)),""),"")</f>
        <v>3</v>
      </c>
      <c r="G28" s="25" t="str">
        <f>IFERROR(IF(LARGE(Propostas!$R$5:$R$304,6)&gt;0,INDEX(Propostas!$Q$5:$Q$304,MATCH(LARGE(Propostas!$R$5:$R$304,6),Propostas!$R$5:$R$304,0)),""),"")</f>
        <v>Ativa</v>
      </c>
      <c r="H28" s="25" t="str">
        <f>IFERROR(IF(LARGE(Propostas!$R$5:$R$304,6)&gt;0,INDEX(Propostas!$E$5:$E$304,MATCH(LARGE(Propostas!$R$5:$R$304,6),Propostas!$R$5:$R$304,0)),""),"")</f>
        <v>Marina Ferraz</v>
      </c>
    </row>
    <row r="29">
      <c r="A29" s="25" t="n">
        <v>7</v>
      </c>
      <c r="B29" s="24" t="str">
        <f>IFERROR(IF(LARGE(Propostas!$R$5:$R$304,7)&gt;0,INDEX(Propostas!$A$5:$A$304,MATCH(LARGE(Propostas!$R$5:$R$304,7),Propostas!$R$5:$R$304,0)),""),"")</f>
        <v>Luciana Farias</v>
      </c>
      <c r="C29" s="24" t="str">
        <f>IFERROR(IF(LARGE(Propostas!$R$5:$R$304,7)&gt;0,INDEX(Propostas!$C$5:$C$304,MATCH(LARGE(Propostas!$R$5:$R$304,7),Propostas!$R$5:$R$304,0)),""),"")</f>
        <v>Cobrança judicial</v>
      </c>
      <c r="D29" s="25" t="str">
        <f>IFERROR(IF(LARGE(Propostas!$R$5:$R$304,7)&gt;0,INDEX(Propostas!$G$5:$G$304,MATCH(LARGE(Propostas!$R$5:$R$304,7),Propostas!$R$5:$R$304,0)),""),"")</f>
        <v>Reunião feita</v>
      </c>
      <c r="E29" s="26">
        <f>IFERROR(IF(LARGE(Propostas!$R$5:$R$304,7)&gt;0,INDEX(Propostas!$F$5:$F$304,MATCH(LARGE(Propostas!$R$5:$R$304,7),Propostas!$R$5:$R$304,0)),""),"")</f>
        <v>7900</v>
      </c>
      <c r="F29" s="29">
        <f>IFERROR(IF(LARGE(Propostas!$R$5:$R$304,7)&gt;0,INDEX(Propostas!$O$5:$O$304,MATCH(LARGE(Propostas!$R$5:$R$304,7),Propostas!$R$5:$R$304,0)),""),"")</f>
        <v>2</v>
      </c>
      <c r="G29" s="25" t="str">
        <f>IFERROR(IF(LARGE(Propostas!$R$5:$R$304,7)&gt;0,INDEX(Propostas!$Q$5:$Q$304,MATCH(LARGE(Propostas!$R$5:$R$304,7),Propostas!$R$5:$R$304,0)),""),"")</f>
        <v>Ativa</v>
      </c>
      <c r="H29" s="25" t="str">
        <f>IFERROR(IF(LARGE(Propostas!$R$5:$R$304,7)&gt;0,INDEX(Propostas!$E$5:$E$304,MATCH(LARGE(Propostas!$R$5:$R$304,7),Propostas!$R$5:$R$304,0)),""),"")</f>
        <v>Marina Ferraz</v>
      </c>
    </row>
    <row r="30">
      <c r="A30" s="25" t="n">
        <v>8</v>
      </c>
      <c r="B30" s="24" t="str">
        <f>IFERROR(IF(LARGE(Propostas!$R$5:$R$304,8)&gt;0,INDEX(Propostas!$A$5:$A$304,MATCH(LARGE(Propostas!$R$5:$R$304,8),Propostas!$R$5:$R$304,0)),""),"")</f>
        <v>Construtora Horizonte</v>
      </c>
      <c r="C30" s="24" t="str">
        <f>IFERROR(IF(LARGE(Propostas!$R$5:$R$304,8)&gt;0,INDEX(Propostas!$C$5:$C$304,MATCH(LARGE(Propostas!$R$5:$R$304,8),Propostas!$R$5:$R$304,0)),""),"")</f>
        <v>Assessoria mensal (12 meses)</v>
      </c>
      <c r="D30" s="25" t="str">
        <f>IFERROR(IF(LARGE(Propostas!$R$5:$R$304,8)&gt;0,INDEX(Propostas!$G$5:$G$304,MATCH(LARGE(Propostas!$R$5:$R$304,8),Propostas!$R$5:$R$304,0)),""),"")</f>
        <v>Contato</v>
      </c>
      <c r="E30" s="26">
        <f>IFERROR(IF(LARGE(Propostas!$R$5:$R$304,8)&gt;0,INDEX(Propostas!$F$5:$F$304,MATCH(LARGE(Propostas!$R$5:$R$304,8),Propostas!$R$5:$R$304,0)),""),"")</f>
        <v>13200</v>
      </c>
      <c r="F30" s="29">
        <f>IFERROR(IF(LARGE(Propostas!$R$5:$R$304,8)&gt;0,INDEX(Propostas!$O$5:$O$304,MATCH(LARGE(Propostas!$R$5:$R$304,8),Propostas!$R$5:$R$304,0)),""),"")</f>
        <v>1</v>
      </c>
      <c r="G30" s="25" t="str">
        <f>IFERROR(IF(LARGE(Propostas!$R$5:$R$304,8)&gt;0,INDEX(Propostas!$Q$5:$Q$304,MATCH(LARGE(Propostas!$R$5:$R$304,8),Propostas!$R$5:$R$304,0)),""),"")</f>
        <v>Ativa</v>
      </c>
      <c r="H30" s="25" t="str">
        <f>IFERROR(IF(LARGE(Propostas!$R$5:$R$304,8)&gt;0,INDEX(Propostas!$E$5:$E$304,MATCH(LARGE(Propostas!$R$5:$R$304,8),Propostas!$R$5:$R$304,0)),""),"")</f>
        <v>Marina Ferraz</v>
      </c>
    </row>
    <row r="32">
      <c r="A32" s="20" t="inlineStr">
        <is>
          <t>Por área</t>
        </is>
      </c>
    </row>
    <row r="33" ht="26" customHeight="1">
      <c r="A33" s="21" t="inlineStr">
        <is>
          <t>Área</t>
        </is>
      </c>
      <c r="B33" s="21" t="inlineStr">
        <is>
          <t>Propostas</t>
        </is>
      </c>
      <c r="C33" s="21" t="inlineStr">
        <is>
          <t>Fechadas</t>
        </is>
      </c>
      <c r="D33" s="21" t="inlineStr">
        <is>
          <t>Perdidas</t>
        </is>
      </c>
      <c r="E33" s="21" t="inlineStr">
        <is>
          <t>Taxa de fechamento</t>
        </is>
      </c>
      <c r="F33" s="21" t="inlineStr">
        <is>
          <t>Valor fechado (R$)</t>
        </is>
      </c>
      <c r="G33" s="21" t="inlineStr">
        <is>
          <t>Em aberto (R$)</t>
        </is>
      </c>
    </row>
    <row r="34">
      <c r="A34" s="24" t="str">
        <f>IF(Config!$A$18="","",Config!$A$18)</f>
        <v>Cível</v>
      </c>
      <c r="B34" s="25">
        <f>IF(Config!$A$18="","",COUNTIFS(Propostas!$B$5:$B$304,Config!$A$18))</f>
        <v>4</v>
      </c>
      <c r="C34" s="25">
        <f>IF(Config!$A$18="","",COUNTIFS(Propostas!$B$5:$B$304,Config!$A$18,Propostas!$G$5:$G$304,"Fechada"))</f>
        <v>2</v>
      </c>
      <c r="D34" s="25">
        <f>IF(Config!$A$18="","",COUNTIFS(Propostas!$B$5:$B$304,Config!$A$18,Propostas!$G$5:$G$304,"Perdida"))</f>
        <v>0</v>
      </c>
      <c r="E34" s="27">
        <f>IF(Config!$A$18="","",IFERROR(C34/(C34+D34),0))</f>
        <v>1</v>
      </c>
      <c r="F34" s="26">
        <f>IF(Config!$A$18="","",SUMIFS(Propostas!$F$5:$F$304,Propostas!$B$5:$B$304,Config!$A$18,Propostas!$G$5:$G$304,"Fechada"))</f>
        <v>28700</v>
      </c>
      <c r="G34" s="26">
        <f>IF(Config!$A$18="","",SUMIFS(Propostas!$F$5:$F$304,Propostas!$B$5:$B$304,Config!$A$18,Propostas!$G$5:$G$304,"&lt;&gt;Fechada",Propostas!$G$5:$G$304,"&lt;&gt;Perdida",Propostas!$G$5:$G$304,"&lt;&gt;"))</f>
        <v>12400</v>
      </c>
    </row>
    <row r="35">
      <c r="A35" s="24" t="str">
        <f>IF(Config!$A$19="","",Config!$A$19)</f>
        <v>Trabalhista</v>
      </c>
      <c r="B35" s="25">
        <f>IF(Config!$A$19="","",COUNTIFS(Propostas!$B$5:$B$304,Config!$A$19))</f>
        <v>5</v>
      </c>
      <c r="C35" s="25">
        <f>IF(Config!$A$19="","",COUNTIFS(Propostas!$B$5:$B$304,Config!$A$19,Propostas!$G$5:$G$304,"Fechada"))</f>
        <v>1</v>
      </c>
      <c r="D35" s="25">
        <f>IF(Config!$A$19="","",COUNTIFS(Propostas!$B$5:$B$304,Config!$A$19,Propostas!$G$5:$G$304,"Perdida"))</f>
        <v>2</v>
      </c>
      <c r="E35" s="27">
        <f>IF(Config!$A$19="","",IFERROR(C35/(C35+D35),0))</f>
        <v>0.333333333333333</v>
      </c>
      <c r="F35" s="26">
        <f>IF(Config!$A$19="","",SUMIFS(Propostas!$F$5:$F$304,Propostas!$B$5:$B$304,Config!$A$19,Propostas!$G$5:$G$304,"Fechada"))</f>
        <v>6000</v>
      </c>
      <c r="G35" s="26">
        <f>IF(Config!$A$19="","",SUMIFS(Propostas!$F$5:$F$304,Propostas!$B$5:$B$304,Config!$A$19,Propostas!$G$5:$G$304,"&lt;&gt;Fechada",Propostas!$G$5:$G$304,"&lt;&gt;Perdida",Propostas!$G$5:$G$304,"&lt;&gt;"))</f>
        <v>20200</v>
      </c>
    </row>
    <row r="36">
      <c r="A36" s="24" t="str">
        <f>IF(Config!$A$20="","",Config!$A$20)</f>
        <v>Previdenciário</v>
      </c>
      <c r="B36" s="25">
        <f>IF(Config!$A$20="","",COUNTIFS(Propostas!$B$5:$B$304,Config!$A$20))</f>
        <v>3</v>
      </c>
      <c r="C36" s="25">
        <f>IF(Config!$A$20="","",COUNTIFS(Propostas!$B$5:$B$304,Config!$A$20,Propostas!$G$5:$G$304,"Fechada"))</f>
        <v>2</v>
      </c>
      <c r="D36" s="25">
        <f>IF(Config!$A$20="","",COUNTIFS(Propostas!$B$5:$B$304,Config!$A$20,Propostas!$G$5:$G$304,"Perdida"))</f>
        <v>0</v>
      </c>
      <c r="E36" s="27">
        <f>IF(Config!$A$20="","",IFERROR(C36/(C36+D36),0))</f>
        <v>1</v>
      </c>
      <c r="F36" s="26">
        <f>IF(Config!$A$20="","",SUMIFS(Propostas!$F$5:$F$304,Propostas!$B$5:$B$304,Config!$A$20,Propostas!$G$5:$G$304,"Fechada"))</f>
        <v>9900</v>
      </c>
      <c r="G36" s="26">
        <f>IF(Config!$A$20="","",SUMIFS(Propostas!$F$5:$F$304,Propostas!$B$5:$B$304,Config!$A$20,Propostas!$G$5:$G$304,"&lt;&gt;Fechada",Propostas!$G$5:$G$304,"&lt;&gt;Perdida",Propostas!$G$5:$G$304,"&lt;&gt;"))</f>
        <v>4200</v>
      </c>
    </row>
    <row r="37">
      <c r="A37" s="24" t="str">
        <f>IF(Config!$A$21="","",Config!$A$21)</f>
        <v>Empresarial</v>
      </c>
      <c r="B37" s="25">
        <f>IF(Config!$A$21="","",COUNTIFS(Propostas!$B$5:$B$304,Config!$A$21))</f>
        <v>5</v>
      </c>
      <c r="C37" s="25">
        <f>IF(Config!$A$21="","",COUNTIFS(Propostas!$B$5:$B$304,Config!$A$21,Propostas!$G$5:$G$304,"Fechada"))</f>
        <v>2</v>
      </c>
      <c r="D37" s="25">
        <f>IF(Config!$A$21="","",COUNTIFS(Propostas!$B$5:$B$304,Config!$A$21,Propostas!$G$5:$G$304,"Perdida"))</f>
        <v>1</v>
      </c>
      <c r="E37" s="27">
        <f>IF(Config!$A$21="","",IFERROR(C37/(C37+D37),0))</f>
        <v>0.666666666666667</v>
      </c>
      <c r="F37" s="26">
        <f>IF(Config!$A$21="","",SUMIFS(Propostas!$F$5:$F$304,Propostas!$B$5:$B$304,Config!$A$21,Propostas!$G$5:$G$304,"Fechada"))</f>
        <v>26400</v>
      </c>
      <c r="G37" s="26">
        <f>IF(Config!$A$21="","",SUMIFS(Propostas!$F$5:$F$304,Propostas!$B$5:$B$304,Config!$A$21,Propostas!$G$5:$G$304,"&lt;&gt;Fechada",Propostas!$G$5:$G$304,"&lt;&gt;Perdida",Propostas!$G$5:$G$304,"&lt;&gt;"))</f>
        <v>20000</v>
      </c>
    </row>
    <row r="38">
      <c r="A38" s="24" t="str">
        <f>IF(Config!$A$22="","",Config!$A$22)</f>
        <v>Família</v>
      </c>
      <c r="B38" s="25">
        <f>IF(Config!$A$22="","",COUNTIFS(Propostas!$B$5:$B$304,Config!$A$22))</f>
        <v>3</v>
      </c>
      <c r="C38" s="25">
        <f>IF(Config!$A$22="","",COUNTIFS(Propostas!$B$5:$B$304,Config!$A$22,Propostas!$G$5:$G$304,"Fechada"))</f>
        <v>0</v>
      </c>
      <c r="D38" s="25">
        <f>IF(Config!$A$22="","",COUNTIFS(Propostas!$B$5:$B$304,Config!$A$22,Propostas!$G$5:$G$304,"Perdida"))</f>
        <v>1</v>
      </c>
      <c r="E38" s="27">
        <f>IF(Config!$A$22="","",IFERROR(C38/(C38+D38),0))</f>
        <v>0</v>
      </c>
      <c r="F38" s="26">
        <f>IF(Config!$A$22="","",SUMIFS(Propostas!$F$5:$F$304,Propostas!$B$5:$B$304,Config!$A$22,Propostas!$G$5:$G$304,"Fechada"))</f>
        <v>0</v>
      </c>
      <c r="G38" s="26">
        <f>IF(Config!$A$22="","",SUMIFS(Propostas!$F$5:$F$304,Propostas!$B$5:$B$304,Config!$A$22,Propostas!$G$5:$G$304,"&lt;&gt;Fechada",Propostas!$G$5:$G$304,"&lt;&gt;Perdida",Propostas!$G$5:$G$304,"&lt;&gt;"))</f>
        <v>16100</v>
      </c>
    </row>
    <row r="39">
      <c r="A39" s="24">
        <f>IF(Config!$A$23="","",Config!$A$23)</f>
        <v/>
      </c>
      <c r="B39" s="25">
        <f>IF(Config!$A$23="","",COUNTIFS(Propostas!$B$5:$B$304,Config!$A$23))</f>
        <v/>
      </c>
      <c r="C39" s="25">
        <f>IF(Config!$A$23="","",COUNTIFS(Propostas!$B$5:$B$304,Config!$A$23,Propostas!$G$5:$G$304,"Fechada"))</f>
        <v/>
      </c>
      <c r="D39" s="25">
        <f>IF(Config!$A$23="","",COUNTIFS(Propostas!$B$5:$B$304,Config!$A$23,Propostas!$G$5:$G$304,"Perdida"))</f>
        <v/>
      </c>
      <c r="E39" s="27">
        <f>IF(Config!$A$23="","",IFERROR(C39/(C39+D39),0))</f>
        <v/>
      </c>
      <c r="F39" s="26">
        <f>IF(Config!$A$23="","",SUMIFS(Propostas!$F$5:$F$304,Propostas!$B$5:$B$304,Config!$A$23,Propostas!$G$5:$G$304,"Fechada"))</f>
        <v/>
      </c>
      <c r="G39" s="26">
        <f>IF(Config!$A$23="","",SUMIFS(Propostas!$F$5:$F$304,Propostas!$B$5:$B$304,Config!$A$23,Propostas!$G$5:$G$304,"&lt;&gt;Fechada",Propostas!$G$5:$G$304,"&lt;&gt;Perdida",Propostas!$G$5:$G$304,"&lt;&gt;"))</f>
        <v/>
      </c>
    </row>
    <row r="40">
      <c r="A40" s="24">
        <f>IF(Config!$A$24="","",Config!$A$24)</f>
        <v/>
      </c>
      <c r="B40" s="25">
        <f>IF(Config!$A$24="","",COUNTIFS(Propostas!$B$5:$B$304,Config!$A$24))</f>
        <v/>
      </c>
      <c r="C40" s="25">
        <f>IF(Config!$A$24="","",COUNTIFS(Propostas!$B$5:$B$304,Config!$A$24,Propostas!$G$5:$G$304,"Fechada"))</f>
        <v/>
      </c>
      <c r="D40" s="25">
        <f>IF(Config!$A$24="","",COUNTIFS(Propostas!$B$5:$B$304,Config!$A$24,Propostas!$G$5:$G$304,"Perdida"))</f>
        <v/>
      </c>
      <c r="E40" s="27">
        <f>IF(Config!$A$24="","",IFERROR(C40/(C40+D40),0))</f>
        <v/>
      </c>
      <c r="F40" s="26">
        <f>IF(Config!$A$24="","",SUMIFS(Propostas!$F$5:$F$304,Propostas!$B$5:$B$304,Config!$A$24,Propostas!$G$5:$G$304,"Fechada"))</f>
        <v/>
      </c>
      <c r="G40" s="26">
        <f>IF(Config!$A$24="","",SUMIFS(Propostas!$F$5:$F$304,Propostas!$B$5:$B$304,Config!$A$24,Propostas!$G$5:$G$304,"&lt;&gt;Fechada",Propostas!$G$5:$G$304,"&lt;&gt;Perdida",Propostas!$G$5:$G$304,"&lt;&gt;"))</f>
        <v/>
      </c>
    </row>
    <row r="41">
      <c r="A41" s="24">
        <f>IF(Config!$A$25="","",Config!$A$25)</f>
        <v/>
      </c>
      <c r="B41" s="25">
        <f>IF(Config!$A$25="","",COUNTIFS(Propostas!$B$5:$B$304,Config!$A$25))</f>
        <v/>
      </c>
      <c r="C41" s="25">
        <f>IF(Config!$A$25="","",COUNTIFS(Propostas!$B$5:$B$304,Config!$A$25,Propostas!$G$5:$G$304,"Fechada"))</f>
        <v/>
      </c>
      <c r="D41" s="25">
        <f>IF(Config!$A$25="","",COUNTIFS(Propostas!$B$5:$B$304,Config!$A$25,Propostas!$G$5:$G$304,"Perdida"))</f>
        <v/>
      </c>
      <c r="E41" s="27">
        <f>IF(Config!$A$25="","",IFERROR(C41/(C41+D41),0))</f>
        <v/>
      </c>
      <c r="F41" s="26">
        <f>IF(Config!$A$25="","",SUMIFS(Propostas!$F$5:$F$304,Propostas!$B$5:$B$304,Config!$A$25,Propostas!$G$5:$G$304,"Fechada"))</f>
        <v/>
      </c>
      <c r="G41" s="26">
        <f>IF(Config!$A$25="","",SUMIFS(Propostas!$F$5:$F$304,Propostas!$B$5:$B$304,Config!$A$25,Propostas!$G$5:$G$304,"&lt;&gt;Fechada",Propostas!$G$5:$G$304,"&lt;&gt;Perdida",Propostas!$G$5:$G$304,"&lt;&gt;"))</f>
        <v/>
      </c>
    </row>
    <row r="42">
      <c r="A42" s="24">
        <f>IF(Config!$A$26="","",Config!$A$26)</f>
        <v/>
      </c>
      <c r="B42" s="25">
        <f>IF(Config!$A$26="","",COUNTIFS(Propostas!$B$5:$B$304,Config!$A$26))</f>
        <v/>
      </c>
      <c r="C42" s="25">
        <f>IF(Config!$A$26="","",COUNTIFS(Propostas!$B$5:$B$304,Config!$A$26,Propostas!$G$5:$G$304,"Fechada"))</f>
        <v/>
      </c>
      <c r="D42" s="25">
        <f>IF(Config!$A$26="","",COUNTIFS(Propostas!$B$5:$B$304,Config!$A$26,Propostas!$G$5:$G$304,"Perdida"))</f>
        <v/>
      </c>
      <c r="E42" s="27">
        <f>IF(Config!$A$26="","",IFERROR(C42/(C42+D42),0))</f>
        <v/>
      </c>
      <c r="F42" s="26">
        <f>IF(Config!$A$26="","",SUMIFS(Propostas!$F$5:$F$304,Propostas!$B$5:$B$304,Config!$A$26,Propostas!$G$5:$G$304,"Fechada"))</f>
        <v/>
      </c>
      <c r="G42" s="26">
        <f>IF(Config!$A$26="","",SUMIFS(Propostas!$F$5:$F$304,Propostas!$B$5:$B$304,Config!$A$26,Propostas!$G$5:$G$304,"&lt;&gt;Fechada",Propostas!$G$5:$G$304,"&lt;&gt;Perdida",Propostas!$G$5:$G$304,"&lt;&gt;"))</f>
        <v/>
      </c>
    </row>
    <row r="43">
      <c r="A43" s="24">
        <f>IF(Config!$A$27="","",Config!$A$27)</f>
        <v/>
      </c>
      <c r="B43" s="25">
        <f>IF(Config!$A$27="","",COUNTIFS(Propostas!$B$5:$B$304,Config!$A$27))</f>
        <v/>
      </c>
      <c r="C43" s="25">
        <f>IF(Config!$A$27="","",COUNTIFS(Propostas!$B$5:$B$304,Config!$A$27,Propostas!$G$5:$G$304,"Fechada"))</f>
        <v/>
      </c>
      <c r="D43" s="25">
        <f>IF(Config!$A$27="","",COUNTIFS(Propostas!$B$5:$B$304,Config!$A$27,Propostas!$G$5:$G$304,"Perdida"))</f>
        <v/>
      </c>
      <c r="E43" s="27">
        <f>IF(Config!$A$27="","",IFERROR(C43/(C43+D43),0))</f>
        <v/>
      </c>
      <c r="F43" s="26">
        <f>IF(Config!$A$27="","",SUMIFS(Propostas!$F$5:$F$304,Propostas!$B$5:$B$304,Config!$A$27,Propostas!$G$5:$G$304,"Fechada"))</f>
        <v/>
      </c>
      <c r="G43" s="26">
        <f>IF(Config!$A$27="","",SUMIFS(Propostas!$F$5:$F$304,Propostas!$B$5:$B$304,Config!$A$27,Propostas!$G$5:$G$304,"&lt;&gt;Fechada",Propostas!$G$5:$G$304,"&lt;&gt;Perdida",Propostas!$G$5:$G$304,"&lt;&gt;"))</f>
        <v/>
      </c>
    </row>
    <row r="44">
      <c r="A44" s="24">
        <f>IF(Config!$A$28="","",Config!$A$28)</f>
        <v/>
      </c>
      <c r="B44" s="25">
        <f>IF(Config!$A$28="","",COUNTIFS(Propostas!$B$5:$B$304,Config!$A$28))</f>
        <v/>
      </c>
      <c r="C44" s="25">
        <f>IF(Config!$A$28="","",COUNTIFS(Propostas!$B$5:$B$304,Config!$A$28,Propostas!$G$5:$G$304,"Fechada"))</f>
        <v/>
      </c>
      <c r="D44" s="25">
        <f>IF(Config!$A$28="","",COUNTIFS(Propostas!$B$5:$B$304,Config!$A$28,Propostas!$G$5:$G$304,"Perdida"))</f>
        <v/>
      </c>
      <c r="E44" s="27">
        <f>IF(Config!$A$28="","",IFERROR(C44/(C44+D44),0))</f>
        <v/>
      </c>
      <c r="F44" s="26">
        <f>IF(Config!$A$28="","",SUMIFS(Propostas!$F$5:$F$304,Propostas!$B$5:$B$304,Config!$A$28,Propostas!$G$5:$G$304,"Fechada"))</f>
        <v/>
      </c>
      <c r="G44" s="26">
        <f>IF(Config!$A$28="","",SUMIFS(Propostas!$F$5:$F$304,Propostas!$B$5:$B$304,Config!$A$28,Propostas!$G$5:$G$304,"&lt;&gt;Fechada",Propostas!$G$5:$G$304,"&lt;&gt;Perdida",Propostas!$G$5:$G$304,"&lt;&gt;"))</f>
        <v/>
      </c>
    </row>
    <row r="45">
      <c r="A45" s="24">
        <f>IF(Config!$A$29="","",Config!$A$29)</f>
        <v/>
      </c>
      <c r="B45" s="25">
        <f>IF(Config!$A$29="","",COUNTIFS(Propostas!$B$5:$B$304,Config!$A$29))</f>
        <v/>
      </c>
      <c r="C45" s="25">
        <f>IF(Config!$A$29="","",COUNTIFS(Propostas!$B$5:$B$304,Config!$A$29,Propostas!$G$5:$G$304,"Fechada"))</f>
        <v/>
      </c>
      <c r="D45" s="25">
        <f>IF(Config!$A$29="","",COUNTIFS(Propostas!$B$5:$B$304,Config!$A$29,Propostas!$G$5:$G$304,"Perdida"))</f>
        <v/>
      </c>
      <c r="E45" s="27">
        <f>IF(Config!$A$29="","",IFERROR(C45/(C45+D45),0))</f>
        <v/>
      </c>
      <c r="F45" s="26">
        <f>IF(Config!$A$29="","",SUMIFS(Propostas!$F$5:$F$304,Propostas!$B$5:$B$304,Config!$A$29,Propostas!$G$5:$G$304,"Fechada"))</f>
        <v/>
      </c>
      <c r="G45" s="26">
        <f>IF(Config!$A$29="","",SUMIFS(Propostas!$F$5:$F$304,Propostas!$B$5:$B$304,Config!$A$29,Propostas!$G$5:$G$304,"&lt;&gt;Fechada",Propostas!$G$5:$G$304,"&lt;&gt;Perdida",Propostas!$G$5:$G$304,"&lt;&gt;"))</f>
        <v/>
      </c>
    </row>
    <row r="46">
      <c r="A46" s="24">
        <f>IF(Config!$A$30="","",Config!$A$30)</f>
        <v/>
      </c>
      <c r="B46" s="25">
        <f>IF(Config!$A$30="","",COUNTIFS(Propostas!$B$5:$B$304,Config!$A$30))</f>
        <v/>
      </c>
      <c r="C46" s="25">
        <f>IF(Config!$A$30="","",COUNTIFS(Propostas!$B$5:$B$304,Config!$A$30,Propostas!$G$5:$G$304,"Fechada"))</f>
        <v/>
      </c>
      <c r="D46" s="25">
        <f>IF(Config!$A$30="","",COUNTIFS(Propostas!$B$5:$B$304,Config!$A$30,Propostas!$G$5:$G$304,"Perdida"))</f>
        <v/>
      </c>
      <c r="E46" s="27">
        <f>IF(Config!$A$30="","",IFERROR(C46/(C46+D46),0))</f>
        <v/>
      </c>
      <c r="F46" s="26">
        <f>IF(Config!$A$30="","",SUMIFS(Propostas!$F$5:$F$304,Propostas!$B$5:$B$304,Config!$A$30,Propostas!$G$5:$G$304,"Fechada"))</f>
        <v/>
      </c>
      <c r="G46" s="26">
        <f>IF(Config!$A$30="","",SUMIFS(Propostas!$F$5:$F$304,Propostas!$B$5:$B$304,Config!$A$30,Propostas!$G$5:$G$304,"&lt;&gt;Fechada",Propostas!$G$5:$G$304,"&lt;&gt;Perdida",Propostas!$G$5:$G$304,"&lt;&gt;"))</f>
        <v/>
      </c>
    </row>
    <row r="47">
      <c r="A47" s="24">
        <f>IF(Config!$A$31="","",Config!$A$31)</f>
        <v/>
      </c>
      <c r="B47" s="25">
        <f>IF(Config!$A$31="","",COUNTIFS(Propostas!$B$5:$B$304,Config!$A$31))</f>
        <v/>
      </c>
      <c r="C47" s="25">
        <f>IF(Config!$A$31="","",COUNTIFS(Propostas!$B$5:$B$304,Config!$A$31,Propostas!$G$5:$G$304,"Fechada"))</f>
        <v/>
      </c>
      <c r="D47" s="25">
        <f>IF(Config!$A$31="","",COUNTIFS(Propostas!$B$5:$B$304,Config!$A$31,Propostas!$G$5:$G$304,"Perdida"))</f>
        <v/>
      </c>
      <c r="E47" s="27">
        <f>IF(Config!$A$31="","",IFERROR(C47/(C47+D47),0))</f>
        <v/>
      </c>
      <c r="F47" s="26">
        <f>IF(Config!$A$31="","",SUMIFS(Propostas!$F$5:$F$304,Propostas!$B$5:$B$304,Config!$A$31,Propostas!$G$5:$G$304,"Fechada"))</f>
        <v/>
      </c>
      <c r="G47" s="26">
        <f>IF(Config!$A$31="","",SUMIFS(Propostas!$F$5:$F$304,Propostas!$B$5:$B$304,Config!$A$31,Propostas!$G$5:$G$304,"&lt;&gt;Fechada",Propostas!$G$5:$G$304,"&lt;&gt;Perdida",Propostas!$G$5:$G$304,"&lt;&gt;"))</f>
        <v/>
      </c>
    </row>
    <row r="48">
      <c r="A48" s="24">
        <f>IF(Config!$A$32="","",Config!$A$32)</f>
        <v/>
      </c>
      <c r="B48" s="25">
        <f>IF(Config!$A$32="","",COUNTIFS(Propostas!$B$5:$B$304,Config!$A$32))</f>
        <v/>
      </c>
      <c r="C48" s="25">
        <f>IF(Config!$A$32="","",COUNTIFS(Propostas!$B$5:$B$304,Config!$A$32,Propostas!$G$5:$G$304,"Fechada"))</f>
        <v/>
      </c>
      <c r="D48" s="25">
        <f>IF(Config!$A$32="","",COUNTIFS(Propostas!$B$5:$B$304,Config!$A$32,Propostas!$G$5:$G$304,"Perdida"))</f>
        <v/>
      </c>
      <c r="E48" s="27">
        <f>IF(Config!$A$32="","",IFERROR(C48/(C48+D48),0))</f>
        <v/>
      </c>
      <c r="F48" s="26">
        <f>IF(Config!$A$32="","",SUMIFS(Propostas!$F$5:$F$304,Propostas!$B$5:$B$304,Config!$A$32,Propostas!$G$5:$G$304,"Fechada"))</f>
        <v/>
      </c>
      <c r="G48" s="26">
        <f>IF(Config!$A$32="","",SUMIFS(Propostas!$F$5:$F$304,Propostas!$B$5:$B$304,Config!$A$32,Propostas!$G$5:$G$304,"&lt;&gt;Fechada",Propostas!$G$5:$G$304,"&lt;&gt;Perdida",Propostas!$G$5:$G$304,"&lt;&gt;"))</f>
        <v/>
      </c>
    </row>
    <row r="49">
      <c r="A49" s="24">
        <f>IF(Config!$A$33="","",Config!$A$33)</f>
        <v/>
      </c>
      <c r="B49" s="25">
        <f>IF(Config!$A$33="","",COUNTIFS(Propostas!$B$5:$B$304,Config!$A$33))</f>
        <v/>
      </c>
      <c r="C49" s="25">
        <f>IF(Config!$A$33="","",COUNTIFS(Propostas!$B$5:$B$304,Config!$A$33,Propostas!$G$5:$G$304,"Fechada"))</f>
        <v/>
      </c>
      <c r="D49" s="25">
        <f>IF(Config!$A$33="","",COUNTIFS(Propostas!$B$5:$B$304,Config!$A$33,Propostas!$G$5:$G$304,"Perdida"))</f>
        <v/>
      </c>
      <c r="E49" s="27">
        <f>IF(Config!$A$33="","",IFERROR(C49/(C49+D49),0))</f>
        <v/>
      </c>
      <c r="F49" s="26">
        <f>IF(Config!$A$33="","",SUMIFS(Propostas!$F$5:$F$304,Propostas!$B$5:$B$304,Config!$A$33,Propostas!$G$5:$G$304,"Fechada"))</f>
        <v/>
      </c>
      <c r="G49" s="26">
        <f>IF(Config!$A$33="","",SUMIFS(Propostas!$F$5:$F$304,Propostas!$B$5:$B$304,Config!$A$33,Propostas!$G$5:$G$304,"&lt;&gt;Fechada",Propostas!$G$5:$G$304,"&lt;&gt;Perdida",Propostas!$G$5:$G$304,"&lt;&gt;"))</f>
        <v/>
      </c>
    </row>
    <row r="50">
      <c r="A50" s="24">
        <f>IF(Config!$A$34="","",Config!$A$34)</f>
        <v/>
      </c>
      <c r="B50" s="25">
        <f>IF(Config!$A$34="","",COUNTIFS(Propostas!$B$5:$B$304,Config!$A$34))</f>
        <v/>
      </c>
      <c r="C50" s="25">
        <f>IF(Config!$A$34="","",COUNTIFS(Propostas!$B$5:$B$304,Config!$A$34,Propostas!$G$5:$G$304,"Fechada"))</f>
        <v/>
      </c>
      <c r="D50" s="25">
        <f>IF(Config!$A$34="","",COUNTIFS(Propostas!$B$5:$B$304,Config!$A$34,Propostas!$G$5:$G$304,"Perdida"))</f>
        <v/>
      </c>
      <c r="E50" s="27">
        <f>IF(Config!$A$34="","",IFERROR(C50/(C50+D50),0))</f>
        <v/>
      </c>
      <c r="F50" s="26">
        <f>IF(Config!$A$34="","",SUMIFS(Propostas!$F$5:$F$304,Propostas!$B$5:$B$304,Config!$A$34,Propostas!$G$5:$G$304,"Fechada"))</f>
        <v/>
      </c>
      <c r="G50" s="26">
        <f>IF(Config!$A$34="","",SUMIFS(Propostas!$F$5:$F$304,Propostas!$B$5:$B$304,Config!$A$34,Propostas!$G$5:$G$304,"&lt;&gt;Fechada",Propostas!$G$5:$G$304,"&lt;&gt;Perdida",Propostas!$G$5:$G$304,"&lt;&gt;"))</f>
        <v/>
      </c>
    </row>
    <row r="51">
      <c r="A51" s="24">
        <f>IF(Config!$A$35="","",Config!$A$35)</f>
        <v/>
      </c>
      <c r="B51" s="25">
        <f>IF(Config!$A$35="","",COUNTIFS(Propostas!$B$5:$B$304,Config!$A$35))</f>
        <v/>
      </c>
      <c r="C51" s="25">
        <f>IF(Config!$A$35="","",COUNTIFS(Propostas!$B$5:$B$304,Config!$A$35,Propostas!$G$5:$G$304,"Fechada"))</f>
        <v/>
      </c>
      <c r="D51" s="25">
        <f>IF(Config!$A$35="","",COUNTIFS(Propostas!$B$5:$B$304,Config!$A$35,Propostas!$G$5:$G$304,"Perdida"))</f>
        <v/>
      </c>
      <c r="E51" s="27">
        <f>IF(Config!$A$35="","",IFERROR(C51/(C51+D51),0))</f>
        <v/>
      </c>
      <c r="F51" s="26">
        <f>IF(Config!$A$35="","",SUMIFS(Propostas!$F$5:$F$304,Propostas!$B$5:$B$304,Config!$A$35,Propostas!$G$5:$G$304,"Fechada"))</f>
        <v/>
      </c>
      <c r="G51" s="26">
        <f>IF(Config!$A$35="","",SUMIFS(Propostas!$F$5:$F$304,Propostas!$B$5:$B$304,Config!$A$35,Propostas!$G$5:$G$304,"&lt;&gt;Fechada",Propostas!$G$5:$G$304,"&lt;&gt;Perdida",Propostas!$G$5:$G$304,"&lt;&gt;"))</f>
        <v/>
      </c>
    </row>
    <row r="52">
      <c r="A52" s="24">
        <f>IF(Config!$A$36="","",Config!$A$36)</f>
        <v/>
      </c>
      <c r="B52" s="25">
        <f>IF(Config!$A$36="","",COUNTIFS(Propostas!$B$5:$B$304,Config!$A$36))</f>
        <v/>
      </c>
      <c r="C52" s="25">
        <f>IF(Config!$A$36="","",COUNTIFS(Propostas!$B$5:$B$304,Config!$A$36,Propostas!$G$5:$G$304,"Fechada"))</f>
        <v/>
      </c>
      <c r="D52" s="25">
        <f>IF(Config!$A$36="","",COUNTIFS(Propostas!$B$5:$B$304,Config!$A$36,Propostas!$G$5:$G$304,"Perdida"))</f>
        <v/>
      </c>
      <c r="E52" s="27">
        <f>IF(Config!$A$36="","",IFERROR(C52/(C52+D52),0))</f>
        <v/>
      </c>
      <c r="F52" s="26">
        <f>IF(Config!$A$36="","",SUMIFS(Propostas!$F$5:$F$304,Propostas!$B$5:$B$304,Config!$A$36,Propostas!$G$5:$G$304,"Fechada"))</f>
        <v/>
      </c>
      <c r="G52" s="26">
        <f>IF(Config!$A$36="","",SUMIFS(Propostas!$F$5:$F$304,Propostas!$B$5:$B$304,Config!$A$36,Propostas!$G$5:$G$304,"&lt;&gt;Fechada",Propostas!$G$5:$G$304,"&lt;&gt;Perdida",Propostas!$G$5:$G$304,"&lt;&gt;"))</f>
        <v/>
      </c>
    </row>
    <row r="53">
      <c r="A53" s="24">
        <f>IF(Config!$A$37="","",Config!$A$37)</f>
        <v/>
      </c>
      <c r="B53" s="25">
        <f>IF(Config!$A$37="","",COUNTIFS(Propostas!$B$5:$B$304,Config!$A$37))</f>
        <v/>
      </c>
      <c r="C53" s="25">
        <f>IF(Config!$A$37="","",COUNTIFS(Propostas!$B$5:$B$304,Config!$A$37,Propostas!$G$5:$G$304,"Fechada"))</f>
        <v/>
      </c>
      <c r="D53" s="25">
        <f>IF(Config!$A$37="","",COUNTIFS(Propostas!$B$5:$B$304,Config!$A$37,Propostas!$G$5:$G$304,"Perdida"))</f>
        <v/>
      </c>
      <c r="E53" s="27">
        <f>IF(Config!$A$37="","",IFERROR(C53/(C53+D53),0))</f>
        <v/>
      </c>
      <c r="F53" s="26">
        <f>IF(Config!$A$37="","",SUMIFS(Propostas!$F$5:$F$304,Propostas!$B$5:$B$304,Config!$A$37,Propostas!$G$5:$G$304,"Fechada"))</f>
        <v/>
      </c>
      <c r="G53" s="26">
        <f>IF(Config!$A$37="","",SUMIFS(Propostas!$F$5:$F$304,Propostas!$B$5:$B$304,Config!$A$37,Propostas!$G$5:$G$304,"&lt;&gt;Fechada",Propostas!$G$5:$G$304,"&lt;&gt;Perdida",Propostas!$G$5:$G$304,"&lt;&gt;"))</f>
        <v/>
      </c>
    </row>
    <row r="55">
      <c r="A55" s="20" t="inlineStr">
        <is>
          <t>Motivos de perda</t>
        </is>
      </c>
    </row>
    <row r="56" ht="26" customHeight="1">
      <c r="A56" s="21" t="inlineStr">
        <is>
          <t>Motivo</t>
        </is>
      </c>
      <c r="B56" s="21" t="inlineStr">
        <is>
          <t>Perdidas</t>
        </is>
      </c>
      <c r="C56" s="21" t="inlineStr">
        <is>
          <t>Valor perdido (R$)</t>
        </is>
      </c>
      <c r="D56" s="21" t="inlineStr">
        <is>
          <t>% das perdidas</t>
        </is>
      </c>
      <c r="F56" s="21" t="inlineStr">
        <is>
          <t>Origem</t>
        </is>
      </c>
      <c r="G56" s="21" t="inlineStr">
        <is>
          <t>Propostas</t>
        </is>
      </c>
      <c r="H56" s="21" t="inlineStr">
        <is>
          <t>Fechadas</t>
        </is>
      </c>
      <c r="I56" s="21" t="inlineStr">
        <is>
          <t>Taxa de fechamento</t>
        </is>
      </c>
      <c r="J56" s="21" t="inlineStr">
        <is>
          <t>Valor fechado (R$)</t>
        </is>
      </c>
    </row>
    <row r="57">
      <c r="A57" s="24" t="str">
        <f>IF(Config!$E$18="","",Config!$E$18)</f>
        <v>Preço</v>
      </c>
      <c r="B57" s="25">
        <f>IF(Config!$E$18="","",COUNTIFS(Propostas!$L$5:$L$304,Config!$E$18,Propostas!$G$5:$G$304,"Perdida"))</f>
        <v>2</v>
      </c>
      <c r="C57" s="26">
        <f>IF(Config!$E$18="","",SUMIFS(Propostas!$F$5:$F$304,Propostas!$L$5:$L$304,Config!$E$18,Propostas!$G$5:$G$304,"Perdida"))</f>
        <v>16200</v>
      </c>
      <c r="D57" s="27">
        <f>IF(Config!$E$18="","",IFERROR(B57/$B$16,0))</f>
        <v>0.5</v>
      </c>
      <c r="F57" s="24" t="str">
        <f>IF(Config!$C$18="","",Config!$C$18)</f>
        <v>Indicação de cliente</v>
      </c>
      <c r="G57" s="25">
        <f>IF(Config!$C$18="","",COUNTIFS(Propostas!$D$5:$D$304,Config!$C$18))</f>
        <v>4</v>
      </c>
      <c r="H57" s="25">
        <f>IF(Config!$C$18="","",COUNTIFS(Propostas!$D$5:$D$304,Config!$C$18,Propostas!$G$5:$G$304,"Fechada"))</f>
        <v>1</v>
      </c>
      <c r="I57" s="27">
        <f>IF(Config!$C$18="","",IFERROR(H57/(H57+COUNTIFS(Propostas!$D$5:$D$304,Config!$C$18,Propostas!$G$5:$G$304,"Perdida")),0))</f>
        <v>0.5</v>
      </c>
      <c r="J57" s="26">
        <f>IF(Config!$C$18="","",SUMIFS(Propostas!$F$5:$F$304,Propostas!$D$5:$D$304,Config!$C$18,Propostas!$G$5:$G$304,"Fechada"))</f>
        <v>6000</v>
      </c>
    </row>
    <row r="58">
      <c r="A58" s="24" t="str">
        <f>IF(Config!$E$19="","",Config!$E$19)</f>
        <v>Fechou com outro escritório</v>
      </c>
      <c r="B58" s="25">
        <f>IF(Config!$E$19="","",COUNTIFS(Propostas!$L$5:$L$304,Config!$E$19,Propostas!$G$5:$G$304,"Perdida"))</f>
        <v>1</v>
      </c>
      <c r="C58" s="26">
        <f>IF(Config!$E$19="","",SUMIFS(Propostas!$F$5:$F$304,Propostas!$L$5:$L$304,Config!$E$19,Propostas!$G$5:$G$304,"Perdida"))</f>
        <v>6500</v>
      </c>
      <c r="D58" s="27">
        <f>IF(Config!$E$19="","",IFERROR(B58/$B$16,0))</f>
        <v>0.25</v>
      </c>
      <c r="F58" s="24" t="str">
        <f>IF(Config!$C$19="","",Config!$C$19)</f>
        <v>Site e Google</v>
      </c>
      <c r="G58" s="25">
        <f>IF(Config!$C$19="","",COUNTIFS(Propostas!$D$5:$D$304,Config!$C$19))</f>
        <v>3</v>
      </c>
      <c r="H58" s="25">
        <f>IF(Config!$C$19="","",COUNTIFS(Propostas!$D$5:$D$304,Config!$C$19,Propostas!$G$5:$G$304,"Fechada"))</f>
        <v>1</v>
      </c>
      <c r="I58" s="27">
        <f>IF(Config!$C$19="","",IFERROR(H58/(H58+COUNTIFS(Propostas!$D$5:$D$304,Config!$C$19,Propostas!$G$5:$G$304,"Perdida")),0))</f>
        <v>0.5</v>
      </c>
      <c r="J58" s="26">
        <f>IF(Config!$C$19="","",SUMIFS(Propostas!$F$5:$F$304,Propostas!$D$5:$D$304,Config!$C$19,Propostas!$G$5:$G$304,"Fechada"))</f>
        <v>5400</v>
      </c>
    </row>
    <row r="59">
      <c r="A59" s="24" t="str">
        <f>IF(Config!$E$20="","",Config!$E$20)</f>
        <v>Desistiu da demanda</v>
      </c>
      <c r="B59" s="25">
        <f>IF(Config!$E$20="","",COUNTIFS(Propostas!$L$5:$L$304,Config!$E$20,Propostas!$G$5:$G$304,"Perdida"))</f>
        <v>0</v>
      </c>
      <c r="C59" s="26">
        <f>IF(Config!$E$20="","",SUMIFS(Propostas!$F$5:$F$304,Propostas!$L$5:$L$304,Config!$E$20,Propostas!$G$5:$G$304,"Perdida"))</f>
        <v>0</v>
      </c>
      <c r="D59" s="27">
        <f>IF(Config!$E$20="","",IFERROR(B59/$B$16,0))</f>
        <v>0</v>
      </c>
      <c r="F59" s="24" t="str">
        <f>IF(Config!$C$20="","",Config!$C$20)</f>
        <v>Instagram</v>
      </c>
      <c r="G59" s="25">
        <f>IF(Config!$C$20="","",COUNTIFS(Propostas!$D$5:$D$304,Config!$C$20))</f>
        <v>2</v>
      </c>
      <c r="H59" s="25">
        <f>IF(Config!$C$20="","",COUNTIFS(Propostas!$D$5:$D$304,Config!$C$20,Propostas!$G$5:$G$304,"Fechada"))</f>
        <v>1</v>
      </c>
      <c r="I59" s="27">
        <f>IF(Config!$C$20="","",IFERROR(H59/(H59+COUNTIFS(Propostas!$D$5:$D$304,Config!$C$20,Propostas!$G$5:$G$304,"Perdida")),0))</f>
        <v>0.5</v>
      </c>
      <c r="J59" s="26">
        <f>IF(Config!$C$20="","",SUMIFS(Propostas!$F$5:$F$304,Propostas!$D$5:$D$304,Config!$C$20,Propostas!$G$5:$G$304,"Fechada"))</f>
        <v>4500</v>
      </c>
    </row>
    <row r="60">
      <c r="A60" s="24" t="str">
        <f>IF(Config!$E$21="","",Config!$E$21)</f>
        <v>Sem resposta</v>
      </c>
      <c r="B60" s="25">
        <f>IF(Config!$E$21="","",COUNTIFS(Propostas!$L$5:$L$304,Config!$E$21,Propostas!$G$5:$G$304,"Perdida"))</f>
        <v>1</v>
      </c>
      <c r="C60" s="26">
        <f>IF(Config!$E$21="","",SUMIFS(Propostas!$F$5:$F$304,Propostas!$L$5:$L$304,Config!$E$21,Propostas!$G$5:$G$304,"Perdida"))</f>
        <v>4400</v>
      </c>
      <c r="D60" s="27">
        <f>IF(Config!$E$21="","",IFERROR(B60/$B$16,0))</f>
        <v>0.25</v>
      </c>
      <c r="F60" s="24" t="str">
        <f>IF(Config!$C$21="","",Config!$C$21)</f>
        <v>Cliente antigo</v>
      </c>
      <c r="G60" s="25">
        <f>IF(Config!$C$21="","",COUNTIFS(Propostas!$D$5:$D$304,Config!$C$21))</f>
        <v>8</v>
      </c>
      <c r="H60" s="25">
        <f>IF(Config!$C$21="","",COUNTIFS(Propostas!$D$5:$D$304,Config!$C$21,Propostas!$G$5:$G$304,"Fechada"))</f>
        <v>3</v>
      </c>
      <c r="I60" s="27">
        <f>IF(Config!$C$21="","",IFERROR(H60/(H60+COUNTIFS(Propostas!$D$5:$D$304,Config!$C$21,Propostas!$G$5:$G$304,"Perdida")),0))</f>
        <v>1</v>
      </c>
      <c r="J60" s="26">
        <f>IF(Config!$C$21="","",SUMIFS(Propostas!$F$5:$F$304,Propostas!$D$5:$D$304,Config!$C$21,Propostas!$G$5:$G$304,"Fechada"))</f>
        <v>46700</v>
      </c>
    </row>
    <row r="61">
      <c r="A61" s="24" t="str">
        <f>IF(Config!$E$22="","",Config!$E$22)</f>
        <v>Fora da área de atuação</v>
      </c>
      <c r="B61" s="25">
        <f>IF(Config!$E$22="","",COUNTIFS(Propostas!$L$5:$L$304,Config!$E$22,Propostas!$G$5:$G$304,"Perdida"))</f>
        <v>0</v>
      </c>
      <c r="C61" s="26">
        <f>IF(Config!$E$22="","",SUMIFS(Propostas!$F$5:$F$304,Propostas!$L$5:$L$304,Config!$E$22,Propostas!$G$5:$G$304,"Perdida"))</f>
        <v>0</v>
      </c>
      <c r="D61" s="27">
        <f>IF(Config!$E$22="","",IFERROR(B61/$B$16,0))</f>
        <v>0</v>
      </c>
      <c r="F61" s="24" t="str">
        <f>IF(Config!$C$22="","",Config!$C$22)</f>
        <v>Parceria (contador, imobiliária)</v>
      </c>
      <c r="G61" s="25">
        <f>IF(Config!$C$22="","",COUNTIFS(Propostas!$D$5:$D$304,Config!$C$22))</f>
        <v>2</v>
      </c>
      <c r="H61" s="25">
        <f>IF(Config!$C$22="","",COUNTIFS(Propostas!$D$5:$D$304,Config!$C$22,Propostas!$G$5:$G$304,"Fechada"))</f>
        <v>1</v>
      </c>
      <c r="I61" s="27">
        <f>IF(Config!$C$22="","",IFERROR(H61/(H61+COUNTIFS(Propostas!$D$5:$D$304,Config!$C$22,Propostas!$G$5:$G$304,"Perdida")),0))</f>
        <v>1</v>
      </c>
      <c r="J61" s="26">
        <f>IF(Config!$C$22="","",SUMIFS(Propostas!$F$5:$F$304,Propostas!$D$5:$D$304,Config!$C$22,Propostas!$G$5:$G$304,"Fechada"))</f>
        <v>8400</v>
      </c>
    </row>
    <row r="62">
      <c r="A62" s="24" t="str">
        <f>IF(Config!$E$23="","",Config!$E$23)</f>
        <v>Prazo de atendimento</v>
      </c>
      <c r="B62" s="25">
        <f>IF(Config!$E$23="","",COUNTIFS(Propostas!$L$5:$L$304,Config!$E$23,Propostas!$G$5:$G$304,"Perdida"))</f>
        <v>0</v>
      </c>
      <c r="C62" s="26">
        <f>IF(Config!$E$23="","",SUMIFS(Propostas!$F$5:$F$304,Propostas!$L$5:$L$304,Config!$E$23,Propostas!$G$5:$G$304,"Perdida"))</f>
        <v>0</v>
      </c>
      <c r="D62" s="27">
        <f>IF(Config!$E$23="","",IFERROR(B62/$B$16,0))</f>
        <v>0</v>
      </c>
      <c r="F62" s="24" t="str">
        <f>IF(Config!$C$23="","",Config!$C$23)</f>
        <v>Evento ou palestra</v>
      </c>
      <c r="G62" s="25">
        <f>IF(Config!$C$23="","",COUNTIFS(Propostas!$D$5:$D$304,Config!$C$23))</f>
        <v>1</v>
      </c>
      <c r="H62" s="25">
        <f>IF(Config!$C$23="","",COUNTIFS(Propostas!$D$5:$D$304,Config!$C$23,Propostas!$G$5:$G$304,"Fechada"))</f>
        <v>0</v>
      </c>
      <c r="I62" s="27">
        <f>IF(Config!$C$23="","",IFERROR(H62/(H62+COUNTIFS(Propostas!$D$5:$D$304,Config!$C$23,Propostas!$G$5:$G$304,"Perdida")),0))</f>
        <v>0</v>
      </c>
      <c r="J62" s="26">
        <f>IF(Config!$C$23="","",SUMIFS(Propostas!$F$5:$F$304,Propostas!$D$5:$D$304,Config!$C$23,Propostas!$G$5:$G$304,"Fechada"))</f>
        <v>0</v>
      </c>
    </row>
    <row r="63">
      <c r="A63" s="24">
        <f>IF(Config!$E$24="","",Config!$E$24)</f>
        <v/>
      </c>
      <c r="B63" s="25">
        <f>IF(Config!$E$24="","",COUNTIFS(Propostas!$L$5:$L$304,Config!$E$24,Propostas!$G$5:$G$304,"Perdida"))</f>
        <v/>
      </c>
      <c r="C63" s="26">
        <f>IF(Config!$E$24="","",SUMIFS(Propostas!$F$5:$F$304,Propostas!$L$5:$L$304,Config!$E$24,Propostas!$G$5:$G$304,"Perdida"))</f>
        <v/>
      </c>
      <c r="D63" s="27">
        <f>IF(Config!$E$24="","",IFERROR(B63/$B$16,0))</f>
        <v/>
      </c>
      <c r="F63" s="24">
        <f>IF(Config!$C$24="","",Config!$C$24)</f>
        <v/>
      </c>
      <c r="G63" s="25">
        <f>IF(Config!$C$24="","",COUNTIFS(Propostas!$D$5:$D$304,Config!$C$24))</f>
        <v/>
      </c>
      <c r="H63" s="25">
        <f>IF(Config!$C$24="","",COUNTIFS(Propostas!$D$5:$D$304,Config!$C$24,Propostas!$G$5:$G$304,"Fechada"))</f>
        <v/>
      </c>
      <c r="I63" s="27">
        <f>IF(Config!$C$24="","",IFERROR(H63/(H63+COUNTIFS(Propostas!$D$5:$D$304,Config!$C$24,Propostas!$G$5:$G$304,"Perdida")),0))</f>
        <v/>
      </c>
      <c r="J63" s="26">
        <f>IF(Config!$C$24="","",SUMIFS(Propostas!$F$5:$F$304,Propostas!$D$5:$D$304,Config!$C$24,Propostas!$G$5:$G$304,"Fechada"))</f>
        <v/>
      </c>
    </row>
    <row r="64">
      <c r="A64" s="24">
        <f>IF(Config!$E$25="","",Config!$E$25)</f>
        <v/>
      </c>
      <c r="B64" s="25">
        <f>IF(Config!$E$25="","",COUNTIFS(Propostas!$L$5:$L$304,Config!$E$25,Propostas!$G$5:$G$304,"Perdida"))</f>
        <v/>
      </c>
      <c r="C64" s="26">
        <f>IF(Config!$E$25="","",SUMIFS(Propostas!$F$5:$F$304,Propostas!$L$5:$L$304,Config!$E$25,Propostas!$G$5:$G$304,"Perdida"))</f>
        <v/>
      </c>
      <c r="D64" s="27">
        <f>IF(Config!$E$25="","",IFERROR(B64/$B$16,0))</f>
        <v/>
      </c>
      <c r="F64" s="24">
        <f>IF(Config!$C$25="","",Config!$C$25)</f>
        <v/>
      </c>
      <c r="G64" s="25">
        <f>IF(Config!$C$25="","",COUNTIFS(Propostas!$D$5:$D$304,Config!$C$25))</f>
        <v/>
      </c>
      <c r="H64" s="25">
        <f>IF(Config!$C$25="","",COUNTIFS(Propostas!$D$5:$D$304,Config!$C$25,Propostas!$G$5:$G$304,"Fechada"))</f>
        <v/>
      </c>
      <c r="I64" s="27">
        <f>IF(Config!$C$25="","",IFERROR(H64/(H64+COUNTIFS(Propostas!$D$5:$D$304,Config!$C$25,Propostas!$G$5:$G$304,"Perdida")),0))</f>
        <v/>
      </c>
      <c r="J64" s="26">
        <f>IF(Config!$C$25="","",SUMIFS(Propostas!$F$5:$F$304,Propostas!$D$5:$D$304,Config!$C$25,Propostas!$G$5:$G$304,"Fechada"))</f>
        <v/>
      </c>
    </row>
    <row r="65">
      <c r="A65" s="24">
        <f>IF(Config!$E$26="","",Config!$E$26)</f>
        <v/>
      </c>
      <c r="B65" s="25">
        <f>IF(Config!$E$26="","",COUNTIFS(Propostas!$L$5:$L$304,Config!$E$26,Propostas!$G$5:$G$304,"Perdida"))</f>
        <v/>
      </c>
      <c r="C65" s="26">
        <f>IF(Config!$E$26="","",SUMIFS(Propostas!$F$5:$F$304,Propostas!$L$5:$L$304,Config!$E$26,Propostas!$G$5:$G$304,"Perdida"))</f>
        <v/>
      </c>
      <c r="D65" s="27">
        <f>IF(Config!$E$26="","",IFERROR(B65/$B$16,0))</f>
        <v/>
      </c>
      <c r="F65" s="24">
        <f>IF(Config!$C$26="","",Config!$C$26)</f>
        <v/>
      </c>
      <c r="G65" s="25">
        <f>IF(Config!$C$26="","",COUNTIFS(Propostas!$D$5:$D$304,Config!$C$26))</f>
        <v/>
      </c>
      <c r="H65" s="25">
        <f>IF(Config!$C$26="","",COUNTIFS(Propostas!$D$5:$D$304,Config!$C$26,Propostas!$G$5:$G$304,"Fechada"))</f>
        <v/>
      </c>
      <c r="I65" s="27">
        <f>IF(Config!$C$26="","",IFERROR(H65/(H65+COUNTIFS(Propostas!$D$5:$D$304,Config!$C$26,Propostas!$G$5:$G$304,"Perdida")),0))</f>
        <v/>
      </c>
      <c r="J65" s="26">
        <f>IF(Config!$C$26="","",SUMIFS(Propostas!$F$5:$F$304,Propostas!$D$5:$D$304,Config!$C$26,Propostas!$G$5:$G$304,"Fechada"))</f>
        <v/>
      </c>
    </row>
    <row r="66">
      <c r="A66" s="24">
        <f>IF(Config!$E$27="","",Config!$E$27)</f>
        <v/>
      </c>
      <c r="B66" s="25">
        <f>IF(Config!$E$27="","",COUNTIFS(Propostas!$L$5:$L$304,Config!$E$27,Propostas!$G$5:$G$304,"Perdida"))</f>
        <v/>
      </c>
      <c r="C66" s="26">
        <f>IF(Config!$E$27="","",SUMIFS(Propostas!$F$5:$F$304,Propostas!$L$5:$L$304,Config!$E$27,Propostas!$G$5:$G$304,"Perdida"))</f>
        <v/>
      </c>
      <c r="D66" s="27">
        <f>IF(Config!$E$27="","",IFERROR(B66/$B$16,0))</f>
        <v/>
      </c>
      <c r="F66" s="24">
        <f>IF(Config!$C$27="","",Config!$C$27)</f>
        <v/>
      </c>
      <c r="G66" s="25">
        <f>IF(Config!$C$27="","",COUNTIFS(Propostas!$D$5:$D$304,Config!$C$27))</f>
        <v/>
      </c>
      <c r="H66" s="25">
        <f>IF(Config!$C$27="","",COUNTIFS(Propostas!$D$5:$D$304,Config!$C$27,Propostas!$G$5:$G$304,"Fechada"))</f>
        <v/>
      </c>
      <c r="I66" s="27">
        <f>IF(Config!$C$27="","",IFERROR(H66/(H66+COUNTIFS(Propostas!$D$5:$D$304,Config!$C$27,Propostas!$G$5:$G$304,"Perdida")),0))</f>
        <v/>
      </c>
      <c r="J66" s="26">
        <f>IF(Config!$C$27="","",SUMIFS(Propostas!$F$5:$F$304,Propostas!$D$5:$D$304,Config!$C$27,Propostas!$G$5:$G$304,"Fechada"))</f>
        <v/>
      </c>
    </row>
    <row r="67">
      <c r="A67" s="24">
        <f>IF(Config!$E$28="","",Config!$E$28)</f>
        <v/>
      </c>
      <c r="B67" s="25">
        <f>IF(Config!$E$28="","",COUNTIFS(Propostas!$L$5:$L$304,Config!$E$28,Propostas!$G$5:$G$304,"Perdida"))</f>
        <v/>
      </c>
      <c r="C67" s="26">
        <f>IF(Config!$E$28="","",SUMIFS(Propostas!$F$5:$F$304,Propostas!$L$5:$L$304,Config!$E$28,Propostas!$G$5:$G$304,"Perdida"))</f>
        <v/>
      </c>
      <c r="D67" s="27">
        <f>IF(Config!$E$28="","",IFERROR(B67/$B$16,0))</f>
        <v/>
      </c>
      <c r="F67" s="24">
        <f>IF(Config!$C$28="","",Config!$C$28)</f>
        <v/>
      </c>
      <c r="G67" s="25">
        <f>IF(Config!$C$28="","",COUNTIFS(Propostas!$D$5:$D$304,Config!$C$28))</f>
        <v/>
      </c>
      <c r="H67" s="25">
        <f>IF(Config!$C$28="","",COUNTIFS(Propostas!$D$5:$D$304,Config!$C$28,Propostas!$G$5:$G$304,"Fechada"))</f>
        <v/>
      </c>
      <c r="I67" s="27">
        <f>IF(Config!$C$28="","",IFERROR(H67/(H67+COUNTIFS(Propostas!$D$5:$D$304,Config!$C$28,Propostas!$G$5:$G$304,"Perdida")),0))</f>
        <v/>
      </c>
      <c r="J67" s="26">
        <f>IF(Config!$C$28="","",SUMIFS(Propostas!$F$5:$F$304,Propostas!$D$5:$D$304,Config!$C$28,Propostas!$G$5:$G$304,"Fechada"))</f>
        <v/>
      </c>
    </row>
    <row r="68">
      <c r="A68" s="24">
        <f>IF(Config!$E$29="","",Config!$E$29)</f>
        <v/>
      </c>
      <c r="B68" s="25">
        <f>IF(Config!$E$29="","",COUNTIFS(Propostas!$L$5:$L$304,Config!$E$29,Propostas!$G$5:$G$304,"Perdida"))</f>
        <v/>
      </c>
      <c r="C68" s="26">
        <f>IF(Config!$E$29="","",SUMIFS(Propostas!$F$5:$F$304,Propostas!$L$5:$L$304,Config!$E$29,Propostas!$G$5:$G$304,"Perdida"))</f>
        <v/>
      </c>
      <c r="D68" s="27">
        <f>IF(Config!$E$29="","",IFERROR(B68/$B$16,0))</f>
        <v/>
      </c>
      <c r="F68" s="24">
        <f>IF(Config!$C$29="","",Config!$C$29)</f>
        <v/>
      </c>
      <c r="G68" s="25">
        <f>IF(Config!$C$29="","",COUNTIFS(Propostas!$D$5:$D$304,Config!$C$29))</f>
        <v/>
      </c>
      <c r="H68" s="25">
        <f>IF(Config!$C$29="","",COUNTIFS(Propostas!$D$5:$D$304,Config!$C$29,Propostas!$G$5:$G$304,"Fechada"))</f>
        <v/>
      </c>
      <c r="I68" s="27">
        <f>IF(Config!$C$29="","",IFERROR(H68/(H68+COUNTIFS(Propostas!$D$5:$D$304,Config!$C$29,Propostas!$G$5:$G$304,"Perdida")),0))</f>
        <v/>
      </c>
      <c r="J68" s="26">
        <f>IF(Config!$C$29="","",SUMIFS(Propostas!$F$5:$F$304,Propostas!$D$5:$D$304,Config!$C$29,Propostas!$G$5:$G$304,"Fechada"))</f>
        <v/>
      </c>
    </row>
    <row r="69">
      <c r="A69" s="24">
        <f>IF(Config!$E$30="","",Config!$E$30)</f>
        <v/>
      </c>
      <c r="B69" s="25">
        <f>IF(Config!$E$30="","",COUNTIFS(Propostas!$L$5:$L$304,Config!$E$30,Propostas!$G$5:$G$304,"Perdida"))</f>
        <v/>
      </c>
      <c r="C69" s="26">
        <f>IF(Config!$E$30="","",SUMIFS(Propostas!$F$5:$F$304,Propostas!$L$5:$L$304,Config!$E$30,Propostas!$G$5:$G$304,"Perdida"))</f>
        <v/>
      </c>
      <c r="D69" s="27">
        <f>IF(Config!$E$30="","",IFERROR(B69/$B$16,0))</f>
        <v/>
      </c>
      <c r="F69" s="24">
        <f>IF(Config!$C$30="","",Config!$C$30)</f>
        <v/>
      </c>
      <c r="G69" s="25">
        <f>IF(Config!$C$30="","",COUNTIFS(Propostas!$D$5:$D$304,Config!$C$30))</f>
        <v/>
      </c>
      <c r="H69" s="25">
        <f>IF(Config!$C$30="","",COUNTIFS(Propostas!$D$5:$D$304,Config!$C$30,Propostas!$G$5:$G$304,"Fechada"))</f>
        <v/>
      </c>
      <c r="I69" s="27">
        <f>IF(Config!$C$30="","",IFERROR(H69/(H69+COUNTIFS(Propostas!$D$5:$D$304,Config!$C$30,Propostas!$G$5:$G$304,"Perdida")),0))</f>
        <v/>
      </c>
      <c r="J69" s="26">
        <f>IF(Config!$C$30="","",SUMIFS(Propostas!$F$5:$F$304,Propostas!$D$5:$D$304,Config!$C$30,Propostas!$G$5:$G$304,"Fechada"))</f>
        <v/>
      </c>
    </row>
    <row r="70">
      <c r="A70" s="24">
        <f>IF(Config!$E$31="","",Config!$E$31)</f>
        <v/>
      </c>
      <c r="B70" s="25">
        <f>IF(Config!$E$31="","",COUNTIFS(Propostas!$L$5:$L$304,Config!$E$31,Propostas!$G$5:$G$304,"Perdida"))</f>
        <v/>
      </c>
      <c r="C70" s="26">
        <f>IF(Config!$E$31="","",SUMIFS(Propostas!$F$5:$F$304,Propostas!$L$5:$L$304,Config!$E$31,Propostas!$G$5:$G$304,"Perdida"))</f>
        <v/>
      </c>
      <c r="D70" s="27">
        <f>IF(Config!$E$31="","",IFERROR(B70/$B$16,0))</f>
        <v/>
      </c>
      <c r="F70" s="24">
        <f>IF(Config!$C$31="","",Config!$C$31)</f>
        <v/>
      </c>
      <c r="G70" s="25">
        <f>IF(Config!$C$31="","",COUNTIFS(Propostas!$D$5:$D$304,Config!$C$31))</f>
        <v/>
      </c>
      <c r="H70" s="25">
        <f>IF(Config!$C$31="","",COUNTIFS(Propostas!$D$5:$D$304,Config!$C$31,Propostas!$G$5:$G$304,"Fechada"))</f>
        <v/>
      </c>
      <c r="I70" s="27">
        <f>IF(Config!$C$31="","",IFERROR(H70/(H70+COUNTIFS(Propostas!$D$5:$D$304,Config!$C$31,Propostas!$G$5:$G$304,"Perdida")),0))</f>
        <v/>
      </c>
      <c r="J70" s="26">
        <f>IF(Config!$C$31="","",SUMIFS(Propostas!$F$5:$F$304,Propostas!$D$5:$D$304,Config!$C$31,Propostas!$G$5:$G$304,"Fechada"))</f>
        <v/>
      </c>
    </row>
    <row r="71">
      <c r="A71" s="24">
        <f>IF(Config!$E$32="","",Config!$E$32)</f>
        <v/>
      </c>
      <c r="B71" s="25">
        <f>IF(Config!$E$32="","",COUNTIFS(Propostas!$L$5:$L$304,Config!$E$32,Propostas!$G$5:$G$304,"Perdida"))</f>
        <v/>
      </c>
      <c r="C71" s="26">
        <f>IF(Config!$E$32="","",SUMIFS(Propostas!$F$5:$F$304,Propostas!$L$5:$L$304,Config!$E$32,Propostas!$G$5:$G$304,"Perdida"))</f>
        <v/>
      </c>
      <c r="D71" s="27">
        <f>IF(Config!$E$32="","",IFERROR(B71/$B$16,0))</f>
        <v/>
      </c>
      <c r="F71" s="24">
        <f>IF(Config!$C$32="","",Config!$C$32)</f>
        <v/>
      </c>
      <c r="G71" s="25">
        <f>IF(Config!$C$32="","",COUNTIFS(Propostas!$D$5:$D$304,Config!$C$32))</f>
        <v/>
      </c>
      <c r="H71" s="25">
        <f>IF(Config!$C$32="","",COUNTIFS(Propostas!$D$5:$D$304,Config!$C$32,Propostas!$G$5:$G$304,"Fechada"))</f>
        <v/>
      </c>
      <c r="I71" s="27">
        <f>IF(Config!$C$32="","",IFERROR(H71/(H71+COUNTIFS(Propostas!$D$5:$D$304,Config!$C$32,Propostas!$G$5:$G$304,"Perdida")),0))</f>
        <v/>
      </c>
      <c r="J71" s="26">
        <f>IF(Config!$C$32="","",SUMIFS(Propostas!$F$5:$F$304,Propostas!$D$5:$D$304,Config!$C$32,Propostas!$G$5:$G$304,"Fechada"))</f>
        <v/>
      </c>
    </row>
    <row r="72">
      <c r="A72" s="24">
        <f>IF(Config!$E$33="","",Config!$E$33)</f>
        <v/>
      </c>
      <c r="B72" s="25">
        <f>IF(Config!$E$33="","",COUNTIFS(Propostas!$L$5:$L$304,Config!$E$33,Propostas!$G$5:$G$304,"Perdida"))</f>
        <v/>
      </c>
      <c r="C72" s="26">
        <f>IF(Config!$E$33="","",SUMIFS(Propostas!$F$5:$F$304,Propostas!$L$5:$L$304,Config!$E$33,Propostas!$G$5:$G$304,"Perdida"))</f>
        <v/>
      </c>
      <c r="D72" s="27">
        <f>IF(Config!$E$33="","",IFERROR(B72/$B$16,0))</f>
        <v/>
      </c>
      <c r="F72" s="24">
        <f>IF(Config!$C$33="","",Config!$C$33)</f>
        <v/>
      </c>
      <c r="G72" s="25">
        <f>IF(Config!$C$33="","",COUNTIFS(Propostas!$D$5:$D$304,Config!$C$33))</f>
        <v/>
      </c>
      <c r="H72" s="25">
        <f>IF(Config!$C$33="","",COUNTIFS(Propostas!$D$5:$D$304,Config!$C$33,Propostas!$G$5:$G$304,"Fechada"))</f>
        <v/>
      </c>
      <c r="I72" s="27">
        <f>IF(Config!$C$33="","",IFERROR(H72/(H72+COUNTIFS(Propostas!$D$5:$D$304,Config!$C$33,Propostas!$G$5:$G$304,"Perdida")),0))</f>
        <v/>
      </c>
      <c r="J72" s="26">
        <f>IF(Config!$C$33="","",SUMIFS(Propostas!$F$5:$F$304,Propostas!$D$5:$D$304,Config!$C$33,Propostas!$G$5:$G$304,"Fechada"))</f>
        <v/>
      </c>
    </row>
    <row r="73">
      <c r="A73" s="24">
        <f>IF(Config!$E$34="","",Config!$E$34)</f>
        <v/>
      </c>
      <c r="B73" s="25">
        <f>IF(Config!$E$34="","",COUNTIFS(Propostas!$L$5:$L$304,Config!$E$34,Propostas!$G$5:$G$304,"Perdida"))</f>
        <v/>
      </c>
      <c r="C73" s="26">
        <f>IF(Config!$E$34="","",SUMIFS(Propostas!$F$5:$F$304,Propostas!$L$5:$L$304,Config!$E$34,Propostas!$G$5:$G$304,"Perdida"))</f>
        <v/>
      </c>
      <c r="D73" s="27">
        <f>IF(Config!$E$34="","",IFERROR(B73/$B$16,0))</f>
        <v/>
      </c>
      <c r="F73" s="24">
        <f>IF(Config!$C$34="","",Config!$C$34)</f>
        <v/>
      </c>
      <c r="G73" s="25">
        <f>IF(Config!$C$34="","",COUNTIFS(Propostas!$D$5:$D$304,Config!$C$34))</f>
        <v/>
      </c>
      <c r="H73" s="25">
        <f>IF(Config!$C$34="","",COUNTIFS(Propostas!$D$5:$D$304,Config!$C$34,Propostas!$G$5:$G$304,"Fechada"))</f>
        <v/>
      </c>
      <c r="I73" s="27">
        <f>IF(Config!$C$34="","",IFERROR(H73/(H73+COUNTIFS(Propostas!$D$5:$D$304,Config!$C$34,Propostas!$G$5:$G$304,"Perdida")),0))</f>
        <v/>
      </c>
      <c r="J73" s="26">
        <f>IF(Config!$C$34="","",SUMIFS(Propostas!$F$5:$F$304,Propostas!$D$5:$D$304,Config!$C$34,Propostas!$G$5:$G$304,"Fechada"))</f>
        <v/>
      </c>
    </row>
    <row r="74">
      <c r="A74" s="24">
        <f>IF(Config!$E$35="","",Config!$E$35)</f>
        <v/>
      </c>
      <c r="B74" s="25">
        <f>IF(Config!$E$35="","",COUNTIFS(Propostas!$L$5:$L$304,Config!$E$35,Propostas!$G$5:$G$304,"Perdida"))</f>
        <v/>
      </c>
      <c r="C74" s="26">
        <f>IF(Config!$E$35="","",SUMIFS(Propostas!$F$5:$F$304,Propostas!$L$5:$L$304,Config!$E$35,Propostas!$G$5:$G$304,"Perdida"))</f>
        <v/>
      </c>
      <c r="D74" s="27">
        <f>IF(Config!$E$35="","",IFERROR(B74/$B$16,0))</f>
        <v/>
      </c>
      <c r="F74" s="24">
        <f>IF(Config!$C$35="","",Config!$C$35)</f>
        <v/>
      </c>
      <c r="G74" s="25">
        <f>IF(Config!$C$35="","",COUNTIFS(Propostas!$D$5:$D$304,Config!$C$35))</f>
        <v/>
      </c>
      <c r="H74" s="25">
        <f>IF(Config!$C$35="","",COUNTIFS(Propostas!$D$5:$D$304,Config!$C$35,Propostas!$G$5:$G$304,"Fechada"))</f>
        <v/>
      </c>
      <c r="I74" s="27">
        <f>IF(Config!$C$35="","",IFERROR(H74/(H74+COUNTIFS(Propostas!$D$5:$D$304,Config!$C$35,Propostas!$G$5:$G$304,"Perdida")),0))</f>
        <v/>
      </c>
      <c r="J74" s="26">
        <f>IF(Config!$C$35="","",SUMIFS(Propostas!$F$5:$F$304,Propostas!$D$5:$D$304,Config!$C$35,Propostas!$G$5:$G$304,"Fechada"))</f>
        <v/>
      </c>
    </row>
    <row r="75">
      <c r="A75" s="24">
        <f>IF(Config!$E$36="","",Config!$E$36)</f>
        <v/>
      </c>
      <c r="B75" s="25">
        <f>IF(Config!$E$36="","",COUNTIFS(Propostas!$L$5:$L$304,Config!$E$36,Propostas!$G$5:$G$304,"Perdida"))</f>
        <v/>
      </c>
      <c r="C75" s="26">
        <f>IF(Config!$E$36="","",SUMIFS(Propostas!$F$5:$F$304,Propostas!$L$5:$L$304,Config!$E$36,Propostas!$G$5:$G$304,"Perdida"))</f>
        <v/>
      </c>
      <c r="D75" s="27">
        <f>IF(Config!$E$36="","",IFERROR(B75/$B$16,0))</f>
        <v/>
      </c>
      <c r="F75" s="24">
        <f>IF(Config!$C$36="","",Config!$C$36)</f>
        <v/>
      </c>
      <c r="G75" s="25">
        <f>IF(Config!$C$36="","",COUNTIFS(Propostas!$D$5:$D$304,Config!$C$36))</f>
        <v/>
      </c>
      <c r="H75" s="25">
        <f>IF(Config!$C$36="","",COUNTIFS(Propostas!$D$5:$D$304,Config!$C$36,Propostas!$G$5:$G$304,"Fechada"))</f>
        <v/>
      </c>
      <c r="I75" s="27">
        <f>IF(Config!$C$36="","",IFERROR(H75/(H75+COUNTIFS(Propostas!$D$5:$D$304,Config!$C$36,Propostas!$G$5:$G$304,"Perdida")),0))</f>
        <v/>
      </c>
      <c r="J75" s="26">
        <f>IF(Config!$C$36="","",SUMIFS(Propostas!$F$5:$F$304,Propostas!$D$5:$D$304,Config!$C$36,Propostas!$G$5:$G$304,"Fechada"))</f>
        <v/>
      </c>
    </row>
    <row r="76">
      <c r="A76" s="24">
        <f>IF(Config!$E$37="","",Config!$E$37)</f>
        <v/>
      </c>
      <c r="B76" s="25">
        <f>IF(Config!$E$37="","",COUNTIFS(Propostas!$L$5:$L$304,Config!$E$37,Propostas!$G$5:$G$304,"Perdida"))</f>
        <v/>
      </c>
      <c r="C76" s="26">
        <f>IF(Config!$E$37="","",SUMIFS(Propostas!$F$5:$F$304,Propostas!$L$5:$L$304,Config!$E$37,Propostas!$G$5:$G$304,"Perdida"))</f>
        <v/>
      </c>
      <c r="D76" s="27">
        <f>IF(Config!$E$37="","",IFERROR(B76/$B$16,0))</f>
        <v/>
      </c>
      <c r="F76" s="24">
        <f>IF(Config!$C$37="","",Config!$C$37)</f>
        <v/>
      </c>
      <c r="G76" s="25">
        <f>IF(Config!$C$37="","",COUNTIFS(Propostas!$D$5:$D$304,Config!$C$37))</f>
        <v/>
      </c>
      <c r="H76" s="25">
        <f>IF(Config!$C$37="","",COUNTIFS(Propostas!$D$5:$D$304,Config!$C$37,Propostas!$G$5:$G$304,"Fechada"))</f>
        <v/>
      </c>
      <c r="I76" s="27">
        <f>IF(Config!$C$37="","",IFERROR(H76/(H76+COUNTIFS(Propostas!$D$5:$D$304,Config!$C$37,Propostas!$G$5:$G$304,"Perdida")),0))</f>
        <v/>
      </c>
      <c r="J76" s="26">
        <f>IF(Config!$C$37="","",SUMIFS(Propostas!$F$5:$F$304,Propostas!$D$5:$D$304,Config!$C$37,Propostas!$G$5:$G$304,"Fechada"))</f>
        <v/>
      </c>
    </row>
    <row r="78">
      <c r="A78" s="19" t="inlineStr">
        <is>
          <t>Fonte: aba Propostas. Uma proposta perdida com o motivo anotado vale mais que três sem: é o que mostra o que ajustar no preço, no prazo ou na abordagem.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">
    <mergeCell ref="A7:L7"/>
    <mergeCell ref="C5:D5"/>
    <mergeCell ref="E5:F5"/>
    <mergeCell ref="K5:L5"/>
    <mergeCell ref="A21:L21"/>
    <mergeCell ref="C4:D4"/>
    <mergeCell ref="A2:L2"/>
    <mergeCell ref="E4:F4"/>
    <mergeCell ref="F13:H13"/>
    <mergeCell ref="F14:H14"/>
    <mergeCell ref="A5:B5"/>
    <mergeCell ref="G5:H5"/>
    <mergeCell ref="I5:J5"/>
    <mergeCell ref="F11:H11"/>
    <mergeCell ref="A4:B4"/>
    <mergeCell ref="G4:H4"/>
    <mergeCell ref="F10:H10"/>
    <mergeCell ref="I4:J4"/>
    <mergeCell ref="A1:L1"/>
    <mergeCell ref="F12:H12"/>
    <mergeCell ref="K4:L4"/>
  </mergeCells>
  <conditionalFormatting sqref="A23:H30">
    <cfRule type="expression" priority="1" dxfId="0">
      <formula>$G23="Previsão vencida"</formula>
    </cfRule>
    <cfRule type="expression" priority="2" dxfId="1">
      <formula>$G23="Parada"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3" customWidth="1" min="4" max="4"/>
    <col width="26" customWidth="1" min="5" max="5"/>
    <col width="3" customWidth="1" min="6" max="6"/>
    <col width="20" customWidth="1" min="7" max="7"/>
    <col width="3" customWidth="1" min="8" max="8"/>
    <col width="34" customWidth="1" min="9" max="9"/>
    <col width="3" customWidth="1" min="10" max="10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As probabilidades por etapa alimentam a previsão ponderada.</t>
        </is>
      </c>
    </row>
    <row r="4">
      <c r="A4" s="30" t="inlineStr">
        <is>
          <t>Escritório</t>
        </is>
      </c>
      <c r="B4" s="31" t="inlineStr">
        <is>
          <t>Ferraz &amp; Lima Advocacia (exemplo fictício)</t>
        </is>
      </c>
    </row>
    <row r="5">
      <c r="A5" s="30" t="inlineStr">
        <is>
          <t>Data de referência (hoje)</t>
        </is>
      </c>
      <c r="B5" s="32" t="n">
        <v>46279</v>
      </c>
    </row>
    <row r="6">
      <c r="A6" s="30" t="inlineStr">
        <is>
          <t>Meta de honorários fechados no trimestre (R$)</t>
        </is>
      </c>
      <c r="B6" s="33" t="n">
        <v>60000</v>
      </c>
    </row>
    <row r="7">
      <c r="A7" s="30" t="inlineStr">
        <is>
          <t>Proposta parada há mais de (dias)</t>
        </is>
      </c>
      <c r="B7" s="34" t="n">
        <v>14</v>
      </c>
    </row>
    <row r="9" ht="26" customHeight="1">
      <c r="A9" s="21" t="inlineStr">
        <is>
          <t>Etapa</t>
        </is>
      </c>
      <c r="B9" s="21" t="inlineStr">
        <is>
          <t>Probabilidade de fechar</t>
        </is>
      </c>
    </row>
    <row r="10">
      <c r="A10" s="24" t="inlineStr">
        <is>
          <t>Contato</t>
        </is>
      </c>
      <c r="B10" s="35" t="n">
        <v>0.1</v>
      </c>
    </row>
    <row r="11">
      <c r="A11" s="24" t="inlineStr">
        <is>
          <t>Reunião feita</t>
        </is>
      </c>
      <c r="B11" s="35" t="n">
        <v>0.25</v>
      </c>
    </row>
    <row r="12">
      <c r="A12" s="24" t="inlineStr">
        <is>
          <t>Proposta enviada</t>
        </is>
      </c>
      <c r="B12" s="35" t="n">
        <v>0.5</v>
      </c>
    </row>
    <row r="13">
      <c r="A13" s="24" t="inlineStr">
        <is>
          <t>Negociação</t>
        </is>
      </c>
      <c r="B13" s="35" t="n">
        <v>0.75</v>
      </c>
    </row>
    <row r="14">
      <c r="A14" s="24" t="inlineStr">
        <is>
          <t>Fechada</t>
        </is>
      </c>
      <c r="B14" s="35" t="n">
        <v>1</v>
      </c>
    </row>
    <row r="15">
      <c r="A15" s="24" t="inlineStr">
        <is>
          <t>Perdida</t>
        </is>
      </c>
      <c r="B15" s="35" t="n">
        <v>0</v>
      </c>
    </row>
    <row r="16">
      <c r="A16" s="19" t="inlineStr">
        <is>
          <t>Etapas fixas: contato → reunião → proposta enviada → negociação → fechada ou perdida. Ajuste só as probabilidades, pela sua experiência.</t>
        </is>
      </c>
    </row>
    <row r="17" ht="26" customHeight="1">
      <c r="A17" s="21" t="inlineStr">
        <is>
          <t>Áreas de atuação</t>
        </is>
      </c>
      <c r="C17" s="21" t="inlineStr">
        <is>
          <t>Origens do contato</t>
        </is>
      </c>
      <c r="E17" s="21" t="inlineStr">
        <is>
          <t>Motivos de perda</t>
        </is>
      </c>
      <c r="G17" s="21" t="inlineStr">
        <is>
          <t>Responsáveis</t>
        </is>
      </c>
      <c r="I17" s="21" t="inlineStr">
        <is>
          <t>Serviços mais comuns</t>
        </is>
      </c>
    </row>
    <row r="18">
      <c r="A18" s="31" t="inlineStr">
        <is>
          <t>Cível</t>
        </is>
      </c>
      <c r="C18" s="31" t="inlineStr">
        <is>
          <t>Indicação de cliente</t>
        </is>
      </c>
      <c r="E18" s="31" t="inlineStr">
        <is>
          <t>Preço</t>
        </is>
      </c>
      <c r="G18" s="31" t="inlineStr">
        <is>
          <t>Marina Ferraz</t>
        </is>
      </c>
      <c r="I18" s="31" t="inlineStr">
        <is>
          <t>Assessoria mensal (12 meses)</t>
        </is>
      </c>
    </row>
    <row r="19">
      <c r="A19" s="31" t="inlineStr">
        <is>
          <t>Trabalhista</t>
        </is>
      </c>
      <c r="C19" s="31" t="inlineStr">
        <is>
          <t>Site e Google</t>
        </is>
      </c>
      <c r="E19" s="31" t="inlineStr">
        <is>
          <t>Fechou com outro escritório</t>
        </is>
      </c>
      <c r="G19" s="31" t="inlineStr">
        <is>
          <t>Rafael Lima</t>
        </is>
      </c>
      <c r="I19" s="31" t="inlineStr">
        <is>
          <t>Ação trabalhista</t>
        </is>
      </c>
    </row>
    <row r="20">
      <c r="A20" s="31" t="inlineStr">
        <is>
          <t>Previdenciário</t>
        </is>
      </c>
      <c r="C20" s="31" t="inlineStr">
        <is>
          <t>Instagram</t>
        </is>
      </c>
      <c r="E20" s="31" t="inlineStr">
        <is>
          <t>Desistiu da demanda</t>
        </is>
      </c>
      <c r="G20" s="31" t="n"/>
      <c r="I20" s="31" t="inlineStr">
        <is>
          <t>Defesa em reclamação trabalhista</t>
        </is>
      </c>
    </row>
    <row r="21">
      <c r="A21" s="31" t="inlineStr">
        <is>
          <t>Empresarial</t>
        </is>
      </c>
      <c r="C21" s="31" t="inlineStr">
        <is>
          <t>Cliente antigo</t>
        </is>
      </c>
      <c r="E21" s="31" t="inlineStr">
        <is>
          <t>Sem resposta</t>
        </is>
      </c>
      <c r="G21" s="31" t="n"/>
      <c r="I21" s="31" t="inlineStr">
        <is>
          <t>Revisão de benefício</t>
        </is>
      </c>
    </row>
    <row r="22">
      <c r="A22" s="31" t="inlineStr">
        <is>
          <t>Família</t>
        </is>
      </c>
      <c r="C22" s="31" t="inlineStr">
        <is>
          <t>Parceria (contador, imobiliária)</t>
        </is>
      </c>
      <c r="E22" s="31" t="inlineStr">
        <is>
          <t>Fora da área de atuação</t>
        </is>
      </c>
      <c r="G22" s="31" t="n"/>
      <c r="I22" s="31" t="inlineStr">
        <is>
          <t>Planejamento previdenciário</t>
        </is>
      </c>
    </row>
    <row r="23">
      <c r="A23" s="31" t="n"/>
      <c r="C23" s="31" t="inlineStr">
        <is>
          <t>Evento ou palestra</t>
        </is>
      </c>
      <c r="E23" s="31" t="inlineStr">
        <is>
          <t>Prazo de atendimento</t>
        </is>
      </c>
      <c r="G23" s="31" t="n"/>
      <c r="I23" s="31" t="inlineStr">
        <is>
          <t>Cobrança judicial</t>
        </is>
      </c>
    </row>
    <row r="24">
      <c r="A24" s="31" t="n"/>
      <c r="C24" s="31" t="n"/>
      <c r="E24" s="31" t="n"/>
      <c r="G24" s="31" t="n"/>
      <c r="I24" s="31" t="inlineStr">
        <is>
          <t>Contratos e consultoria</t>
        </is>
      </c>
    </row>
    <row r="25">
      <c r="A25" s="31" t="n"/>
      <c r="C25" s="31" t="n"/>
      <c r="E25" s="31" t="n"/>
      <c r="G25" s="31" t="n"/>
      <c r="I25" s="31" t="inlineStr">
        <is>
          <t>Contratos com convênios</t>
        </is>
      </c>
    </row>
    <row r="26">
      <c r="A26" s="31" t="n"/>
      <c r="C26" s="31" t="n"/>
      <c r="E26" s="31" t="n"/>
      <c r="G26" s="31" t="n"/>
      <c r="I26" s="31" t="inlineStr">
        <is>
          <t>Divórcio e partilha</t>
        </is>
      </c>
    </row>
    <row r="27">
      <c r="A27" s="31" t="n"/>
      <c r="C27" s="31" t="n"/>
      <c r="E27" s="31" t="n"/>
      <c r="G27" s="31" t="n"/>
      <c r="I27" s="31" t="inlineStr">
        <is>
          <t>Inventário</t>
        </is>
      </c>
    </row>
    <row r="28">
      <c r="A28" s="31" t="n"/>
      <c r="C28" s="31" t="n"/>
      <c r="E28" s="31" t="n"/>
      <c r="G28" s="31" t="n"/>
      <c r="I28" s="31" t="inlineStr">
        <is>
          <t>Discussão de contrato de prestação de serviços</t>
        </is>
      </c>
    </row>
    <row r="29">
      <c r="A29" s="31" t="n"/>
      <c r="C29" s="31" t="n"/>
      <c r="E29" s="31" t="n"/>
      <c r="G29" s="31" t="n"/>
      <c r="I29" s="31" t="n"/>
    </row>
    <row r="30">
      <c r="A30" s="31" t="n"/>
      <c r="C30" s="31" t="n"/>
      <c r="E30" s="31" t="n"/>
      <c r="G30" s="31" t="n"/>
      <c r="I30" s="31" t="n"/>
    </row>
    <row r="31">
      <c r="A31" s="31" t="n"/>
      <c r="C31" s="31" t="n"/>
      <c r="E31" s="31" t="n"/>
      <c r="G31" s="31" t="n"/>
      <c r="I31" s="31" t="n"/>
    </row>
    <row r="32">
      <c r="A32" s="31" t="n"/>
      <c r="C32" s="31" t="n"/>
      <c r="E32" s="31" t="n"/>
      <c r="G32" s="31" t="n"/>
      <c r="I32" s="31" t="n"/>
    </row>
    <row r="33">
      <c r="A33" s="31" t="n"/>
      <c r="C33" s="31" t="n"/>
      <c r="E33" s="31" t="n"/>
      <c r="G33" s="31" t="n"/>
      <c r="I33" s="31" t="n"/>
    </row>
    <row r="34">
      <c r="A34" s="31" t="n"/>
      <c r="C34" s="31" t="n"/>
      <c r="E34" s="31" t="n"/>
      <c r="G34" s="31" t="n"/>
      <c r="I34" s="31" t="n"/>
    </row>
    <row r="35">
      <c r="A35" s="31" t="n"/>
      <c r="C35" s="31" t="n"/>
      <c r="E35" s="31" t="n"/>
      <c r="G35" s="31" t="n"/>
      <c r="I35" s="31" t="n"/>
    </row>
    <row r="36">
      <c r="A36" s="31" t="n"/>
      <c r="C36" s="31" t="n"/>
      <c r="E36" s="31" t="n"/>
      <c r="G36" s="31" t="n"/>
      <c r="I36" s="31" t="n"/>
    </row>
    <row r="37">
      <c r="A37" s="31" t="n"/>
      <c r="C37" s="31" t="n"/>
      <c r="E37" s="31" t="n"/>
      <c r="G37" s="31" t="n"/>
      <c r="I37" s="31" t="n"/>
    </row>
    <row r="39">
      <c r="A39" s="19" t="inlineStr">
        <is>
          <t>Preencha cada lista de cima para baixo, sem pular linha: as listas suspensas de Propostas param na primeira célula vazia. Até 20 itens por lista. Serviço é texto livre; a lista só sugere.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30" customWidth="1" min="3" max="3"/>
    <col width="13" customWidth="1" min="4" max="4"/>
    <col width="14" customWidth="1" min="5" max="5"/>
    <col width="13" customWidth="1" min="6" max="6"/>
    <col width="17" customWidth="1" min="7" max="7"/>
    <col width="12" customWidth="1" min="8" max="8"/>
    <col width="13" customWidth="1" min="9" max="9"/>
    <col width="13" customWidth="1" min="10" max="10"/>
    <col width="13" customWidth="1" min="11" max="11"/>
    <col width="22" customWidth="1" min="12" max="12"/>
    <col width="11" customWidth="1" min="13" max="13"/>
    <col width="13" customWidth="1" min="14" max="14"/>
    <col width="9" customWidth="1" min="15" max="15"/>
    <col width="9" customWidth="1" min="16" max="16"/>
    <col width="16" customWidth="1" min="17" max="17"/>
    <col hidden="1" width="13" customWidth="1" min="18" max="18"/>
  </cols>
  <sheetData>
    <row r="1" ht="28" customHeight="1">
      <c r="A1" s="5" t="inlineStr">
        <is>
          <t>Propostas</t>
        </is>
      </c>
    </row>
    <row r="2">
      <c r="A2" s="6" t="inlineStr">
        <is>
          <t>Uma linha por proposta de honorários. Atualize a etapa conforme avança; ao fechar, marque Fechada ou Perdida, a data e, se perdida, o motivo.</t>
        </is>
      </c>
    </row>
    <row r="4" ht="26" customHeight="1">
      <c r="A4" s="21" t="inlineStr">
        <is>
          <t>Cliente</t>
        </is>
      </c>
      <c r="B4" s="21" t="inlineStr">
        <is>
          <t>Área</t>
        </is>
      </c>
      <c r="C4" s="21" t="inlineStr">
        <is>
          <t>Serviço</t>
        </is>
      </c>
      <c r="D4" s="21" t="inlineStr">
        <is>
          <t>Origem</t>
        </is>
      </c>
      <c r="E4" s="21" t="inlineStr">
        <is>
          <t>Responsável</t>
        </is>
      </c>
      <c r="F4" s="21" t="inlineStr">
        <is>
          <t>Valor (R$)</t>
        </is>
      </c>
      <c r="G4" s="21" t="inlineStr">
        <is>
          <t>Etapa</t>
        </is>
      </c>
      <c r="H4" s="21" t="inlineStr">
        <is>
          <t>Data de entrada</t>
        </is>
      </c>
      <c r="I4" s="21" t="inlineStr">
        <is>
          <t>Última movimentação</t>
        </is>
      </c>
      <c r="J4" s="21" t="inlineStr">
        <is>
          <t>Fechamento previsto</t>
        </is>
      </c>
      <c r="K4" s="21" t="inlineStr">
        <is>
          <t>Data de fechamento</t>
        </is>
      </c>
      <c r="L4" s="21" t="inlineStr">
        <is>
          <t>Motivo (se perdida)</t>
        </is>
      </c>
      <c r="M4" s="21" t="inlineStr">
        <is>
          <t>Probabilidade</t>
        </is>
      </c>
      <c r="N4" s="21" t="inlineStr">
        <is>
          <t>Valor ponderado</t>
        </is>
      </c>
      <c r="O4" s="21" t="inlineStr">
        <is>
          <t>Dias parada</t>
        </is>
      </c>
      <c r="P4" s="21" t="inlineStr">
        <is>
          <t>Dias até fechar</t>
        </is>
      </c>
      <c r="Q4" s="21" t="inlineStr">
        <is>
          <t>Situação</t>
        </is>
      </c>
    </row>
    <row r="5">
      <c r="A5" s="31" t="inlineStr">
        <is>
          <t>Padaria do Sol Ltda</t>
        </is>
      </c>
      <c r="B5" s="34" t="inlineStr">
        <is>
          <t>Empresarial</t>
        </is>
      </c>
      <c r="C5" s="31" t="inlineStr">
        <is>
          <t>Assessoria mensal (12 meses)</t>
        </is>
      </c>
      <c r="D5" s="34" t="inlineStr">
        <is>
          <t>Cliente antigo</t>
        </is>
      </c>
      <c r="E5" s="34" t="inlineStr">
        <is>
          <t>Marina Ferraz</t>
        </is>
      </c>
      <c r="F5" s="33" t="n">
        <v>18000</v>
      </c>
      <c r="G5" s="34" t="inlineStr">
        <is>
          <t>Fechada</t>
        </is>
      </c>
      <c r="H5" s="36" t="n">
        <v>46181</v>
      </c>
      <c r="I5" s="36" t="n">
        <v>46202</v>
      </c>
      <c r="J5" s="36" t="n">
        <v>46206</v>
      </c>
      <c r="K5" s="36" t="n">
        <v>46202</v>
      </c>
      <c r="L5" s="31" t="n"/>
      <c r="M5" s="27">
        <f>IF(G5="","",IFERROR(INDEX(Config!$B$10:$B$15,MATCH(G5,Config!$A$10:$A$15,0)),0))</f>
        <v>1</v>
      </c>
      <c r="N5" s="26">
        <f>IF(OR(G5="",F5=""),"",F5*M5)</f>
        <v>18000</v>
      </c>
      <c r="O5" s="29">
        <f>IF(OR(G5="",G5="Fechada",G5="Perdida",AND(H5="",I5="")),"",Config!$B$5-IF(I5="",H5,I5))</f>
        <v/>
      </c>
      <c r="P5" s="29">
        <f>IF(AND(G5="Fechada",K5&lt;&gt;"",H5&lt;&gt;""),K5-H5,"")</f>
        <v>21</v>
      </c>
      <c r="Q5" s="25" t="str">
        <f>IF(G5="","",IF(G5="Fechada","Fechada",IF(G5="Perdida","Perdida",IF(AND(J5&lt;&gt;"",J5&lt;Config!$B$5),"Previsão vencida",IF(AND(O5&lt;&gt;"",O5&gt;Config!$B$7),"Parada","Ativa")))))</f>
        <v>Fechada</v>
      </c>
      <c r="R5" s="37">
        <f>IF(OR(G5="",Q5="Fechada",Q5="Perdida"),0,IF(Q5="Previsão vencida",3,IF(Q5="Parada",2,1))*1E+15+MIN(N(O5),500)*1E+12+MIN(ROUND(N(F5)*100,0),99999999)*1E+4+(304+1-ROW()))</f>
        <v>0</v>
      </c>
    </row>
    <row r="6">
      <c r="A6" s="31" t="inlineStr">
        <is>
          <t>Ana Beatriz Moreira</t>
        </is>
      </c>
      <c r="B6" s="34" t="inlineStr">
        <is>
          <t>Trabalhista</t>
        </is>
      </c>
      <c r="C6" s="31" t="inlineStr">
        <is>
          <t>Ação trabalhista</t>
        </is>
      </c>
      <c r="D6" s="34" t="inlineStr">
        <is>
          <t>Indicação de cliente</t>
        </is>
      </c>
      <c r="E6" s="34" t="inlineStr">
        <is>
          <t>Rafael Lima</t>
        </is>
      </c>
      <c r="F6" s="33" t="n">
        <v>6000</v>
      </c>
      <c r="G6" s="34" t="inlineStr">
        <is>
          <t>Fechada</t>
        </is>
      </c>
      <c r="H6" s="36" t="n">
        <v>46188</v>
      </c>
      <c r="I6" s="36" t="n">
        <v>46210</v>
      </c>
      <c r="J6" s="36" t="n">
        <v>46213</v>
      </c>
      <c r="K6" s="36" t="n">
        <v>46210</v>
      </c>
      <c r="L6" s="31" t="n"/>
      <c r="M6" s="27">
        <f>IF(G6="","",IFERROR(INDEX(Config!$B$10:$B$15,MATCH(G6,Config!$A$10:$A$15,0)),0))</f>
        <v>1</v>
      </c>
      <c r="N6" s="26">
        <f>IF(OR(G6="",F6=""),"",F6*M6)</f>
        <v>6000</v>
      </c>
      <c r="O6" s="29">
        <f>IF(OR(G6="",G6="Fechada",G6="Perdida",AND(H6="",I6="")),"",Config!$B$5-IF(I6="",H6,I6))</f>
        <v/>
      </c>
      <c r="P6" s="29">
        <f>IF(AND(G6="Fechada",K6&lt;&gt;"",H6&lt;&gt;""),K6-H6,"")</f>
        <v>22</v>
      </c>
      <c r="Q6" s="25" t="str">
        <f>IF(G6="","",IF(G6="Fechada","Fechada",IF(G6="Perdida","Perdida",IF(AND(J6&lt;&gt;"",J6&lt;Config!$B$5),"Previsão vencida",IF(AND(O6&lt;&gt;"",O6&gt;Config!$B$7),"Parada","Ativa")))))</f>
        <v>Fechada</v>
      </c>
      <c r="R6" s="37">
        <f>IF(OR(G6="",Q6="Fechada",Q6="Perdida"),0,IF(Q6="Previsão vencida",3,IF(Q6="Parada",2,1))*1E+15+MIN(N(O6),500)*1E+12+MIN(ROUND(N(F6)*100,0),99999999)*1E+4+(304+1-ROW()))</f>
        <v>0</v>
      </c>
    </row>
    <row r="7">
      <c r="A7" s="31" t="inlineStr">
        <is>
          <t>Construtora Horizonte</t>
        </is>
      </c>
      <c r="B7" s="34" t="inlineStr">
        <is>
          <t>Cível</t>
        </is>
      </c>
      <c r="C7" s="31" t="inlineStr">
        <is>
          <t>Cobrança judicial</t>
        </is>
      </c>
      <c r="D7" s="34" t="inlineStr">
        <is>
          <t>Cliente antigo</t>
        </is>
      </c>
      <c r="E7" s="34" t="inlineStr">
        <is>
          <t>Marina Ferraz</t>
        </is>
      </c>
      <c r="F7" s="33" t="n">
        <v>15500</v>
      </c>
      <c r="G7" s="34" t="inlineStr">
        <is>
          <t>Fechada</t>
        </is>
      </c>
      <c r="H7" s="36" t="n">
        <v>46204</v>
      </c>
      <c r="I7" s="36" t="n">
        <v>46225</v>
      </c>
      <c r="J7" s="36" t="n">
        <v>46234</v>
      </c>
      <c r="K7" s="36" t="n">
        <v>46225</v>
      </c>
      <c r="L7" s="31" t="n"/>
      <c r="M7" s="27">
        <f>IF(G7="","",IFERROR(INDEX(Config!$B$10:$B$15,MATCH(G7,Config!$A$10:$A$15,0)),0))</f>
        <v>1</v>
      </c>
      <c r="N7" s="26">
        <f>IF(OR(G7="",F7=""),"",F7*M7)</f>
        <v>15500</v>
      </c>
      <c r="O7" s="29">
        <f>IF(OR(G7="",G7="Fechada",G7="Perdida",AND(H7="",I7="")),"",Config!$B$5-IF(I7="",H7,I7))</f>
        <v/>
      </c>
      <c r="P7" s="29">
        <f>IF(AND(G7="Fechada",K7&lt;&gt;"",H7&lt;&gt;""),K7-H7,"")</f>
        <v>21</v>
      </c>
      <c r="Q7" s="25" t="str">
        <f>IF(G7="","",IF(G7="Fechada","Fechada",IF(G7="Perdida","Perdida",IF(AND(J7&lt;&gt;"",J7&lt;Config!$B$5),"Previsão vencida",IF(AND(O7&lt;&gt;"",O7&gt;Config!$B$7),"Parada","Ativa")))))</f>
        <v>Fechada</v>
      </c>
      <c r="R7" s="37">
        <f>IF(OR(G7="",Q7="Fechada",Q7="Perdida"),0,IF(Q7="Previsão vencida",3,IF(Q7="Parada",2,1))*1E+15+MIN(N(O7),500)*1E+12+MIN(ROUND(N(F7)*100,0),99999999)*1E+4+(304+1-ROW()))</f>
        <v>0</v>
      </c>
    </row>
    <row r="8">
      <c r="A8" s="31" t="inlineStr">
        <is>
          <t>Carlos Eduardo Nunes</t>
        </is>
      </c>
      <c r="B8" s="34" t="inlineStr">
        <is>
          <t>Previdenciário</t>
        </is>
      </c>
      <c r="C8" s="31" t="inlineStr">
        <is>
          <t>Revisão de benefício</t>
        </is>
      </c>
      <c r="D8" s="34" t="inlineStr">
        <is>
          <t>Site e Google</t>
        </is>
      </c>
      <c r="E8" s="34" t="inlineStr">
        <is>
          <t>Rafael Lima</t>
        </is>
      </c>
      <c r="F8" s="33" t="n">
        <v>5400</v>
      </c>
      <c r="G8" s="34" t="inlineStr">
        <is>
          <t>Fechada</t>
        </is>
      </c>
      <c r="H8" s="36" t="n">
        <v>46216</v>
      </c>
      <c r="I8" s="36" t="n">
        <v>46231</v>
      </c>
      <c r="J8" s="36" t="n">
        <v>46239</v>
      </c>
      <c r="K8" s="36" t="n">
        <v>46231</v>
      </c>
      <c r="L8" s="31" t="n"/>
      <c r="M8" s="27">
        <f>IF(G8="","",IFERROR(INDEX(Config!$B$10:$B$15,MATCH(G8,Config!$A$10:$A$15,0)),0))</f>
        <v>1</v>
      </c>
      <c r="N8" s="26">
        <f>IF(OR(G8="",F8=""),"",F8*M8)</f>
        <v>5400</v>
      </c>
      <c r="O8" s="29">
        <f>IF(OR(G8="",G8="Fechada",G8="Perdida",AND(H8="",I8="")),"",Config!$B$5-IF(I8="",H8,I8))</f>
        <v/>
      </c>
      <c r="P8" s="29">
        <f>IF(AND(G8="Fechada",K8&lt;&gt;"",H8&lt;&gt;""),K8-H8,"")</f>
        <v>15</v>
      </c>
      <c r="Q8" s="25" t="str">
        <f>IF(G8="","",IF(G8="Fechada","Fechada",IF(G8="Perdida","Perdida",IF(AND(J8&lt;&gt;"",J8&lt;Config!$B$5),"Previsão vencida",IF(AND(O8&lt;&gt;"",O8&gt;Config!$B$7),"Parada","Ativa")))))</f>
        <v>Fechada</v>
      </c>
      <c r="R8" s="37">
        <f>IF(OR(G8="",Q8="Fechada",Q8="Perdida"),0,IF(Q8="Previsão vencida",3,IF(Q8="Parada",2,1))*1E+15+MIN(N(O8),500)*1E+12+MIN(ROUND(N(F8)*100,0),99999999)*1E+4+(304+1-ROW()))</f>
        <v>0</v>
      </c>
    </row>
    <row r="9">
      <c r="A9" s="31" t="inlineStr">
        <is>
          <t>Escola Aurora</t>
        </is>
      </c>
      <c r="B9" s="34" t="inlineStr">
        <is>
          <t>Cível</t>
        </is>
      </c>
      <c r="C9" s="31" t="inlineStr">
        <is>
          <t>Assessoria mensal (12 meses)</t>
        </is>
      </c>
      <c r="D9" s="34" t="inlineStr">
        <is>
          <t>Cliente antigo</t>
        </is>
      </c>
      <c r="E9" s="34" t="inlineStr">
        <is>
          <t>Marina Ferraz</t>
        </is>
      </c>
      <c r="F9" s="33" t="n">
        <v>13200</v>
      </c>
      <c r="G9" s="34" t="inlineStr">
        <is>
          <t>Fechada</t>
        </is>
      </c>
      <c r="H9" s="36" t="n">
        <v>46217</v>
      </c>
      <c r="I9" s="36" t="n">
        <v>46237</v>
      </c>
      <c r="J9" s="36" t="n">
        <v>46241</v>
      </c>
      <c r="K9" s="36" t="n">
        <v>46237</v>
      </c>
      <c r="L9" s="31" t="n"/>
      <c r="M9" s="27">
        <f>IF(G9="","",IFERROR(INDEX(Config!$B$10:$B$15,MATCH(G9,Config!$A$10:$A$15,0)),0))</f>
        <v>1</v>
      </c>
      <c r="N9" s="26">
        <f>IF(OR(G9="",F9=""),"",F9*M9)</f>
        <v>13200</v>
      </c>
      <c r="O9" s="29">
        <f>IF(OR(G9="",G9="Fechada",G9="Perdida",AND(H9="",I9="")),"",Config!$B$5-IF(I9="",H9,I9))</f>
        <v/>
      </c>
      <c r="P9" s="29">
        <f>IF(AND(G9="Fechada",K9&lt;&gt;"",H9&lt;&gt;""),K9-H9,"")</f>
        <v>20</v>
      </c>
      <c r="Q9" s="25" t="str">
        <f>IF(G9="","",IF(G9="Fechada","Fechada",IF(G9="Perdida","Perdida",IF(AND(J9&lt;&gt;"",J9&lt;Config!$B$5),"Previsão vencida",IF(AND(O9&lt;&gt;"",O9&gt;Config!$B$7),"Parada","Ativa")))))</f>
        <v>Fechada</v>
      </c>
      <c r="R9" s="37">
        <f>IF(OR(G9="",Q9="Fechada",Q9="Perdida"),0,IF(Q9="Previsão vencida",3,IF(Q9="Parada",2,1))*1E+15+MIN(N(O9),500)*1E+12+MIN(ROUND(N(F9)*100,0),99999999)*1E+4+(304+1-ROW()))</f>
        <v>0</v>
      </c>
    </row>
    <row r="10">
      <c r="A10" s="31" t="inlineStr">
        <is>
          <t>Bistrô 42</t>
        </is>
      </c>
      <c r="B10" s="34" t="inlineStr">
        <is>
          <t>Trabalhista</t>
        </is>
      </c>
      <c r="C10" s="31" t="inlineStr">
        <is>
          <t>Defesa em reclamação trabalhista</t>
        </is>
      </c>
      <c r="D10" s="34" t="inlineStr">
        <is>
          <t>Indicação de cliente</t>
        </is>
      </c>
      <c r="E10" s="34" t="inlineStr">
        <is>
          <t>Rafael Lima</t>
        </is>
      </c>
      <c r="F10" s="33" t="n">
        <v>5200</v>
      </c>
      <c r="G10" s="34" t="inlineStr">
        <is>
          <t>Perdida</t>
        </is>
      </c>
      <c r="H10" s="36" t="n">
        <v>46195</v>
      </c>
      <c r="I10" s="36" t="n">
        <v>46217</v>
      </c>
      <c r="J10" s="36" t="n">
        <v>46220</v>
      </c>
      <c r="K10" s="36" t="n">
        <v>46217</v>
      </c>
      <c r="L10" s="31" t="inlineStr">
        <is>
          <t>Preço</t>
        </is>
      </c>
      <c r="M10" s="27">
        <f>IF(G10="","",IFERROR(INDEX(Config!$B$10:$B$15,MATCH(G10,Config!$A$10:$A$15,0)),0))</f>
        <v>0</v>
      </c>
      <c r="N10" s="26">
        <f>IF(OR(G10="",F10=""),"",F10*M10)</f>
        <v>0</v>
      </c>
      <c r="O10" s="29">
        <f>IF(OR(G10="",G10="Fechada",G10="Perdida",AND(H10="",I10="")),"",Config!$B$5-IF(I10="",H10,I10))</f>
        <v/>
      </c>
      <c r="P10" s="29">
        <f>IF(AND(G10="Fechada",K10&lt;&gt;"",H10&lt;&gt;""),K10-H10,"")</f>
        <v/>
      </c>
      <c r="Q10" s="25" t="str">
        <f>IF(G10="","",IF(G10="Fechada","Fechada",IF(G10="Perdida","Perdida",IF(AND(J10&lt;&gt;"",J10&lt;Config!$B$5),"Previsão vencida",IF(AND(O10&lt;&gt;"",O10&gt;Config!$B$7),"Parada","Ativa")))))</f>
        <v>Perdida</v>
      </c>
      <c r="R10" s="37">
        <f>IF(OR(G10="",Q10="Fechada",Q10="Perdida"),0,IF(Q10="Previsão vencida",3,IF(Q10="Parada",2,1))*1E+15+MIN(N(O10),500)*1E+12+MIN(ROUND(N(F10)*100,0),99999999)*1E+4+(304+1-ROW()))</f>
        <v>0</v>
      </c>
    </row>
    <row r="11">
      <c r="A11" s="31" t="inlineStr">
        <is>
          <t>Fernanda Castro</t>
        </is>
      </c>
      <c r="B11" s="34" t="inlineStr">
        <is>
          <t>Família</t>
        </is>
      </c>
      <c r="C11" s="31" t="inlineStr">
        <is>
          <t>Divórcio e partilha</t>
        </is>
      </c>
      <c r="D11" s="34" t="inlineStr">
        <is>
          <t>Site e Google</t>
        </is>
      </c>
      <c r="E11" s="34" t="inlineStr">
        <is>
          <t>Marina Ferraz</t>
        </is>
      </c>
      <c r="F11" s="33" t="n">
        <v>6500</v>
      </c>
      <c r="G11" s="34" t="inlineStr">
        <is>
          <t>Perdida</t>
        </is>
      </c>
      <c r="H11" s="36" t="n">
        <v>46209</v>
      </c>
      <c r="I11" s="36" t="n">
        <v>46230</v>
      </c>
      <c r="J11" s="36" t="n">
        <v>46234</v>
      </c>
      <c r="K11" s="36" t="n">
        <v>46230</v>
      </c>
      <c r="L11" s="31" t="inlineStr">
        <is>
          <t>Fechou com outro escritório</t>
        </is>
      </c>
      <c r="M11" s="27">
        <f>IF(G11="","",IFERROR(INDEX(Config!$B$10:$B$15,MATCH(G11,Config!$A$10:$A$15,0)),0))</f>
        <v>0</v>
      </c>
      <c r="N11" s="26">
        <f>IF(OR(G11="",F11=""),"",F11*M11)</f>
        <v>0</v>
      </c>
      <c r="O11" s="29">
        <f>IF(OR(G11="",G11="Fechada",G11="Perdida",AND(H11="",I11="")),"",Config!$B$5-IF(I11="",H11,I11))</f>
        <v/>
      </c>
      <c r="P11" s="29">
        <f>IF(AND(G11="Fechada",K11&lt;&gt;"",H11&lt;&gt;""),K11-H11,"")</f>
        <v/>
      </c>
      <c r="Q11" s="25" t="str">
        <f>IF(G11="","",IF(G11="Fechada","Fechada",IF(G11="Perdida","Perdida",IF(AND(J11&lt;&gt;"",J11&lt;Config!$B$5),"Previsão vencida",IF(AND(O11&lt;&gt;"",O11&gt;Config!$B$7),"Parada","Ativa")))))</f>
        <v>Perdida</v>
      </c>
      <c r="R11" s="37">
        <f>IF(OR(G11="",Q11="Fechada",Q11="Perdida"),0,IF(Q11="Previsão vencida",3,IF(Q11="Parada",2,1))*1E+15+MIN(N(O11),500)*1E+12+MIN(ROUND(N(F11)*100,0),99999999)*1E+4+(304+1-ROW()))</f>
        <v>0</v>
      </c>
    </row>
    <row r="12">
      <c r="A12" s="31" t="inlineStr">
        <is>
          <t>Loja Verde Comércio</t>
        </is>
      </c>
      <c r="B12" s="34" t="inlineStr">
        <is>
          <t>Empresarial</t>
        </is>
      </c>
      <c r="C12" s="31" t="inlineStr">
        <is>
          <t>Contratos e consultoria</t>
        </is>
      </c>
      <c r="D12" s="34" t="inlineStr">
        <is>
          <t>Parceria (contador, imobiliária)</t>
        </is>
      </c>
      <c r="E12" s="34" t="inlineStr">
        <is>
          <t>Marina Ferraz</t>
        </is>
      </c>
      <c r="F12" s="33" t="n">
        <v>8400</v>
      </c>
      <c r="G12" s="34" t="inlineStr">
        <is>
          <t>Fechada</t>
        </is>
      </c>
      <c r="H12" s="36" t="n">
        <v>46223</v>
      </c>
      <c r="I12" s="36" t="n">
        <v>46245</v>
      </c>
      <c r="J12" s="36" t="n">
        <v>46248</v>
      </c>
      <c r="K12" s="36" t="n">
        <v>46245</v>
      </c>
      <c r="L12" s="31" t="n"/>
      <c r="M12" s="27">
        <f>IF(G12="","",IFERROR(INDEX(Config!$B$10:$B$15,MATCH(G12,Config!$A$10:$A$15,0)),0))</f>
        <v>1</v>
      </c>
      <c r="N12" s="26">
        <f>IF(OR(G12="",F12=""),"",F12*M12)</f>
        <v>8400</v>
      </c>
      <c r="O12" s="29">
        <f>IF(OR(G12="",G12="Fechada",G12="Perdida",AND(H12="",I12="")),"",Config!$B$5-IF(I12="",H12,I12))</f>
        <v/>
      </c>
      <c r="P12" s="29">
        <f>IF(AND(G12="Fechada",K12&lt;&gt;"",H12&lt;&gt;""),K12-H12,"")</f>
        <v>22</v>
      </c>
      <c r="Q12" s="25" t="str">
        <f>IF(G12="","",IF(G12="Fechada","Fechada",IF(G12="Perdida","Perdida",IF(AND(J12&lt;&gt;"",J12&lt;Config!$B$5),"Previsão vencida",IF(AND(O12&lt;&gt;"",O12&gt;Config!$B$7),"Parada","Ativa")))))</f>
        <v>Fechada</v>
      </c>
      <c r="R12" s="37">
        <f>IF(OR(G12="",Q12="Fechada",Q12="Perdida"),0,IF(Q12="Previsão vencida",3,IF(Q12="Parada",2,1))*1E+15+MIN(N(O12),500)*1E+12+MIN(ROUND(N(F12)*100,0),99999999)*1E+4+(304+1-ROW()))</f>
        <v>0</v>
      </c>
    </row>
    <row r="13">
      <c r="A13" s="31" t="inlineStr">
        <is>
          <t>Marcos Vinícius Teles</t>
        </is>
      </c>
      <c r="B13" s="34" t="inlineStr">
        <is>
          <t>Previdenciário</t>
        </is>
      </c>
      <c r="C13" s="31" t="inlineStr">
        <is>
          <t>Planejamento previdenciário</t>
        </is>
      </c>
      <c r="D13" s="34" t="inlineStr">
        <is>
          <t>Instagram</t>
        </is>
      </c>
      <c r="E13" s="34" t="inlineStr">
        <is>
          <t>Rafael Lima</t>
        </is>
      </c>
      <c r="F13" s="33" t="n">
        <v>4500</v>
      </c>
      <c r="G13" s="34" t="inlineStr">
        <is>
          <t>Fechada</t>
        </is>
      </c>
      <c r="H13" s="36" t="n">
        <v>46237</v>
      </c>
      <c r="I13" s="36" t="n">
        <v>46253</v>
      </c>
      <c r="J13" s="36" t="n">
        <v>46262</v>
      </c>
      <c r="K13" s="36" t="n">
        <v>46253</v>
      </c>
      <c r="L13" s="31" t="n"/>
      <c r="M13" s="27">
        <f>IF(G13="","",IFERROR(INDEX(Config!$B$10:$B$15,MATCH(G13,Config!$A$10:$A$15,0)),0))</f>
        <v>1</v>
      </c>
      <c r="N13" s="26">
        <f>IF(OR(G13="",F13=""),"",F13*M13)</f>
        <v>4500</v>
      </c>
      <c r="O13" s="29">
        <f>IF(OR(G13="",G13="Fechada",G13="Perdida",AND(H13="",I13="")),"",Config!$B$5-IF(I13="",H13,I13))</f>
        <v/>
      </c>
      <c r="P13" s="29">
        <f>IF(AND(G13="Fechada",K13&lt;&gt;"",H13&lt;&gt;""),K13-H13,"")</f>
        <v>16</v>
      </c>
      <c r="Q13" s="25" t="str">
        <f>IF(G13="","",IF(G13="Fechada","Fechada",IF(G13="Perdida","Perdida",IF(AND(J13&lt;&gt;"",J13&lt;Config!$B$5),"Previsão vencida",IF(AND(O13&lt;&gt;"",O13&gt;Config!$B$7),"Parada","Ativa")))))</f>
        <v>Fechada</v>
      </c>
      <c r="R13" s="37">
        <f>IF(OR(G13="",Q13="Fechada",Q13="Perdida"),0,IF(Q13="Previsão vencida",3,IF(Q13="Parada",2,1))*1E+15+MIN(N(O13),500)*1E+12+MIN(ROUND(N(F13)*100,0),99999999)*1E+4+(304+1-ROW()))</f>
        <v>0</v>
      </c>
    </row>
    <row r="14">
      <c r="A14" s="31" t="inlineStr">
        <is>
          <t>Oficina Mecânica Central</t>
        </is>
      </c>
      <c r="B14" s="34" t="inlineStr">
        <is>
          <t>Trabalhista</t>
        </is>
      </c>
      <c r="C14" s="31" t="inlineStr">
        <is>
          <t>Ação trabalhista</t>
        </is>
      </c>
      <c r="D14" s="34" t="inlineStr">
        <is>
          <t>Evento ou palestra</t>
        </is>
      </c>
      <c r="E14" s="34" t="inlineStr">
        <is>
          <t>Rafael Lima</t>
        </is>
      </c>
      <c r="F14" s="33" t="n">
        <v>4400</v>
      </c>
      <c r="G14" s="34" t="inlineStr">
        <is>
          <t>Perdida</t>
        </is>
      </c>
      <c r="H14" s="36" t="n">
        <v>46238</v>
      </c>
      <c r="I14" s="36" t="n">
        <v>46259</v>
      </c>
      <c r="J14" s="36" t="n">
        <v>46262</v>
      </c>
      <c r="K14" s="36" t="n">
        <v>46259</v>
      </c>
      <c r="L14" s="31" t="inlineStr">
        <is>
          <t>Sem resposta</t>
        </is>
      </c>
      <c r="M14" s="27">
        <f>IF(G14="","",IFERROR(INDEX(Config!$B$10:$B$15,MATCH(G14,Config!$A$10:$A$15,0)),0))</f>
        <v>0</v>
      </c>
      <c r="N14" s="26">
        <f>IF(OR(G14="",F14=""),"",F14*M14)</f>
        <v>0</v>
      </c>
      <c r="O14" s="29">
        <f>IF(OR(G14="",G14="Fechada",G14="Perdida",AND(H14="",I14="")),"",Config!$B$5-IF(I14="",H14,I14))</f>
        <v/>
      </c>
      <c r="P14" s="29">
        <f>IF(AND(G14="Fechada",K14&lt;&gt;"",H14&lt;&gt;""),K14-H14,"")</f>
        <v/>
      </c>
      <c r="Q14" s="25" t="str">
        <f>IF(G14="","",IF(G14="Fechada","Fechada",IF(G14="Perdida","Perdida",IF(AND(J14&lt;&gt;"",J14&lt;Config!$B$5),"Previsão vencida",IF(AND(O14&lt;&gt;"",O14&gt;Config!$B$7),"Parada","Ativa")))))</f>
        <v>Perdida</v>
      </c>
      <c r="R14" s="37">
        <f>IF(OR(G14="",Q14="Fechada",Q14="Perdida"),0,IF(Q14="Previsão vencida",3,IF(Q14="Parada",2,1))*1E+15+MIN(N(O14),500)*1E+12+MIN(ROUND(N(F14)*100,0),99999999)*1E+4+(304+1-ROW()))</f>
        <v>0</v>
      </c>
    </row>
    <row r="15">
      <c r="A15" s="31" t="inlineStr">
        <is>
          <t>Agência Prisma</t>
        </is>
      </c>
      <c r="B15" s="34" t="inlineStr">
        <is>
          <t>Empresarial</t>
        </is>
      </c>
      <c r="C15" s="31" t="inlineStr">
        <is>
          <t>Contratos e consultoria</t>
        </is>
      </c>
      <c r="D15" s="34" t="inlineStr">
        <is>
          <t>Instagram</t>
        </is>
      </c>
      <c r="E15" s="34" t="inlineStr">
        <is>
          <t>Marina Ferraz</t>
        </is>
      </c>
      <c r="F15" s="33" t="n">
        <v>11000</v>
      </c>
      <c r="G15" s="34" t="inlineStr">
        <is>
          <t>Perdida</t>
        </is>
      </c>
      <c r="H15" s="36" t="n">
        <v>46246</v>
      </c>
      <c r="I15" s="36" t="n">
        <v>46267</v>
      </c>
      <c r="J15" s="36" t="n">
        <v>46269</v>
      </c>
      <c r="K15" s="36" t="n">
        <v>46267</v>
      </c>
      <c r="L15" s="31" t="inlineStr">
        <is>
          <t>Preço</t>
        </is>
      </c>
      <c r="M15" s="27">
        <f>IF(G15="","",IFERROR(INDEX(Config!$B$10:$B$15,MATCH(G15,Config!$A$10:$A$15,0)),0))</f>
        <v>0</v>
      </c>
      <c r="N15" s="26">
        <f>IF(OR(G15="",F15=""),"",F15*M15)</f>
        <v>0</v>
      </c>
      <c r="O15" s="29">
        <f>IF(OR(G15="",G15="Fechada",G15="Perdida",AND(H15="",I15="")),"",Config!$B$5-IF(I15="",H15,I15))</f>
        <v/>
      </c>
      <c r="P15" s="29">
        <f>IF(AND(G15="Fechada",K15&lt;&gt;"",H15&lt;&gt;""),K15-H15,"")</f>
        <v/>
      </c>
      <c r="Q15" s="25" t="str">
        <f>IF(G15="","",IF(G15="Fechada","Fechada",IF(G15="Perdida","Perdida",IF(AND(J15&lt;&gt;"",J15&lt;Config!$B$5),"Previsão vencida",IF(AND(O15&lt;&gt;"",O15&gt;Config!$B$7),"Parada","Ativa")))))</f>
        <v>Perdida</v>
      </c>
      <c r="R15" s="37">
        <f>IF(OR(G15="",Q15="Fechada",Q15="Perdida"),0,IF(Q15="Previsão vencida",3,IF(Q15="Parada",2,1))*1E+15+MIN(N(O15),500)*1E+12+MIN(ROUND(N(F15)*100,0),99999999)*1E+4+(304+1-ROW()))</f>
        <v>0</v>
      </c>
    </row>
    <row r="16">
      <c r="A16" s="31" t="inlineStr">
        <is>
          <t>Transportadora Rota Sul</t>
        </is>
      </c>
      <c r="B16" s="34" t="inlineStr">
        <is>
          <t>Trabalhista</t>
        </is>
      </c>
      <c r="C16" s="31" t="inlineStr">
        <is>
          <t>Assessoria mensal (12 meses)</t>
        </is>
      </c>
      <c r="D16" s="34" t="inlineStr">
        <is>
          <t>Cliente antigo</t>
        </is>
      </c>
      <c r="E16" s="34" t="inlineStr">
        <is>
          <t>Rafael Lima</t>
        </is>
      </c>
      <c r="F16" s="33" t="n">
        <v>14400</v>
      </c>
      <c r="G16" s="34" t="inlineStr">
        <is>
          <t>Negociação</t>
        </is>
      </c>
      <c r="H16" s="36" t="n">
        <v>46251</v>
      </c>
      <c r="I16" s="36" t="n">
        <v>46275</v>
      </c>
      <c r="J16" s="36" t="n">
        <v>46285</v>
      </c>
      <c r="K16" s="36" t="n"/>
      <c r="L16" s="31" t="n"/>
      <c r="M16" s="27">
        <f>IF(G16="","",IFERROR(INDEX(Config!$B$10:$B$15,MATCH(G16,Config!$A$10:$A$15,0)),0))</f>
        <v>0.75</v>
      </c>
      <c r="N16" s="26">
        <f>IF(OR(G16="",F16=""),"",F16*M16)</f>
        <v>10800</v>
      </c>
      <c r="O16" s="29">
        <f>IF(OR(G16="",G16="Fechada",G16="Perdida",AND(H16="",I16="")),"",Config!$B$5-IF(I16="",H16,I16))</f>
        <v>4</v>
      </c>
      <c r="P16" s="29">
        <f>IF(AND(G16="Fechada",K16&lt;&gt;"",H16&lt;&gt;""),K16-H16,"")</f>
        <v/>
      </c>
      <c r="Q16" s="25" t="str">
        <f>IF(G16="","",IF(G16="Fechada","Fechada",IF(G16="Perdida","Perdida",IF(AND(J16&lt;&gt;"",J16&lt;Config!$B$5),"Previsão vencida",IF(AND(O16&lt;&gt;"",O16&gt;Config!$B$7),"Parada","Ativa")))))</f>
        <v>Ativa</v>
      </c>
      <c r="R16" s="37">
        <f>IF(OR(G16="",Q16="Fechada",Q16="Perdida"),0,IF(Q16="Previsão vencida",3,IF(Q16="Parada",2,1))*1E+15+MIN(N(O16),500)*1E+12+MIN(ROUND(N(F16)*100,0),99999999)*1E+4+(304+1-ROW()))</f>
        <v>1004014400000289</v>
      </c>
    </row>
    <row r="17">
      <c r="A17" s="31" t="inlineStr">
        <is>
          <t>Clínica Bem-Estar</t>
        </is>
      </c>
      <c r="B17" s="34" t="inlineStr">
        <is>
          <t>Empresarial</t>
        </is>
      </c>
      <c r="C17" s="31" t="inlineStr">
        <is>
          <t>Contratos com convênios</t>
        </is>
      </c>
      <c r="D17" s="34" t="inlineStr">
        <is>
          <t>Cliente antigo</t>
        </is>
      </c>
      <c r="E17" s="34" t="inlineStr">
        <is>
          <t>Marina Ferraz</t>
        </is>
      </c>
      <c r="F17" s="33" t="n">
        <v>6800</v>
      </c>
      <c r="G17" s="34" t="inlineStr">
        <is>
          <t>Negociação</t>
        </is>
      </c>
      <c r="H17" s="36" t="n">
        <v>46258</v>
      </c>
      <c r="I17" s="36" t="n">
        <v>46262</v>
      </c>
      <c r="J17" s="36" t="n">
        <v>46277</v>
      </c>
      <c r="K17" s="36" t="n"/>
      <c r="L17" s="31" t="n"/>
      <c r="M17" s="27">
        <f>IF(G17="","",IFERROR(INDEX(Config!$B$10:$B$15,MATCH(G17,Config!$A$10:$A$15,0)),0))</f>
        <v>0.75</v>
      </c>
      <c r="N17" s="26">
        <f>IF(OR(G17="",F17=""),"",F17*M17)</f>
        <v>5100</v>
      </c>
      <c r="O17" s="29">
        <f>IF(OR(G17="",G17="Fechada",G17="Perdida",AND(H17="",I17="")),"",Config!$B$5-IF(I17="",H17,I17))</f>
        <v>17</v>
      </c>
      <c r="P17" s="29">
        <f>IF(AND(G17="Fechada",K17&lt;&gt;"",H17&lt;&gt;""),K17-H17,"")</f>
        <v/>
      </c>
      <c r="Q17" s="25" t="str">
        <f>IF(G17="","",IF(G17="Fechada","Fechada",IF(G17="Perdida","Perdida",IF(AND(J17&lt;&gt;"",J17&lt;Config!$B$5),"Previsão vencida",IF(AND(O17&lt;&gt;"",O17&gt;Config!$B$7),"Parada","Ativa")))))</f>
        <v>Previsão vencida</v>
      </c>
      <c r="R17" s="37">
        <f>IF(OR(G17="",Q17="Fechada",Q17="Perdida"),0,IF(Q17="Previsão vencida",3,IF(Q17="Parada",2,1))*1E+15+MIN(N(O17),500)*1E+12+MIN(ROUND(N(F17)*100,0),99999999)*1E+4+(304+1-ROW()))</f>
        <v>3017006800000288</v>
      </c>
    </row>
    <row r="18">
      <c r="A18" s="31" t="inlineStr">
        <is>
          <t>Patrícia Gomes</t>
        </is>
      </c>
      <c r="B18" s="34" t="inlineStr">
        <is>
          <t>Família</t>
        </is>
      </c>
      <c r="C18" s="31" t="inlineStr">
        <is>
          <t>Inventário</t>
        </is>
      </c>
      <c r="D18" s="34" t="inlineStr">
        <is>
          <t>Indicação de cliente</t>
        </is>
      </c>
      <c r="E18" s="34" t="inlineStr">
        <is>
          <t>Marina Ferraz</t>
        </is>
      </c>
      <c r="F18" s="33" t="n">
        <v>10500</v>
      </c>
      <c r="G18" s="34" t="inlineStr">
        <is>
          <t>Proposta enviada</t>
        </is>
      </c>
      <c r="H18" s="36" t="n">
        <v>46260</v>
      </c>
      <c r="I18" s="36" t="n">
        <v>46263</v>
      </c>
      <c r="J18" s="36" t="n">
        <v>46291</v>
      </c>
      <c r="K18" s="36" t="n"/>
      <c r="L18" s="31" t="n"/>
      <c r="M18" s="27">
        <f>IF(G18="","",IFERROR(INDEX(Config!$B$10:$B$15,MATCH(G18,Config!$A$10:$A$15,0)),0))</f>
        <v>0.5</v>
      </c>
      <c r="N18" s="26">
        <f>IF(OR(G18="",F18=""),"",F18*M18)</f>
        <v>5250</v>
      </c>
      <c r="O18" s="29">
        <f>IF(OR(G18="",G18="Fechada",G18="Perdida",AND(H18="",I18="")),"",Config!$B$5-IF(I18="",H18,I18))</f>
        <v>16</v>
      </c>
      <c r="P18" s="29">
        <f>IF(AND(G18="Fechada",K18&lt;&gt;"",H18&lt;&gt;""),K18-H18,"")</f>
        <v/>
      </c>
      <c r="Q18" s="25" t="str">
        <f>IF(G18="","",IF(G18="Fechada","Fechada",IF(G18="Perdida","Perdida",IF(AND(J18&lt;&gt;"",J18&lt;Config!$B$5),"Previsão vencida",IF(AND(O18&lt;&gt;"",O18&gt;Config!$B$7),"Parada","Ativa")))))</f>
        <v>Parada</v>
      </c>
      <c r="R18" s="37">
        <f>IF(OR(G18="",Q18="Fechada",Q18="Perdida"),0,IF(Q18="Previsão vencida",3,IF(Q18="Parada",2,1))*1E+15+MIN(N(O18),500)*1E+12+MIN(ROUND(N(F18)*100,0),99999999)*1E+4+(304+1-ROW()))</f>
        <v>2016010500000287</v>
      </c>
    </row>
    <row r="19">
      <c r="A19" s="31" t="inlineStr">
        <is>
          <t>José Antônio Ribeiro</t>
        </is>
      </c>
      <c r="B19" s="34" t="inlineStr">
        <is>
          <t>Previdenciário</t>
        </is>
      </c>
      <c r="C19" s="31" t="inlineStr">
        <is>
          <t>Revisão de benefício</t>
        </is>
      </c>
      <c r="D19" s="34" t="inlineStr">
        <is>
          <t>Site e Google</t>
        </is>
      </c>
      <c r="E19" s="34" t="inlineStr">
        <is>
          <t>Rafael Lima</t>
        </is>
      </c>
      <c r="F19" s="33" t="n">
        <v>4200</v>
      </c>
      <c r="G19" s="34" t="inlineStr">
        <is>
          <t>Proposta enviada</t>
        </is>
      </c>
      <c r="H19" s="36" t="n">
        <v>46262</v>
      </c>
      <c r="I19" s="36" t="n">
        <v>46265</v>
      </c>
      <c r="J19" s="36" t="n">
        <v>46273</v>
      </c>
      <c r="K19" s="36" t="n"/>
      <c r="L19" s="31" t="n"/>
      <c r="M19" s="27">
        <f>IF(G19="","",IFERROR(INDEX(Config!$B$10:$B$15,MATCH(G19,Config!$A$10:$A$15,0)),0))</f>
        <v>0.5</v>
      </c>
      <c r="N19" s="26">
        <f>IF(OR(G19="",F19=""),"",F19*M19)</f>
        <v>2100</v>
      </c>
      <c r="O19" s="29">
        <f>IF(OR(G19="",G19="Fechada",G19="Perdida",AND(H19="",I19="")),"",Config!$B$5-IF(I19="",H19,I19))</f>
        <v>14</v>
      </c>
      <c r="P19" s="29">
        <f>IF(AND(G19="Fechada",K19&lt;&gt;"",H19&lt;&gt;""),K19-H19,"")</f>
        <v/>
      </c>
      <c r="Q19" s="25" t="str">
        <f>IF(G19="","",IF(G19="Fechada","Fechada",IF(G19="Perdida","Perdida",IF(AND(J19&lt;&gt;"",J19&lt;Config!$B$5),"Previsão vencida",IF(AND(O19&lt;&gt;"",O19&gt;Config!$B$7),"Parada","Ativa")))))</f>
        <v>Previsão vencida</v>
      </c>
      <c r="R19" s="37">
        <f>IF(OR(G19="",Q19="Fechada",Q19="Perdida"),0,IF(Q19="Previsão vencida",3,IF(Q19="Parada",2,1))*1E+15+MIN(N(O19),500)*1E+12+MIN(ROUND(N(F19)*100,0),99999999)*1E+4+(304+1-ROW()))</f>
        <v>3014004200000286</v>
      </c>
    </row>
    <row r="20">
      <c r="A20" s="31" t="inlineStr">
        <is>
          <t>Helena Duarte</t>
        </is>
      </c>
      <c r="B20" s="34" t="inlineStr">
        <is>
          <t>Trabalhista</t>
        </is>
      </c>
      <c r="C20" s="31" t="inlineStr">
        <is>
          <t>Ação trabalhista</t>
        </is>
      </c>
      <c r="D20" s="34" t="inlineStr">
        <is>
          <t>Indicação de cliente</t>
        </is>
      </c>
      <c r="E20" s="34" t="inlineStr">
        <is>
          <t>Rafael Lima</t>
        </is>
      </c>
      <c r="F20" s="33" t="n">
        <v>5800</v>
      </c>
      <c r="G20" s="34" t="inlineStr">
        <is>
          <t>Reunião feita</t>
        </is>
      </c>
      <c r="H20" s="36" t="n">
        <v>46267</v>
      </c>
      <c r="I20" s="36" t="n">
        <v>46276</v>
      </c>
      <c r="J20" s="36" t="n">
        <v>46299</v>
      </c>
      <c r="K20" s="36" t="n"/>
      <c r="L20" s="31" t="n"/>
      <c r="M20" s="27">
        <f>IF(G20="","",IFERROR(INDEX(Config!$B$10:$B$15,MATCH(G20,Config!$A$10:$A$15,0)),0))</f>
        <v>0.25</v>
      </c>
      <c r="N20" s="26">
        <f>IF(OR(G20="",F20=""),"",F20*M20)</f>
        <v>1450</v>
      </c>
      <c r="O20" s="29">
        <f>IF(OR(G20="",G20="Fechada",G20="Perdida",AND(H20="",I20="")),"",Config!$B$5-IF(I20="",H20,I20))</f>
        <v>3</v>
      </c>
      <c r="P20" s="29">
        <f>IF(AND(G20="Fechada",K20&lt;&gt;"",H20&lt;&gt;""),K20-H20,"")</f>
        <v/>
      </c>
      <c r="Q20" s="25" t="str">
        <f>IF(G20="","",IF(G20="Fechada","Fechada",IF(G20="Perdida","Perdida",IF(AND(J20&lt;&gt;"",J20&lt;Config!$B$5),"Previsão vencida",IF(AND(O20&lt;&gt;"",O20&gt;Config!$B$7),"Parada","Ativa")))))</f>
        <v>Ativa</v>
      </c>
      <c r="R20" s="37">
        <f>IF(OR(G20="",Q20="Fechada",Q20="Perdida"),0,IF(Q20="Previsão vencida",3,IF(Q20="Parada",2,1))*1E+15+MIN(N(O20),500)*1E+12+MIN(ROUND(N(F20)*100,0),99999999)*1E+4+(304+1-ROW()))</f>
        <v>1003005800000285</v>
      </c>
    </row>
    <row r="21">
      <c r="A21" s="31" t="inlineStr">
        <is>
          <t>Luciana Farias</t>
        </is>
      </c>
      <c r="B21" s="34" t="inlineStr">
        <is>
          <t>Cível</t>
        </is>
      </c>
      <c r="C21" s="31" t="inlineStr">
        <is>
          <t>Cobrança judicial</t>
        </is>
      </c>
      <c r="D21" s="34" t="inlineStr">
        <is>
          <t>Parceria (contador, imobiliária)</t>
        </is>
      </c>
      <c r="E21" s="34" t="inlineStr">
        <is>
          <t>Marina Ferraz</t>
        </is>
      </c>
      <c r="F21" s="33" t="n">
        <v>7900</v>
      </c>
      <c r="G21" s="34" t="inlineStr">
        <is>
          <t>Reunião feita</t>
        </is>
      </c>
      <c r="H21" s="36" t="n">
        <v>46269</v>
      </c>
      <c r="I21" s="36" t="n">
        <v>46277</v>
      </c>
      <c r="J21" s="36" t="n">
        <v>46304</v>
      </c>
      <c r="K21" s="36" t="n"/>
      <c r="L21" s="31" t="n"/>
      <c r="M21" s="27">
        <f>IF(G21="","",IFERROR(INDEX(Config!$B$10:$B$15,MATCH(G21,Config!$A$10:$A$15,0)),0))</f>
        <v>0.25</v>
      </c>
      <c r="N21" s="26">
        <f>IF(OR(G21="",F21=""),"",F21*M21)</f>
        <v>1975</v>
      </c>
      <c r="O21" s="29">
        <f>IF(OR(G21="",G21="Fechada",G21="Perdida",AND(H21="",I21="")),"",Config!$B$5-IF(I21="",H21,I21))</f>
        <v>2</v>
      </c>
      <c r="P21" s="29">
        <f>IF(AND(G21="Fechada",K21&lt;&gt;"",H21&lt;&gt;""),K21-H21,"")</f>
        <v/>
      </c>
      <c r="Q21" s="25" t="str">
        <f>IF(G21="","",IF(G21="Fechada","Fechada",IF(G21="Perdida","Perdida",IF(AND(J21&lt;&gt;"",J21&lt;Config!$B$5),"Previsão vencida",IF(AND(O21&lt;&gt;"",O21&gt;Config!$B$7),"Parada","Ativa")))))</f>
        <v>Ativa</v>
      </c>
      <c r="R21" s="37">
        <f>IF(OR(G21="",Q21="Fechada",Q21="Perdida"),0,IF(Q21="Previsão vencida",3,IF(Q21="Parada",2,1))*1E+15+MIN(N(O21),500)*1E+12+MIN(ROUND(N(F21)*100,0),99999999)*1E+4+(304+1-ROW()))</f>
        <v>1002007900000284</v>
      </c>
    </row>
    <row r="22">
      <c r="A22" s="31" t="inlineStr">
        <is>
          <t>Construtora Horizonte</t>
        </is>
      </c>
      <c r="B22" s="34" t="inlineStr">
        <is>
          <t>Empresarial</t>
        </is>
      </c>
      <c r="C22" s="31" t="inlineStr">
        <is>
          <t>Assessoria mensal (12 meses)</t>
        </is>
      </c>
      <c r="D22" s="34" t="inlineStr">
        <is>
          <t>Cliente antigo</t>
        </is>
      </c>
      <c r="E22" s="34" t="inlineStr">
        <is>
          <t>Marina Ferraz</t>
        </is>
      </c>
      <c r="F22" s="33" t="n">
        <v>13200</v>
      </c>
      <c r="G22" s="34" t="inlineStr">
        <is>
          <t>Contato</t>
        </is>
      </c>
      <c r="H22" s="36" t="n">
        <v>46274</v>
      </c>
      <c r="I22" s="36" t="n">
        <v>46278</v>
      </c>
      <c r="J22" s="36" t="n">
        <v>46309</v>
      </c>
      <c r="K22" s="36" t="n"/>
      <c r="L22" s="31" t="n"/>
      <c r="M22" s="27">
        <f>IF(G22="","",IFERROR(INDEX(Config!$B$10:$B$15,MATCH(G22,Config!$A$10:$A$15,0)),0))</f>
        <v>0.1</v>
      </c>
      <c r="N22" s="26">
        <f>IF(OR(G22="",F22=""),"",F22*M22)</f>
        <v>1320</v>
      </c>
      <c r="O22" s="29">
        <f>IF(OR(G22="",G22="Fechada",G22="Perdida",AND(H22="",I22="")),"",Config!$B$5-IF(I22="",H22,I22))</f>
        <v>1</v>
      </c>
      <c r="P22" s="29">
        <f>IF(AND(G22="Fechada",K22&lt;&gt;"",H22&lt;&gt;""),K22-H22,"")</f>
        <v/>
      </c>
      <c r="Q22" s="25" t="str">
        <f>IF(G22="","",IF(G22="Fechada","Fechada",IF(G22="Perdida","Perdida",IF(AND(J22&lt;&gt;"",J22&lt;Config!$B$5),"Previsão vencida",IF(AND(O22&lt;&gt;"",O22&gt;Config!$B$7),"Parada","Ativa")))))</f>
        <v>Ativa</v>
      </c>
      <c r="R22" s="37">
        <f>IF(OR(G22="",Q22="Fechada",Q22="Perdida"),0,IF(Q22="Previsão vencida",3,IF(Q22="Parada",2,1))*1E+15+MIN(N(O22),500)*1E+12+MIN(ROUND(N(F22)*100,0),99999999)*1E+4+(304+1-ROW()))</f>
        <v>1001013200000283</v>
      </c>
    </row>
    <row r="23">
      <c r="A23" s="31" t="inlineStr">
        <is>
          <t>Roberto Almeida</t>
        </is>
      </c>
      <c r="B23" s="34" t="inlineStr">
        <is>
          <t>Cível</t>
        </is>
      </c>
      <c r="C23" s="31" t="inlineStr">
        <is>
          <t>Discussão de contrato de prestação de serviços</t>
        </is>
      </c>
      <c r="D23" s="34" t="inlineStr">
        <is>
          <t>Cliente antigo</t>
        </is>
      </c>
      <c r="E23" s="34" t="inlineStr">
        <is>
          <t>Marina Ferraz</t>
        </is>
      </c>
      <c r="F23" s="33" t="n">
        <v>4500</v>
      </c>
      <c r="G23" s="34" t="inlineStr">
        <is>
          <t>Proposta enviada</t>
        </is>
      </c>
      <c r="H23" s="36" t="n">
        <v>46274</v>
      </c>
      <c r="I23" s="36" t="n">
        <v>46279</v>
      </c>
      <c r="J23" s="36" t="n">
        <v>46294</v>
      </c>
      <c r="K23" s="36" t="n"/>
      <c r="L23" s="31" t="n"/>
      <c r="M23" s="27">
        <f>IF(G23="","",IFERROR(INDEX(Config!$B$10:$B$15,MATCH(G23,Config!$A$10:$A$15,0)),0))</f>
        <v>0.5</v>
      </c>
      <c r="N23" s="26">
        <f>IF(OR(G23="",F23=""),"",F23*M23)</f>
        <v>2250</v>
      </c>
      <c r="O23" s="29">
        <f>IF(OR(G23="",G23="Fechada",G23="Perdida",AND(H23="",I23="")),"",Config!$B$5-IF(I23="",H23,I23))</f>
        <v>0</v>
      </c>
      <c r="P23" s="29">
        <f>IF(AND(G23="Fechada",K23&lt;&gt;"",H23&lt;&gt;""),K23-H23,"")</f>
        <v/>
      </c>
      <c r="Q23" s="25" t="str">
        <f>IF(G23="","",IF(G23="Fechada","Fechada",IF(G23="Perdida","Perdida",IF(AND(J23&lt;&gt;"",J23&lt;Config!$B$5),"Previsão vencida",IF(AND(O23&lt;&gt;"",O23&gt;Config!$B$7),"Parada","Ativa")))))</f>
        <v>Ativa</v>
      </c>
      <c r="R23" s="37">
        <f>IF(OR(G23="",Q23="Fechada",Q23="Perdida"),0,IF(Q23="Previsão vencida",3,IF(Q23="Parada",2,1))*1E+15+MIN(N(O23),500)*1E+12+MIN(ROUND(N(F23)*100,0),99999999)*1E+4+(304+1-ROW()))</f>
        <v>1000004500000282</v>
      </c>
    </row>
    <row r="24">
      <c r="A24" s="31" t="inlineStr">
        <is>
          <t>Marcos Vinícius Teles</t>
        </is>
      </c>
      <c r="B24" s="34" t="inlineStr">
        <is>
          <t>Família</t>
        </is>
      </c>
      <c r="C24" s="31" t="inlineStr">
        <is>
          <t>Divórcio e partilha</t>
        </is>
      </c>
      <c r="D24" s="34" t="inlineStr">
        <is>
          <t>Cliente antigo</t>
        </is>
      </c>
      <c r="E24" s="34" t="inlineStr">
        <is>
          <t>Marina Ferraz</t>
        </is>
      </c>
      <c r="F24" s="33" t="n">
        <v>5600</v>
      </c>
      <c r="G24" s="34" t="inlineStr">
        <is>
          <t>Contato</t>
        </is>
      </c>
      <c r="H24" s="36" t="n">
        <v>46276</v>
      </c>
      <c r="I24" s="36" t="n">
        <v>46276</v>
      </c>
      <c r="J24" s="36" t="n">
        <v>46314</v>
      </c>
      <c r="K24" s="36" t="n"/>
      <c r="L24" s="31" t="n"/>
      <c r="M24" s="27">
        <f>IF(G24="","",IFERROR(INDEX(Config!$B$10:$B$15,MATCH(G24,Config!$A$10:$A$15,0)),0))</f>
        <v>0.1</v>
      </c>
      <c r="N24" s="26">
        <f>IF(OR(G24="",F24=""),"",F24*M24)</f>
        <v>560</v>
      </c>
      <c r="O24" s="29">
        <f>IF(OR(G24="",G24="Fechada",G24="Perdida",AND(H24="",I24="")),"",Config!$B$5-IF(I24="",H24,I24))</f>
        <v>3</v>
      </c>
      <c r="P24" s="29">
        <f>IF(AND(G24="Fechada",K24&lt;&gt;"",H24&lt;&gt;""),K24-H24,"")</f>
        <v/>
      </c>
      <c r="Q24" s="25" t="str">
        <f>IF(G24="","",IF(G24="Fechada","Fechada",IF(G24="Perdida","Perdida",IF(AND(J24&lt;&gt;"",J24&lt;Config!$B$5),"Previsão vencida",IF(AND(O24&lt;&gt;"",O24&gt;Config!$B$7),"Parada","Ativa")))))</f>
        <v>Ativa</v>
      </c>
      <c r="R24" s="37">
        <f>IF(OR(G24="",Q24="Fechada",Q24="Perdida"),0,IF(Q24="Previsão vencida",3,IF(Q24="Parada",2,1))*1E+15+MIN(N(O24),500)*1E+12+MIN(ROUND(N(F24)*100,0),99999999)*1E+4+(304+1-ROW()))</f>
        <v>1003005600000281</v>
      </c>
    </row>
    <row r="25">
      <c r="A25" s="31" t="n"/>
      <c r="B25" s="34" t="n"/>
      <c r="C25" s="31" t="n"/>
      <c r="D25" s="34" t="n"/>
      <c r="E25" s="34" t="n"/>
      <c r="F25" s="33" t="n"/>
      <c r="G25" s="34" t="n"/>
      <c r="H25" s="36" t="n"/>
      <c r="I25" s="36" t="n"/>
      <c r="J25" s="36" t="n"/>
      <c r="K25" s="36" t="n"/>
      <c r="L25" s="31" t="n"/>
      <c r="M25" s="27">
        <f>IF(G25="","",IFERROR(INDEX(Config!$B$10:$B$15,MATCH(G25,Config!$A$10:$A$15,0)),0))</f>
        <v/>
      </c>
      <c r="N25" s="26">
        <f>IF(OR(G25="",F25=""),"",F25*M25)</f>
        <v/>
      </c>
      <c r="O25" s="29">
        <f>IF(OR(G25="",G25="Fechada",G25="Perdida",AND(H25="",I25="")),"",Config!$B$5-IF(I25="",H25,I25))</f>
        <v/>
      </c>
      <c r="P25" s="29">
        <f>IF(AND(G25="Fechada",K25&lt;&gt;"",H25&lt;&gt;""),K25-H25,"")</f>
        <v/>
      </c>
      <c r="Q25" s="25">
        <f>IF(G25="","",IF(G25="Fechada","Fechada",IF(G25="Perdida","Perdida",IF(AND(J25&lt;&gt;"",J25&lt;Config!$B$5),"Previsão vencida",IF(AND(O25&lt;&gt;"",O25&gt;Config!$B$7),"Parada","Ativa")))))</f>
        <v/>
      </c>
      <c r="R25" s="37">
        <f>IF(OR(G25="",Q25="Fechada",Q25="Perdida"),0,IF(Q25="Previsão vencida",3,IF(Q25="Parada",2,1))*1E+15+MIN(N(O25),500)*1E+12+MIN(ROUND(N(F25)*100,0),99999999)*1E+4+(304+1-ROW()))</f>
        <v>0</v>
      </c>
    </row>
    <row r="26">
      <c r="A26" s="31" t="n"/>
      <c r="B26" s="34" t="n"/>
      <c r="C26" s="31" t="n"/>
      <c r="D26" s="34" t="n"/>
      <c r="E26" s="34" t="n"/>
      <c r="F26" s="33" t="n"/>
      <c r="G26" s="34" t="n"/>
      <c r="H26" s="36" t="n"/>
      <c r="I26" s="36" t="n"/>
      <c r="J26" s="36" t="n"/>
      <c r="K26" s="36" t="n"/>
      <c r="L26" s="31" t="n"/>
      <c r="M26" s="27">
        <f>IF(G26="","",IFERROR(INDEX(Config!$B$10:$B$15,MATCH(G26,Config!$A$10:$A$15,0)),0))</f>
        <v/>
      </c>
      <c r="N26" s="26">
        <f>IF(OR(G26="",F26=""),"",F26*M26)</f>
        <v/>
      </c>
      <c r="O26" s="29">
        <f>IF(OR(G26="",G26="Fechada",G26="Perdida",AND(H26="",I26="")),"",Config!$B$5-IF(I26="",H26,I26))</f>
        <v/>
      </c>
      <c r="P26" s="29">
        <f>IF(AND(G26="Fechada",K26&lt;&gt;"",H26&lt;&gt;""),K26-H26,"")</f>
        <v/>
      </c>
      <c r="Q26" s="25">
        <f>IF(G26="","",IF(G26="Fechada","Fechada",IF(G26="Perdida","Perdida",IF(AND(J26&lt;&gt;"",J26&lt;Config!$B$5),"Previsão vencida",IF(AND(O26&lt;&gt;"",O26&gt;Config!$B$7),"Parada","Ativa")))))</f>
        <v/>
      </c>
      <c r="R26" s="37">
        <f>IF(OR(G26="",Q26="Fechada",Q26="Perdida"),0,IF(Q26="Previsão vencida",3,IF(Q26="Parada",2,1))*1E+15+MIN(N(O26),500)*1E+12+MIN(ROUND(N(F26)*100,0),99999999)*1E+4+(304+1-ROW()))</f>
        <v>0</v>
      </c>
    </row>
    <row r="27">
      <c r="A27" s="31" t="n"/>
      <c r="B27" s="34" t="n"/>
      <c r="C27" s="31" t="n"/>
      <c r="D27" s="34" t="n"/>
      <c r="E27" s="34" t="n"/>
      <c r="F27" s="33" t="n"/>
      <c r="G27" s="34" t="n"/>
      <c r="H27" s="36" t="n"/>
      <c r="I27" s="36" t="n"/>
      <c r="J27" s="36" t="n"/>
      <c r="K27" s="36" t="n"/>
      <c r="L27" s="31" t="n"/>
      <c r="M27" s="27">
        <f>IF(G27="","",IFERROR(INDEX(Config!$B$10:$B$15,MATCH(G27,Config!$A$10:$A$15,0)),0))</f>
        <v/>
      </c>
      <c r="N27" s="26">
        <f>IF(OR(G27="",F27=""),"",F27*M27)</f>
        <v/>
      </c>
      <c r="O27" s="29">
        <f>IF(OR(G27="",G27="Fechada",G27="Perdida",AND(H27="",I27="")),"",Config!$B$5-IF(I27="",H27,I27))</f>
        <v/>
      </c>
      <c r="P27" s="29">
        <f>IF(AND(G27="Fechada",K27&lt;&gt;"",H27&lt;&gt;""),K27-H27,"")</f>
        <v/>
      </c>
      <c r="Q27" s="25">
        <f>IF(G27="","",IF(G27="Fechada","Fechada",IF(G27="Perdida","Perdida",IF(AND(J27&lt;&gt;"",J27&lt;Config!$B$5),"Previsão vencida",IF(AND(O27&lt;&gt;"",O27&gt;Config!$B$7),"Parada","Ativa")))))</f>
        <v/>
      </c>
      <c r="R27" s="37">
        <f>IF(OR(G27="",Q27="Fechada",Q27="Perdida"),0,IF(Q27="Previsão vencida",3,IF(Q27="Parada",2,1))*1E+15+MIN(N(O27),500)*1E+12+MIN(ROUND(N(F27)*100,0),99999999)*1E+4+(304+1-ROW()))</f>
        <v>0</v>
      </c>
    </row>
    <row r="28">
      <c r="A28" s="31" t="n"/>
      <c r="B28" s="34" t="n"/>
      <c r="C28" s="31" t="n"/>
      <c r="D28" s="34" t="n"/>
      <c r="E28" s="34" t="n"/>
      <c r="F28" s="33" t="n"/>
      <c r="G28" s="34" t="n"/>
      <c r="H28" s="36" t="n"/>
      <c r="I28" s="36" t="n"/>
      <c r="J28" s="36" t="n"/>
      <c r="K28" s="36" t="n"/>
      <c r="L28" s="31" t="n"/>
      <c r="M28" s="27">
        <f>IF(G28="","",IFERROR(INDEX(Config!$B$10:$B$15,MATCH(G28,Config!$A$10:$A$15,0)),0))</f>
        <v/>
      </c>
      <c r="N28" s="26">
        <f>IF(OR(G28="",F28=""),"",F28*M28)</f>
        <v/>
      </c>
      <c r="O28" s="29">
        <f>IF(OR(G28="",G28="Fechada",G28="Perdida",AND(H28="",I28="")),"",Config!$B$5-IF(I28="",H28,I28))</f>
        <v/>
      </c>
      <c r="P28" s="29">
        <f>IF(AND(G28="Fechada",K28&lt;&gt;"",H28&lt;&gt;""),K28-H28,"")</f>
        <v/>
      </c>
      <c r="Q28" s="25">
        <f>IF(G28="","",IF(G28="Fechada","Fechada",IF(G28="Perdida","Perdida",IF(AND(J28&lt;&gt;"",J28&lt;Config!$B$5),"Previsão vencida",IF(AND(O28&lt;&gt;"",O28&gt;Config!$B$7),"Parada","Ativa")))))</f>
        <v/>
      </c>
      <c r="R28" s="37">
        <f>IF(OR(G28="",Q28="Fechada",Q28="Perdida"),0,IF(Q28="Previsão vencida",3,IF(Q28="Parada",2,1))*1E+15+MIN(N(O28),500)*1E+12+MIN(ROUND(N(F28)*100,0),99999999)*1E+4+(304+1-ROW()))</f>
        <v>0</v>
      </c>
    </row>
    <row r="29">
      <c r="A29" s="31" t="n"/>
      <c r="B29" s="34" t="n"/>
      <c r="C29" s="31" t="n"/>
      <c r="D29" s="34" t="n"/>
      <c r="E29" s="34" t="n"/>
      <c r="F29" s="33" t="n"/>
      <c r="G29" s="34" t="n"/>
      <c r="H29" s="36" t="n"/>
      <c r="I29" s="36" t="n"/>
      <c r="J29" s="36" t="n"/>
      <c r="K29" s="36" t="n"/>
      <c r="L29" s="31" t="n"/>
      <c r="M29" s="27">
        <f>IF(G29="","",IFERROR(INDEX(Config!$B$10:$B$15,MATCH(G29,Config!$A$10:$A$15,0)),0))</f>
        <v/>
      </c>
      <c r="N29" s="26">
        <f>IF(OR(G29="",F29=""),"",F29*M29)</f>
        <v/>
      </c>
      <c r="O29" s="29">
        <f>IF(OR(G29="",G29="Fechada",G29="Perdida",AND(H29="",I29="")),"",Config!$B$5-IF(I29="",H29,I29))</f>
        <v/>
      </c>
      <c r="P29" s="29">
        <f>IF(AND(G29="Fechada",K29&lt;&gt;"",H29&lt;&gt;""),K29-H29,"")</f>
        <v/>
      </c>
      <c r="Q29" s="25">
        <f>IF(G29="","",IF(G29="Fechada","Fechada",IF(G29="Perdida","Perdida",IF(AND(J29&lt;&gt;"",J29&lt;Config!$B$5),"Previsão vencida",IF(AND(O29&lt;&gt;"",O29&gt;Config!$B$7),"Parada","Ativa")))))</f>
        <v/>
      </c>
      <c r="R29" s="37">
        <f>IF(OR(G29="",Q29="Fechada",Q29="Perdida"),0,IF(Q29="Previsão vencida",3,IF(Q29="Parada",2,1))*1E+15+MIN(N(O29),500)*1E+12+MIN(ROUND(N(F29)*100,0),99999999)*1E+4+(304+1-ROW()))</f>
        <v>0</v>
      </c>
    </row>
    <row r="30">
      <c r="A30" s="31" t="n"/>
      <c r="B30" s="34" t="n"/>
      <c r="C30" s="31" t="n"/>
      <c r="D30" s="34" t="n"/>
      <c r="E30" s="34" t="n"/>
      <c r="F30" s="33" t="n"/>
      <c r="G30" s="34" t="n"/>
      <c r="H30" s="36" t="n"/>
      <c r="I30" s="36" t="n"/>
      <c r="J30" s="36" t="n"/>
      <c r="K30" s="36" t="n"/>
      <c r="L30" s="31" t="n"/>
      <c r="M30" s="27">
        <f>IF(G30="","",IFERROR(INDEX(Config!$B$10:$B$15,MATCH(G30,Config!$A$10:$A$15,0)),0))</f>
        <v/>
      </c>
      <c r="N30" s="26">
        <f>IF(OR(G30="",F30=""),"",F30*M30)</f>
        <v/>
      </c>
      <c r="O30" s="29">
        <f>IF(OR(G30="",G30="Fechada",G30="Perdida",AND(H30="",I30="")),"",Config!$B$5-IF(I30="",H30,I30))</f>
        <v/>
      </c>
      <c r="P30" s="29">
        <f>IF(AND(G30="Fechada",K30&lt;&gt;"",H30&lt;&gt;""),K30-H30,"")</f>
        <v/>
      </c>
      <c r="Q30" s="25">
        <f>IF(G30="","",IF(G30="Fechada","Fechada",IF(G30="Perdida","Perdida",IF(AND(J30&lt;&gt;"",J30&lt;Config!$B$5),"Previsão vencida",IF(AND(O30&lt;&gt;"",O30&gt;Config!$B$7),"Parada","Ativa")))))</f>
        <v/>
      </c>
      <c r="R30" s="37">
        <f>IF(OR(G30="",Q30="Fechada",Q30="Perdida"),0,IF(Q30="Previsão vencida",3,IF(Q30="Parada",2,1))*1E+15+MIN(N(O30),500)*1E+12+MIN(ROUND(N(F30)*100,0),99999999)*1E+4+(304+1-ROW()))</f>
        <v>0</v>
      </c>
    </row>
    <row r="31">
      <c r="A31" s="31" t="n"/>
      <c r="B31" s="34" t="n"/>
      <c r="C31" s="31" t="n"/>
      <c r="D31" s="34" t="n"/>
      <c r="E31" s="34" t="n"/>
      <c r="F31" s="33" t="n"/>
      <c r="G31" s="34" t="n"/>
      <c r="H31" s="36" t="n"/>
      <c r="I31" s="36" t="n"/>
      <c r="J31" s="36" t="n"/>
      <c r="K31" s="36" t="n"/>
      <c r="L31" s="31" t="n"/>
      <c r="M31" s="27">
        <f>IF(G31="","",IFERROR(INDEX(Config!$B$10:$B$15,MATCH(G31,Config!$A$10:$A$15,0)),0))</f>
        <v/>
      </c>
      <c r="N31" s="26">
        <f>IF(OR(G31="",F31=""),"",F31*M31)</f>
        <v/>
      </c>
      <c r="O31" s="29">
        <f>IF(OR(G31="",G31="Fechada",G31="Perdida",AND(H31="",I31="")),"",Config!$B$5-IF(I31="",H31,I31))</f>
        <v/>
      </c>
      <c r="P31" s="29">
        <f>IF(AND(G31="Fechada",K31&lt;&gt;"",H31&lt;&gt;""),K31-H31,"")</f>
        <v/>
      </c>
      <c r="Q31" s="25">
        <f>IF(G31="","",IF(G31="Fechada","Fechada",IF(G31="Perdida","Perdida",IF(AND(J31&lt;&gt;"",J31&lt;Config!$B$5),"Previsão vencida",IF(AND(O31&lt;&gt;"",O31&gt;Config!$B$7),"Parada","Ativa")))))</f>
        <v/>
      </c>
      <c r="R31" s="37">
        <f>IF(OR(G31="",Q31="Fechada",Q31="Perdida"),0,IF(Q31="Previsão vencida",3,IF(Q31="Parada",2,1))*1E+15+MIN(N(O31),500)*1E+12+MIN(ROUND(N(F31)*100,0),99999999)*1E+4+(304+1-ROW()))</f>
        <v>0</v>
      </c>
    </row>
    <row r="32">
      <c r="A32" s="31" t="n"/>
      <c r="B32" s="34" t="n"/>
      <c r="C32" s="31" t="n"/>
      <c r="D32" s="34" t="n"/>
      <c r="E32" s="34" t="n"/>
      <c r="F32" s="33" t="n"/>
      <c r="G32" s="34" t="n"/>
      <c r="H32" s="36" t="n"/>
      <c r="I32" s="36" t="n"/>
      <c r="J32" s="36" t="n"/>
      <c r="K32" s="36" t="n"/>
      <c r="L32" s="31" t="n"/>
      <c r="M32" s="27">
        <f>IF(G32="","",IFERROR(INDEX(Config!$B$10:$B$15,MATCH(G32,Config!$A$10:$A$15,0)),0))</f>
        <v/>
      </c>
      <c r="N32" s="26">
        <f>IF(OR(G32="",F32=""),"",F32*M32)</f>
        <v/>
      </c>
      <c r="O32" s="29">
        <f>IF(OR(G32="",G32="Fechada",G32="Perdida",AND(H32="",I32="")),"",Config!$B$5-IF(I32="",H32,I32))</f>
        <v/>
      </c>
      <c r="P32" s="29">
        <f>IF(AND(G32="Fechada",K32&lt;&gt;"",H32&lt;&gt;""),K32-H32,"")</f>
        <v/>
      </c>
      <c r="Q32" s="25">
        <f>IF(G32="","",IF(G32="Fechada","Fechada",IF(G32="Perdida","Perdida",IF(AND(J32&lt;&gt;"",J32&lt;Config!$B$5),"Previsão vencida",IF(AND(O32&lt;&gt;"",O32&gt;Config!$B$7),"Parada","Ativa")))))</f>
        <v/>
      </c>
      <c r="R32" s="37">
        <f>IF(OR(G32="",Q32="Fechada",Q32="Perdida"),0,IF(Q32="Previsão vencida",3,IF(Q32="Parada",2,1))*1E+15+MIN(N(O32),500)*1E+12+MIN(ROUND(N(F32)*100,0),99999999)*1E+4+(304+1-ROW()))</f>
        <v>0</v>
      </c>
    </row>
    <row r="33">
      <c r="A33" s="31" t="n"/>
      <c r="B33" s="34" t="n"/>
      <c r="C33" s="31" t="n"/>
      <c r="D33" s="34" t="n"/>
      <c r="E33" s="34" t="n"/>
      <c r="F33" s="33" t="n"/>
      <c r="G33" s="34" t="n"/>
      <c r="H33" s="36" t="n"/>
      <c r="I33" s="36" t="n"/>
      <c r="J33" s="36" t="n"/>
      <c r="K33" s="36" t="n"/>
      <c r="L33" s="31" t="n"/>
      <c r="M33" s="27">
        <f>IF(G33="","",IFERROR(INDEX(Config!$B$10:$B$15,MATCH(G33,Config!$A$10:$A$15,0)),0))</f>
        <v/>
      </c>
      <c r="N33" s="26">
        <f>IF(OR(G33="",F33=""),"",F33*M33)</f>
        <v/>
      </c>
      <c r="O33" s="29">
        <f>IF(OR(G33="",G33="Fechada",G33="Perdida",AND(H33="",I33="")),"",Config!$B$5-IF(I33="",H33,I33))</f>
        <v/>
      </c>
      <c r="P33" s="29">
        <f>IF(AND(G33="Fechada",K33&lt;&gt;"",H33&lt;&gt;""),K33-H33,"")</f>
        <v/>
      </c>
      <c r="Q33" s="25">
        <f>IF(G33="","",IF(G33="Fechada","Fechada",IF(G33="Perdida","Perdida",IF(AND(J33&lt;&gt;"",J33&lt;Config!$B$5),"Previsão vencida",IF(AND(O33&lt;&gt;"",O33&gt;Config!$B$7),"Parada","Ativa")))))</f>
        <v/>
      </c>
      <c r="R33" s="37">
        <f>IF(OR(G33="",Q33="Fechada",Q33="Perdida"),0,IF(Q33="Previsão vencida",3,IF(Q33="Parada",2,1))*1E+15+MIN(N(O33),500)*1E+12+MIN(ROUND(N(F33)*100,0),99999999)*1E+4+(304+1-ROW()))</f>
        <v>0</v>
      </c>
    </row>
    <row r="34">
      <c r="A34" s="31" t="n"/>
      <c r="B34" s="34" t="n"/>
      <c r="C34" s="31" t="n"/>
      <c r="D34" s="34" t="n"/>
      <c r="E34" s="34" t="n"/>
      <c r="F34" s="33" t="n"/>
      <c r="G34" s="34" t="n"/>
      <c r="H34" s="36" t="n"/>
      <c r="I34" s="36" t="n"/>
      <c r="J34" s="36" t="n"/>
      <c r="K34" s="36" t="n"/>
      <c r="L34" s="31" t="n"/>
      <c r="M34" s="27">
        <f>IF(G34="","",IFERROR(INDEX(Config!$B$10:$B$15,MATCH(G34,Config!$A$10:$A$15,0)),0))</f>
        <v/>
      </c>
      <c r="N34" s="26">
        <f>IF(OR(G34="",F34=""),"",F34*M34)</f>
        <v/>
      </c>
      <c r="O34" s="29">
        <f>IF(OR(G34="",G34="Fechada",G34="Perdida",AND(H34="",I34="")),"",Config!$B$5-IF(I34="",H34,I34))</f>
        <v/>
      </c>
      <c r="P34" s="29">
        <f>IF(AND(G34="Fechada",K34&lt;&gt;"",H34&lt;&gt;""),K34-H34,"")</f>
        <v/>
      </c>
      <c r="Q34" s="25">
        <f>IF(G34="","",IF(G34="Fechada","Fechada",IF(G34="Perdida","Perdida",IF(AND(J34&lt;&gt;"",J34&lt;Config!$B$5),"Previsão vencida",IF(AND(O34&lt;&gt;"",O34&gt;Config!$B$7),"Parada","Ativa")))))</f>
        <v/>
      </c>
      <c r="R34" s="37">
        <f>IF(OR(G34="",Q34="Fechada",Q34="Perdida"),0,IF(Q34="Previsão vencida",3,IF(Q34="Parada",2,1))*1E+15+MIN(N(O34),500)*1E+12+MIN(ROUND(N(F34)*100,0),99999999)*1E+4+(304+1-ROW()))</f>
        <v>0</v>
      </c>
    </row>
    <row r="35">
      <c r="A35" s="31" t="n"/>
      <c r="B35" s="34" t="n"/>
      <c r="C35" s="31" t="n"/>
      <c r="D35" s="34" t="n"/>
      <c r="E35" s="34" t="n"/>
      <c r="F35" s="33" t="n"/>
      <c r="G35" s="34" t="n"/>
      <c r="H35" s="36" t="n"/>
      <c r="I35" s="36" t="n"/>
      <c r="J35" s="36" t="n"/>
      <c r="K35" s="36" t="n"/>
      <c r="L35" s="31" t="n"/>
      <c r="M35" s="27">
        <f>IF(G35="","",IFERROR(INDEX(Config!$B$10:$B$15,MATCH(G35,Config!$A$10:$A$15,0)),0))</f>
        <v/>
      </c>
      <c r="N35" s="26">
        <f>IF(OR(G35="",F35=""),"",F35*M35)</f>
        <v/>
      </c>
      <c r="O35" s="29">
        <f>IF(OR(G35="",G35="Fechada",G35="Perdida",AND(H35="",I35="")),"",Config!$B$5-IF(I35="",H35,I35))</f>
        <v/>
      </c>
      <c r="P35" s="29">
        <f>IF(AND(G35="Fechada",K35&lt;&gt;"",H35&lt;&gt;""),K35-H35,"")</f>
        <v/>
      </c>
      <c r="Q35" s="25">
        <f>IF(G35="","",IF(G35="Fechada","Fechada",IF(G35="Perdida","Perdida",IF(AND(J35&lt;&gt;"",J35&lt;Config!$B$5),"Previsão vencida",IF(AND(O35&lt;&gt;"",O35&gt;Config!$B$7),"Parada","Ativa")))))</f>
        <v/>
      </c>
      <c r="R35" s="37">
        <f>IF(OR(G35="",Q35="Fechada",Q35="Perdida"),0,IF(Q35="Previsão vencida",3,IF(Q35="Parada",2,1))*1E+15+MIN(N(O35),500)*1E+12+MIN(ROUND(N(F35)*100,0),99999999)*1E+4+(304+1-ROW()))</f>
        <v>0</v>
      </c>
    </row>
    <row r="36">
      <c r="A36" s="31" t="n"/>
      <c r="B36" s="34" t="n"/>
      <c r="C36" s="31" t="n"/>
      <c r="D36" s="34" t="n"/>
      <c r="E36" s="34" t="n"/>
      <c r="F36" s="33" t="n"/>
      <c r="G36" s="34" t="n"/>
      <c r="H36" s="36" t="n"/>
      <c r="I36" s="36" t="n"/>
      <c r="J36" s="36" t="n"/>
      <c r="K36" s="36" t="n"/>
      <c r="L36" s="31" t="n"/>
      <c r="M36" s="27">
        <f>IF(G36="","",IFERROR(INDEX(Config!$B$10:$B$15,MATCH(G36,Config!$A$10:$A$15,0)),0))</f>
        <v/>
      </c>
      <c r="N36" s="26">
        <f>IF(OR(G36="",F36=""),"",F36*M36)</f>
        <v/>
      </c>
      <c r="O36" s="29">
        <f>IF(OR(G36="",G36="Fechada",G36="Perdida",AND(H36="",I36="")),"",Config!$B$5-IF(I36="",H36,I36))</f>
        <v/>
      </c>
      <c r="P36" s="29">
        <f>IF(AND(G36="Fechada",K36&lt;&gt;"",H36&lt;&gt;""),K36-H36,"")</f>
        <v/>
      </c>
      <c r="Q36" s="25">
        <f>IF(G36="","",IF(G36="Fechada","Fechada",IF(G36="Perdida","Perdida",IF(AND(J36&lt;&gt;"",J36&lt;Config!$B$5),"Previsão vencida",IF(AND(O36&lt;&gt;"",O36&gt;Config!$B$7),"Parada","Ativa")))))</f>
        <v/>
      </c>
      <c r="R36" s="37">
        <f>IF(OR(G36="",Q36="Fechada",Q36="Perdida"),0,IF(Q36="Previsão vencida",3,IF(Q36="Parada",2,1))*1E+15+MIN(N(O36),500)*1E+12+MIN(ROUND(N(F36)*100,0),99999999)*1E+4+(304+1-ROW()))</f>
        <v>0</v>
      </c>
    </row>
    <row r="37">
      <c r="A37" s="31" t="n"/>
      <c r="B37" s="34" t="n"/>
      <c r="C37" s="31" t="n"/>
      <c r="D37" s="34" t="n"/>
      <c r="E37" s="34" t="n"/>
      <c r="F37" s="33" t="n"/>
      <c r="G37" s="34" t="n"/>
      <c r="H37" s="36" t="n"/>
      <c r="I37" s="36" t="n"/>
      <c r="J37" s="36" t="n"/>
      <c r="K37" s="36" t="n"/>
      <c r="L37" s="31" t="n"/>
      <c r="M37" s="27">
        <f>IF(G37="","",IFERROR(INDEX(Config!$B$10:$B$15,MATCH(G37,Config!$A$10:$A$15,0)),0))</f>
        <v/>
      </c>
      <c r="N37" s="26">
        <f>IF(OR(G37="",F37=""),"",F37*M37)</f>
        <v/>
      </c>
      <c r="O37" s="29">
        <f>IF(OR(G37="",G37="Fechada",G37="Perdida",AND(H37="",I37="")),"",Config!$B$5-IF(I37="",H37,I37))</f>
        <v/>
      </c>
      <c r="P37" s="29">
        <f>IF(AND(G37="Fechada",K37&lt;&gt;"",H37&lt;&gt;""),K37-H37,"")</f>
        <v/>
      </c>
      <c r="Q37" s="25">
        <f>IF(G37="","",IF(G37="Fechada","Fechada",IF(G37="Perdida","Perdida",IF(AND(J37&lt;&gt;"",J37&lt;Config!$B$5),"Previsão vencida",IF(AND(O37&lt;&gt;"",O37&gt;Config!$B$7),"Parada","Ativa")))))</f>
        <v/>
      </c>
      <c r="R37" s="37">
        <f>IF(OR(G37="",Q37="Fechada",Q37="Perdida"),0,IF(Q37="Previsão vencida",3,IF(Q37="Parada",2,1))*1E+15+MIN(N(O37),500)*1E+12+MIN(ROUND(N(F37)*100,0),99999999)*1E+4+(304+1-ROW()))</f>
        <v>0</v>
      </c>
    </row>
    <row r="38">
      <c r="A38" s="31" t="n"/>
      <c r="B38" s="34" t="n"/>
      <c r="C38" s="31" t="n"/>
      <c r="D38" s="34" t="n"/>
      <c r="E38" s="34" t="n"/>
      <c r="F38" s="33" t="n"/>
      <c r="G38" s="34" t="n"/>
      <c r="H38" s="36" t="n"/>
      <c r="I38" s="36" t="n"/>
      <c r="J38" s="36" t="n"/>
      <c r="K38" s="36" t="n"/>
      <c r="L38" s="31" t="n"/>
      <c r="M38" s="27">
        <f>IF(G38="","",IFERROR(INDEX(Config!$B$10:$B$15,MATCH(G38,Config!$A$10:$A$15,0)),0))</f>
        <v/>
      </c>
      <c r="N38" s="26">
        <f>IF(OR(G38="",F38=""),"",F38*M38)</f>
        <v/>
      </c>
      <c r="O38" s="29">
        <f>IF(OR(G38="",G38="Fechada",G38="Perdida",AND(H38="",I38="")),"",Config!$B$5-IF(I38="",H38,I38))</f>
        <v/>
      </c>
      <c r="P38" s="29">
        <f>IF(AND(G38="Fechada",K38&lt;&gt;"",H38&lt;&gt;""),K38-H38,"")</f>
        <v/>
      </c>
      <c r="Q38" s="25">
        <f>IF(G38="","",IF(G38="Fechada","Fechada",IF(G38="Perdida","Perdida",IF(AND(J38&lt;&gt;"",J38&lt;Config!$B$5),"Previsão vencida",IF(AND(O38&lt;&gt;"",O38&gt;Config!$B$7),"Parada","Ativa")))))</f>
        <v/>
      </c>
      <c r="R38" s="37">
        <f>IF(OR(G38="",Q38="Fechada",Q38="Perdida"),0,IF(Q38="Previsão vencida",3,IF(Q38="Parada",2,1))*1E+15+MIN(N(O38),500)*1E+12+MIN(ROUND(N(F38)*100,0),99999999)*1E+4+(304+1-ROW()))</f>
        <v>0</v>
      </c>
    </row>
    <row r="39">
      <c r="A39" s="31" t="n"/>
      <c r="B39" s="34" t="n"/>
      <c r="C39" s="31" t="n"/>
      <c r="D39" s="34" t="n"/>
      <c r="E39" s="34" t="n"/>
      <c r="F39" s="33" t="n"/>
      <c r="G39" s="34" t="n"/>
      <c r="H39" s="36" t="n"/>
      <c r="I39" s="36" t="n"/>
      <c r="J39" s="36" t="n"/>
      <c r="K39" s="36" t="n"/>
      <c r="L39" s="31" t="n"/>
      <c r="M39" s="27">
        <f>IF(G39="","",IFERROR(INDEX(Config!$B$10:$B$15,MATCH(G39,Config!$A$10:$A$15,0)),0))</f>
        <v/>
      </c>
      <c r="N39" s="26">
        <f>IF(OR(G39="",F39=""),"",F39*M39)</f>
        <v/>
      </c>
      <c r="O39" s="29">
        <f>IF(OR(G39="",G39="Fechada",G39="Perdida",AND(H39="",I39="")),"",Config!$B$5-IF(I39="",H39,I39))</f>
        <v/>
      </c>
      <c r="P39" s="29">
        <f>IF(AND(G39="Fechada",K39&lt;&gt;"",H39&lt;&gt;""),K39-H39,"")</f>
        <v/>
      </c>
      <c r="Q39" s="25">
        <f>IF(G39="","",IF(G39="Fechada","Fechada",IF(G39="Perdida","Perdida",IF(AND(J39&lt;&gt;"",J39&lt;Config!$B$5),"Previsão vencida",IF(AND(O39&lt;&gt;"",O39&gt;Config!$B$7),"Parada","Ativa")))))</f>
        <v/>
      </c>
      <c r="R39" s="37">
        <f>IF(OR(G39="",Q39="Fechada",Q39="Perdida"),0,IF(Q39="Previsão vencida",3,IF(Q39="Parada",2,1))*1E+15+MIN(N(O39),500)*1E+12+MIN(ROUND(N(F39)*100,0),99999999)*1E+4+(304+1-ROW()))</f>
        <v>0</v>
      </c>
    </row>
    <row r="40">
      <c r="A40" s="31" t="n"/>
      <c r="B40" s="34" t="n"/>
      <c r="C40" s="31" t="n"/>
      <c r="D40" s="34" t="n"/>
      <c r="E40" s="34" t="n"/>
      <c r="F40" s="33" t="n"/>
      <c r="G40" s="34" t="n"/>
      <c r="H40" s="36" t="n"/>
      <c r="I40" s="36" t="n"/>
      <c r="J40" s="36" t="n"/>
      <c r="K40" s="36" t="n"/>
      <c r="L40" s="31" t="n"/>
      <c r="M40" s="27">
        <f>IF(G40="","",IFERROR(INDEX(Config!$B$10:$B$15,MATCH(G40,Config!$A$10:$A$15,0)),0))</f>
        <v/>
      </c>
      <c r="N40" s="26">
        <f>IF(OR(G40="",F40=""),"",F40*M40)</f>
        <v/>
      </c>
      <c r="O40" s="29">
        <f>IF(OR(G40="",G40="Fechada",G40="Perdida",AND(H40="",I40="")),"",Config!$B$5-IF(I40="",H40,I40))</f>
        <v/>
      </c>
      <c r="P40" s="29">
        <f>IF(AND(G40="Fechada",K40&lt;&gt;"",H40&lt;&gt;""),K40-H40,"")</f>
        <v/>
      </c>
      <c r="Q40" s="25">
        <f>IF(G40="","",IF(G40="Fechada","Fechada",IF(G40="Perdida","Perdida",IF(AND(J40&lt;&gt;"",J40&lt;Config!$B$5),"Previsão vencida",IF(AND(O40&lt;&gt;"",O40&gt;Config!$B$7),"Parada","Ativa")))))</f>
        <v/>
      </c>
      <c r="R40" s="37">
        <f>IF(OR(G40="",Q40="Fechada",Q40="Perdida"),0,IF(Q40="Previsão vencida",3,IF(Q40="Parada",2,1))*1E+15+MIN(N(O40),500)*1E+12+MIN(ROUND(N(F40)*100,0),99999999)*1E+4+(304+1-ROW()))</f>
        <v>0</v>
      </c>
    </row>
    <row r="41">
      <c r="A41" s="31" t="n"/>
      <c r="B41" s="34" t="n"/>
      <c r="C41" s="31" t="n"/>
      <c r="D41" s="34" t="n"/>
      <c r="E41" s="34" t="n"/>
      <c r="F41" s="33" t="n"/>
      <c r="G41" s="34" t="n"/>
      <c r="H41" s="36" t="n"/>
      <c r="I41" s="36" t="n"/>
      <c r="J41" s="36" t="n"/>
      <c r="K41" s="36" t="n"/>
      <c r="L41" s="31" t="n"/>
      <c r="M41" s="27">
        <f>IF(G41="","",IFERROR(INDEX(Config!$B$10:$B$15,MATCH(G41,Config!$A$10:$A$15,0)),0))</f>
        <v/>
      </c>
      <c r="N41" s="26">
        <f>IF(OR(G41="",F41=""),"",F41*M41)</f>
        <v/>
      </c>
      <c r="O41" s="29">
        <f>IF(OR(G41="",G41="Fechada",G41="Perdida",AND(H41="",I41="")),"",Config!$B$5-IF(I41="",H41,I41))</f>
        <v/>
      </c>
      <c r="P41" s="29">
        <f>IF(AND(G41="Fechada",K41&lt;&gt;"",H41&lt;&gt;""),K41-H41,"")</f>
        <v/>
      </c>
      <c r="Q41" s="25">
        <f>IF(G41="","",IF(G41="Fechada","Fechada",IF(G41="Perdida","Perdida",IF(AND(J41&lt;&gt;"",J41&lt;Config!$B$5),"Previsão vencida",IF(AND(O41&lt;&gt;"",O41&gt;Config!$B$7),"Parada","Ativa")))))</f>
        <v/>
      </c>
      <c r="R41" s="37">
        <f>IF(OR(G41="",Q41="Fechada",Q41="Perdida"),0,IF(Q41="Previsão vencida",3,IF(Q41="Parada",2,1))*1E+15+MIN(N(O41),500)*1E+12+MIN(ROUND(N(F41)*100,0),99999999)*1E+4+(304+1-ROW()))</f>
        <v>0</v>
      </c>
    </row>
    <row r="42">
      <c r="A42" s="31" t="n"/>
      <c r="B42" s="34" t="n"/>
      <c r="C42" s="31" t="n"/>
      <c r="D42" s="34" t="n"/>
      <c r="E42" s="34" t="n"/>
      <c r="F42" s="33" t="n"/>
      <c r="G42" s="34" t="n"/>
      <c r="H42" s="36" t="n"/>
      <c r="I42" s="36" t="n"/>
      <c r="J42" s="36" t="n"/>
      <c r="K42" s="36" t="n"/>
      <c r="L42" s="31" t="n"/>
      <c r="M42" s="27">
        <f>IF(G42="","",IFERROR(INDEX(Config!$B$10:$B$15,MATCH(G42,Config!$A$10:$A$15,0)),0))</f>
        <v/>
      </c>
      <c r="N42" s="26">
        <f>IF(OR(G42="",F42=""),"",F42*M42)</f>
        <v/>
      </c>
      <c r="O42" s="29">
        <f>IF(OR(G42="",G42="Fechada",G42="Perdida",AND(H42="",I42="")),"",Config!$B$5-IF(I42="",H42,I42))</f>
        <v/>
      </c>
      <c r="P42" s="29">
        <f>IF(AND(G42="Fechada",K42&lt;&gt;"",H42&lt;&gt;""),K42-H42,"")</f>
        <v/>
      </c>
      <c r="Q42" s="25">
        <f>IF(G42="","",IF(G42="Fechada","Fechada",IF(G42="Perdida","Perdida",IF(AND(J42&lt;&gt;"",J42&lt;Config!$B$5),"Previsão vencida",IF(AND(O42&lt;&gt;"",O42&gt;Config!$B$7),"Parada","Ativa")))))</f>
        <v/>
      </c>
      <c r="R42" s="37">
        <f>IF(OR(G42="",Q42="Fechada",Q42="Perdida"),0,IF(Q42="Previsão vencida",3,IF(Q42="Parada",2,1))*1E+15+MIN(N(O42),500)*1E+12+MIN(ROUND(N(F42)*100,0),99999999)*1E+4+(304+1-ROW()))</f>
        <v>0</v>
      </c>
    </row>
    <row r="43">
      <c r="A43" s="31" t="n"/>
      <c r="B43" s="34" t="n"/>
      <c r="C43" s="31" t="n"/>
      <c r="D43" s="34" t="n"/>
      <c r="E43" s="34" t="n"/>
      <c r="F43" s="33" t="n"/>
      <c r="G43" s="34" t="n"/>
      <c r="H43" s="36" t="n"/>
      <c r="I43" s="36" t="n"/>
      <c r="J43" s="36" t="n"/>
      <c r="K43" s="36" t="n"/>
      <c r="L43" s="31" t="n"/>
      <c r="M43" s="27">
        <f>IF(G43="","",IFERROR(INDEX(Config!$B$10:$B$15,MATCH(G43,Config!$A$10:$A$15,0)),0))</f>
        <v/>
      </c>
      <c r="N43" s="26">
        <f>IF(OR(G43="",F43=""),"",F43*M43)</f>
        <v/>
      </c>
      <c r="O43" s="29">
        <f>IF(OR(G43="",G43="Fechada",G43="Perdida",AND(H43="",I43="")),"",Config!$B$5-IF(I43="",H43,I43))</f>
        <v/>
      </c>
      <c r="P43" s="29">
        <f>IF(AND(G43="Fechada",K43&lt;&gt;"",H43&lt;&gt;""),K43-H43,"")</f>
        <v/>
      </c>
      <c r="Q43" s="25">
        <f>IF(G43="","",IF(G43="Fechada","Fechada",IF(G43="Perdida","Perdida",IF(AND(J43&lt;&gt;"",J43&lt;Config!$B$5),"Previsão vencida",IF(AND(O43&lt;&gt;"",O43&gt;Config!$B$7),"Parada","Ativa")))))</f>
        <v/>
      </c>
      <c r="R43" s="37">
        <f>IF(OR(G43="",Q43="Fechada",Q43="Perdida"),0,IF(Q43="Previsão vencida",3,IF(Q43="Parada",2,1))*1E+15+MIN(N(O43),500)*1E+12+MIN(ROUND(N(F43)*100,0),99999999)*1E+4+(304+1-ROW()))</f>
        <v>0</v>
      </c>
    </row>
    <row r="44">
      <c r="A44" s="31" t="n"/>
      <c r="B44" s="34" t="n"/>
      <c r="C44" s="31" t="n"/>
      <c r="D44" s="34" t="n"/>
      <c r="E44" s="34" t="n"/>
      <c r="F44" s="33" t="n"/>
      <c r="G44" s="34" t="n"/>
      <c r="H44" s="36" t="n"/>
      <c r="I44" s="36" t="n"/>
      <c r="J44" s="36" t="n"/>
      <c r="K44" s="36" t="n"/>
      <c r="L44" s="31" t="n"/>
      <c r="M44" s="27">
        <f>IF(G44="","",IFERROR(INDEX(Config!$B$10:$B$15,MATCH(G44,Config!$A$10:$A$15,0)),0))</f>
        <v/>
      </c>
      <c r="N44" s="26">
        <f>IF(OR(G44="",F44=""),"",F44*M44)</f>
        <v/>
      </c>
      <c r="O44" s="29">
        <f>IF(OR(G44="",G44="Fechada",G44="Perdida",AND(H44="",I44="")),"",Config!$B$5-IF(I44="",H44,I44))</f>
        <v/>
      </c>
      <c r="P44" s="29">
        <f>IF(AND(G44="Fechada",K44&lt;&gt;"",H44&lt;&gt;""),K44-H44,"")</f>
        <v/>
      </c>
      <c r="Q44" s="25">
        <f>IF(G44="","",IF(G44="Fechada","Fechada",IF(G44="Perdida","Perdida",IF(AND(J44&lt;&gt;"",J44&lt;Config!$B$5),"Previsão vencida",IF(AND(O44&lt;&gt;"",O44&gt;Config!$B$7),"Parada","Ativa")))))</f>
        <v/>
      </c>
      <c r="R44" s="37">
        <f>IF(OR(G44="",Q44="Fechada",Q44="Perdida"),0,IF(Q44="Previsão vencida",3,IF(Q44="Parada",2,1))*1E+15+MIN(N(O44),500)*1E+12+MIN(ROUND(N(F44)*100,0),99999999)*1E+4+(304+1-ROW()))</f>
        <v>0</v>
      </c>
    </row>
    <row r="45">
      <c r="A45" s="31" t="n"/>
      <c r="B45" s="34" t="n"/>
      <c r="C45" s="31" t="n"/>
      <c r="D45" s="34" t="n"/>
      <c r="E45" s="34" t="n"/>
      <c r="F45" s="33" t="n"/>
      <c r="G45" s="34" t="n"/>
      <c r="H45" s="36" t="n"/>
      <c r="I45" s="36" t="n"/>
      <c r="J45" s="36" t="n"/>
      <c r="K45" s="36" t="n"/>
      <c r="L45" s="31" t="n"/>
      <c r="M45" s="27">
        <f>IF(G45="","",IFERROR(INDEX(Config!$B$10:$B$15,MATCH(G45,Config!$A$10:$A$15,0)),0))</f>
        <v/>
      </c>
      <c r="N45" s="26">
        <f>IF(OR(G45="",F45=""),"",F45*M45)</f>
        <v/>
      </c>
      <c r="O45" s="29">
        <f>IF(OR(G45="",G45="Fechada",G45="Perdida",AND(H45="",I45="")),"",Config!$B$5-IF(I45="",H45,I45))</f>
        <v/>
      </c>
      <c r="P45" s="29">
        <f>IF(AND(G45="Fechada",K45&lt;&gt;"",H45&lt;&gt;""),K45-H45,"")</f>
        <v/>
      </c>
      <c r="Q45" s="25">
        <f>IF(G45="","",IF(G45="Fechada","Fechada",IF(G45="Perdida","Perdida",IF(AND(J45&lt;&gt;"",J45&lt;Config!$B$5),"Previsão vencida",IF(AND(O45&lt;&gt;"",O45&gt;Config!$B$7),"Parada","Ativa")))))</f>
        <v/>
      </c>
      <c r="R45" s="37">
        <f>IF(OR(G45="",Q45="Fechada",Q45="Perdida"),0,IF(Q45="Previsão vencida",3,IF(Q45="Parada",2,1))*1E+15+MIN(N(O45),500)*1E+12+MIN(ROUND(N(F45)*100,0),99999999)*1E+4+(304+1-ROW()))</f>
        <v>0</v>
      </c>
    </row>
    <row r="46">
      <c r="A46" s="31" t="n"/>
      <c r="B46" s="34" t="n"/>
      <c r="C46" s="31" t="n"/>
      <c r="D46" s="34" t="n"/>
      <c r="E46" s="34" t="n"/>
      <c r="F46" s="33" t="n"/>
      <c r="G46" s="34" t="n"/>
      <c r="H46" s="36" t="n"/>
      <c r="I46" s="36" t="n"/>
      <c r="J46" s="36" t="n"/>
      <c r="K46" s="36" t="n"/>
      <c r="L46" s="31" t="n"/>
      <c r="M46" s="27">
        <f>IF(G46="","",IFERROR(INDEX(Config!$B$10:$B$15,MATCH(G46,Config!$A$10:$A$15,0)),0))</f>
        <v/>
      </c>
      <c r="N46" s="26">
        <f>IF(OR(G46="",F46=""),"",F46*M46)</f>
        <v/>
      </c>
      <c r="O46" s="29">
        <f>IF(OR(G46="",G46="Fechada",G46="Perdida",AND(H46="",I46="")),"",Config!$B$5-IF(I46="",H46,I46))</f>
        <v/>
      </c>
      <c r="P46" s="29">
        <f>IF(AND(G46="Fechada",K46&lt;&gt;"",H46&lt;&gt;""),K46-H46,"")</f>
        <v/>
      </c>
      <c r="Q46" s="25">
        <f>IF(G46="","",IF(G46="Fechada","Fechada",IF(G46="Perdida","Perdida",IF(AND(J46&lt;&gt;"",J46&lt;Config!$B$5),"Previsão vencida",IF(AND(O46&lt;&gt;"",O46&gt;Config!$B$7),"Parada","Ativa")))))</f>
        <v/>
      </c>
      <c r="R46" s="37">
        <f>IF(OR(G46="",Q46="Fechada",Q46="Perdida"),0,IF(Q46="Previsão vencida",3,IF(Q46="Parada",2,1))*1E+15+MIN(N(O46),500)*1E+12+MIN(ROUND(N(F46)*100,0),99999999)*1E+4+(304+1-ROW()))</f>
        <v>0</v>
      </c>
    </row>
    <row r="47">
      <c r="A47" s="31" t="n"/>
      <c r="B47" s="34" t="n"/>
      <c r="C47" s="31" t="n"/>
      <c r="D47" s="34" t="n"/>
      <c r="E47" s="34" t="n"/>
      <c r="F47" s="33" t="n"/>
      <c r="G47" s="34" t="n"/>
      <c r="H47" s="36" t="n"/>
      <c r="I47" s="36" t="n"/>
      <c r="J47" s="36" t="n"/>
      <c r="K47" s="36" t="n"/>
      <c r="L47" s="31" t="n"/>
      <c r="M47" s="27">
        <f>IF(G47="","",IFERROR(INDEX(Config!$B$10:$B$15,MATCH(G47,Config!$A$10:$A$15,0)),0))</f>
        <v/>
      </c>
      <c r="N47" s="26">
        <f>IF(OR(G47="",F47=""),"",F47*M47)</f>
        <v/>
      </c>
      <c r="O47" s="29">
        <f>IF(OR(G47="",G47="Fechada",G47="Perdida",AND(H47="",I47="")),"",Config!$B$5-IF(I47="",H47,I47))</f>
        <v/>
      </c>
      <c r="P47" s="29">
        <f>IF(AND(G47="Fechada",K47&lt;&gt;"",H47&lt;&gt;""),K47-H47,"")</f>
        <v/>
      </c>
      <c r="Q47" s="25">
        <f>IF(G47="","",IF(G47="Fechada","Fechada",IF(G47="Perdida","Perdida",IF(AND(J47&lt;&gt;"",J47&lt;Config!$B$5),"Previsão vencida",IF(AND(O47&lt;&gt;"",O47&gt;Config!$B$7),"Parada","Ativa")))))</f>
        <v/>
      </c>
      <c r="R47" s="37">
        <f>IF(OR(G47="",Q47="Fechada",Q47="Perdida"),0,IF(Q47="Previsão vencida",3,IF(Q47="Parada",2,1))*1E+15+MIN(N(O47),500)*1E+12+MIN(ROUND(N(F47)*100,0),99999999)*1E+4+(304+1-ROW()))</f>
        <v>0</v>
      </c>
    </row>
    <row r="48">
      <c r="A48" s="31" t="n"/>
      <c r="B48" s="34" t="n"/>
      <c r="C48" s="31" t="n"/>
      <c r="D48" s="34" t="n"/>
      <c r="E48" s="34" t="n"/>
      <c r="F48" s="33" t="n"/>
      <c r="G48" s="34" t="n"/>
      <c r="H48" s="36" t="n"/>
      <c r="I48" s="36" t="n"/>
      <c r="J48" s="36" t="n"/>
      <c r="K48" s="36" t="n"/>
      <c r="L48" s="31" t="n"/>
      <c r="M48" s="27">
        <f>IF(G48="","",IFERROR(INDEX(Config!$B$10:$B$15,MATCH(G48,Config!$A$10:$A$15,0)),0))</f>
        <v/>
      </c>
      <c r="N48" s="26">
        <f>IF(OR(G48="",F48=""),"",F48*M48)</f>
        <v/>
      </c>
      <c r="O48" s="29">
        <f>IF(OR(G48="",G48="Fechada",G48="Perdida",AND(H48="",I48="")),"",Config!$B$5-IF(I48="",H48,I48))</f>
        <v/>
      </c>
      <c r="P48" s="29">
        <f>IF(AND(G48="Fechada",K48&lt;&gt;"",H48&lt;&gt;""),K48-H48,"")</f>
        <v/>
      </c>
      <c r="Q48" s="25">
        <f>IF(G48="","",IF(G48="Fechada","Fechada",IF(G48="Perdida","Perdida",IF(AND(J48&lt;&gt;"",J48&lt;Config!$B$5),"Previsão vencida",IF(AND(O48&lt;&gt;"",O48&gt;Config!$B$7),"Parada","Ativa")))))</f>
        <v/>
      </c>
      <c r="R48" s="37">
        <f>IF(OR(G48="",Q48="Fechada",Q48="Perdida"),0,IF(Q48="Previsão vencida",3,IF(Q48="Parada",2,1))*1E+15+MIN(N(O48),500)*1E+12+MIN(ROUND(N(F48)*100,0),99999999)*1E+4+(304+1-ROW()))</f>
        <v>0</v>
      </c>
    </row>
    <row r="49">
      <c r="A49" s="31" t="n"/>
      <c r="B49" s="34" t="n"/>
      <c r="C49" s="31" t="n"/>
      <c r="D49" s="34" t="n"/>
      <c r="E49" s="34" t="n"/>
      <c r="F49" s="33" t="n"/>
      <c r="G49" s="34" t="n"/>
      <c r="H49" s="36" t="n"/>
      <c r="I49" s="36" t="n"/>
      <c r="J49" s="36" t="n"/>
      <c r="K49" s="36" t="n"/>
      <c r="L49" s="31" t="n"/>
      <c r="M49" s="27">
        <f>IF(G49="","",IFERROR(INDEX(Config!$B$10:$B$15,MATCH(G49,Config!$A$10:$A$15,0)),0))</f>
        <v/>
      </c>
      <c r="N49" s="26">
        <f>IF(OR(G49="",F49=""),"",F49*M49)</f>
        <v/>
      </c>
      <c r="O49" s="29">
        <f>IF(OR(G49="",G49="Fechada",G49="Perdida",AND(H49="",I49="")),"",Config!$B$5-IF(I49="",H49,I49))</f>
        <v/>
      </c>
      <c r="P49" s="29">
        <f>IF(AND(G49="Fechada",K49&lt;&gt;"",H49&lt;&gt;""),K49-H49,"")</f>
        <v/>
      </c>
      <c r="Q49" s="25">
        <f>IF(G49="","",IF(G49="Fechada","Fechada",IF(G49="Perdida","Perdida",IF(AND(J49&lt;&gt;"",J49&lt;Config!$B$5),"Previsão vencida",IF(AND(O49&lt;&gt;"",O49&gt;Config!$B$7),"Parada","Ativa")))))</f>
        <v/>
      </c>
      <c r="R49" s="37">
        <f>IF(OR(G49="",Q49="Fechada",Q49="Perdida"),0,IF(Q49="Previsão vencida",3,IF(Q49="Parada",2,1))*1E+15+MIN(N(O49),500)*1E+12+MIN(ROUND(N(F49)*100,0),99999999)*1E+4+(304+1-ROW()))</f>
        <v>0</v>
      </c>
    </row>
    <row r="50">
      <c r="A50" s="31" t="n"/>
      <c r="B50" s="34" t="n"/>
      <c r="C50" s="31" t="n"/>
      <c r="D50" s="34" t="n"/>
      <c r="E50" s="34" t="n"/>
      <c r="F50" s="33" t="n"/>
      <c r="G50" s="34" t="n"/>
      <c r="H50" s="36" t="n"/>
      <c r="I50" s="36" t="n"/>
      <c r="J50" s="36" t="n"/>
      <c r="K50" s="36" t="n"/>
      <c r="L50" s="31" t="n"/>
      <c r="M50" s="27">
        <f>IF(G50="","",IFERROR(INDEX(Config!$B$10:$B$15,MATCH(G50,Config!$A$10:$A$15,0)),0))</f>
        <v/>
      </c>
      <c r="N50" s="26">
        <f>IF(OR(G50="",F50=""),"",F50*M50)</f>
        <v/>
      </c>
      <c r="O50" s="29">
        <f>IF(OR(G50="",G50="Fechada",G50="Perdida",AND(H50="",I50="")),"",Config!$B$5-IF(I50="",H50,I50))</f>
        <v/>
      </c>
      <c r="P50" s="29">
        <f>IF(AND(G50="Fechada",K50&lt;&gt;"",H50&lt;&gt;""),K50-H50,"")</f>
        <v/>
      </c>
      <c r="Q50" s="25">
        <f>IF(G50="","",IF(G50="Fechada","Fechada",IF(G50="Perdida","Perdida",IF(AND(J50&lt;&gt;"",J50&lt;Config!$B$5),"Previsão vencida",IF(AND(O50&lt;&gt;"",O50&gt;Config!$B$7),"Parada","Ativa")))))</f>
        <v/>
      </c>
      <c r="R50" s="37">
        <f>IF(OR(G50="",Q50="Fechada",Q50="Perdida"),0,IF(Q50="Previsão vencida",3,IF(Q50="Parada",2,1))*1E+15+MIN(N(O50),500)*1E+12+MIN(ROUND(N(F50)*100,0),99999999)*1E+4+(304+1-ROW()))</f>
        <v>0</v>
      </c>
    </row>
    <row r="51">
      <c r="A51" s="31" t="n"/>
      <c r="B51" s="34" t="n"/>
      <c r="C51" s="31" t="n"/>
      <c r="D51" s="34" t="n"/>
      <c r="E51" s="34" t="n"/>
      <c r="F51" s="33" t="n"/>
      <c r="G51" s="34" t="n"/>
      <c r="H51" s="36" t="n"/>
      <c r="I51" s="36" t="n"/>
      <c r="J51" s="36" t="n"/>
      <c r="K51" s="36" t="n"/>
      <c r="L51" s="31" t="n"/>
      <c r="M51" s="27">
        <f>IF(G51="","",IFERROR(INDEX(Config!$B$10:$B$15,MATCH(G51,Config!$A$10:$A$15,0)),0))</f>
        <v/>
      </c>
      <c r="N51" s="26">
        <f>IF(OR(G51="",F51=""),"",F51*M51)</f>
        <v/>
      </c>
      <c r="O51" s="29">
        <f>IF(OR(G51="",G51="Fechada",G51="Perdida",AND(H51="",I51="")),"",Config!$B$5-IF(I51="",H51,I51))</f>
        <v/>
      </c>
      <c r="P51" s="29">
        <f>IF(AND(G51="Fechada",K51&lt;&gt;"",H51&lt;&gt;""),K51-H51,"")</f>
        <v/>
      </c>
      <c r="Q51" s="25">
        <f>IF(G51="","",IF(G51="Fechada","Fechada",IF(G51="Perdida","Perdida",IF(AND(J51&lt;&gt;"",J51&lt;Config!$B$5),"Previsão vencida",IF(AND(O51&lt;&gt;"",O51&gt;Config!$B$7),"Parada","Ativa")))))</f>
        <v/>
      </c>
      <c r="R51" s="37">
        <f>IF(OR(G51="",Q51="Fechada",Q51="Perdida"),0,IF(Q51="Previsão vencida",3,IF(Q51="Parada",2,1))*1E+15+MIN(N(O51),500)*1E+12+MIN(ROUND(N(F51)*100,0),99999999)*1E+4+(304+1-ROW()))</f>
        <v>0</v>
      </c>
    </row>
    <row r="52">
      <c r="A52" s="31" t="n"/>
      <c r="B52" s="34" t="n"/>
      <c r="C52" s="31" t="n"/>
      <c r="D52" s="34" t="n"/>
      <c r="E52" s="34" t="n"/>
      <c r="F52" s="33" t="n"/>
      <c r="G52" s="34" t="n"/>
      <c r="H52" s="36" t="n"/>
      <c r="I52" s="36" t="n"/>
      <c r="J52" s="36" t="n"/>
      <c r="K52" s="36" t="n"/>
      <c r="L52" s="31" t="n"/>
      <c r="M52" s="27">
        <f>IF(G52="","",IFERROR(INDEX(Config!$B$10:$B$15,MATCH(G52,Config!$A$10:$A$15,0)),0))</f>
        <v/>
      </c>
      <c r="N52" s="26">
        <f>IF(OR(G52="",F52=""),"",F52*M52)</f>
        <v/>
      </c>
      <c r="O52" s="29">
        <f>IF(OR(G52="",G52="Fechada",G52="Perdida",AND(H52="",I52="")),"",Config!$B$5-IF(I52="",H52,I52))</f>
        <v/>
      </c>
      <c r="P52" s="29">
        <f>IF(AND(G52="Fechada",K52&lt;&gt;"",H52&lt;&gt;""),K52-H52,"")</f>
        <v/>
      </c>
      <c r="Q52" s="25">
        <f>IF(G52="","",IF(G52="Fechada","Fechada",IF(G52="Perdida","Perdida",IF(AND(J52&lt;&gt;"",J52&lt;Config!$B$5),"Previsão vencida",IF(AND(O52&lt;&gt;"",O52&gt;Config!$B$7),"Parada","Ativa")))))</f>
        <v/>
      </c>
      <c r="R52" s="37">
        <f>IF(OR(G52="",Q52="Fechada",Q52="Perdida"),0,IF(Q52="Previsão vencida",3,IF(Q52="Parada",2,1))*1E+15+MIN(N(O52),500)*1E+12+MIN(ROUND(N(F52)*100,0),99999999)*1E+4+(304+1-ROW()))</f>
        <v>0</v>
      </c>
    </row>
    <row r="53">
      <c r="A53" s="31" t="n"/>
      <c r="B53" s="34" t="n"/>
      <c r="C53" s="31" t="n"/>
      <c r="D53" s="34" t="n"/>
      <c r="E53" s="34" t="n"/>
      <c r="F53" s="33" t="n"/>
      <c r="G53" s="34" t="n"/>
      <c r="H53" s="36" t="n"/>
      <c r="I53" s="36" t="n"/>
      <c r="J53" s="36" t="n"/>
      <c r="K53" s="36" t="n"/>
      <c r="L53" s="31" t="n"/>
      <c r="M53" s="27">
        <f>IF(G53="","",IFERROR(INDEX(Config!$B$10:$B$15,MATCH(G53,Config!$A$10:$A$15,0)),0))</f>
        <v/>
      </c>
      <c r="N53" s="26">
        <f>IF(OR(G53="",F53=""),"",F53*M53)</f>
        <v/>
      </c>
      <c r="O53" s="29">
        <f>IF(OR(G53="",G53="Fechada",G53="Perdida",AND(H53="",I53="")),"",Config!$B$5-IF(I53="",H53,I53))</f>
        <v/>
      </c>
      <c r="P53" s="29">
        <f>IF(AND(G53="Fechada",K53&lt;&gt;"",H53&lt;&gt;""),K53-H53,"")</f>
        <v/>
      </c>
      <c r="Q53" s="25">
        <f>IF(G53="","",IF(G53="Fechada","Fechada",IF(G53="Perdida","Perdida",IF(AND(J53&lt;&gt;"",J53&lt;Config!$B$5),"Previsão vencida",IF(AND(O53&lt;&gt;"",O53&gt;Config!$B$7),"Parada","Ativa")))))</f>
        <v/>
      </c>
      <c r="R53" s="37">
        <f>IF(OR(G53="",Q53="Fechada",Q53="Perdida"),0,IF(Q53="Previsão vencida",3,IF(Q53="Parada",2,1))*1E+15+MIN(N(O53),500)*1E+12+MIN(ROUND(N(F53)*100,0),99999999)*1E+4+(304+1-ROW()))</f>
        <v>0</v>
      </c>
    </row>
    <row r="54">
      <c r="A54" s="31" t="n"/>
      <c r="B54" s="34" t="n"/>
      <c r="C54" s="31" t="n"/>
      <c r="D54" s="34" t="n"/>
      <c r="E54" s="34" t="n"/>
      <c r="F54" s="33" t="n"/>
      <c r="G54" s="34" t="n"/>
      <c r="H54" s="36" t="n"/>
      <c r="I54" s="36" t="n"/>
      <c r="J54" s="36" t="n"/>
      <c r="K54" s="36" t="n"/>
      <c r="L54" s="31" t="n"/>
      <c r="M54" s="27">
        <f>IF(G54="","",IFERROR(INDEX(Config!$B$10:$B$15,MATCH(G54,Config!$A$10:$A$15,0)),0))</f>
        <v/>
      </c>
      <c r="N54" s="26">
        <f>IF(OR(G54="",F54=""),"",F54*M54)</f>
        <v/>
      </c>
      <c r="O54" s="29">
        <f>IF(OR(G54="",G54="Fechada",G54="Perdida",AND(H54="",I54="")),"",Config!$B$5-IF(I54="",H54,I54))</f>
        <v/>
      </c>
      <c r="P54" s="29">
        <f>IF(AND(G54="Fechada",K54&lt;&gt;"",H54&lt;&gt;""),K54-H54,"")</f>
        <v/>
      </c>
      <c r="Q54" s="25">
        <f>IF(G54="","",IF(G54="Fechada","Fechada",IF(G54="Perdida","Perdida",IF(AND(J54&lt;&gt;"",J54&lt;Config!$B$5),"Previsão vencida",IF(AND(O54&lt;&gt;"",O54&gt;Config!$B$7),"Parada","Ativa")))))</f>
        <v/>
      </c>
      <c r="R54" s="37">
        <f>IF(OR(G54="",Q54="Fechada",Q54="Perdida"),0,IF(Q54="Previsão vencida",3,IF(Q54="Parada",2,1))*1E+15+MIN(N(O54),500)*1E+12+MIN(ROUND(N(F54)*100,0),99999999)*1E+4+(304+1-ROW()))</f>
        <v>0</v>
      </c>
    </row>
    <row r="55">
      <c r="A55" s="31" t="n"/>
      <c r="B55" s="34" t="n"/>
      <c r="C55" s="31" t="n"/>
      <c r="D55" s="34" t="n"/>
      <c r="E55" s="34" t="n"/>
      <c r="F55" s="33" t="n"/>
      <c r="G55" s="34" t="n"/>
      <c r="H55" s="36" t="n"/>
      <c r="I55" s="36" t="n"/>
      <c r="J55" s="36" t="n"/>
      <c r="K55" s="36" t="n"/>
      <c r="L55" s="31" t="n"/>
      <c r="M55" s="27">
        <f>IF(G55="","",IFERROR(INDEX(Config!$B$10:$B$15,MATCH(G55,Config!$A$10:$A$15,0)),0))</f>
        <v/>
      </c>
      <c r="N55" s="26">
        <f>IF(OR(G55="",F55=""),"",F55*M55)</f>
        <v/>
      </c>
      <c r="O55" s="29">
        <f>IF(OR(G55="",G55="Fechada",G55="Perdida",AND(H55="",I55="")),"",Config!$B$5-IF(I55="",H55,I55))</f>
        <v/>
      </c>
      <c r="P55" s="29">
        <f>IF(AND(G55="Fechada",K55&lt;&gt;"",H55&lt;&gt;""),K55-H55,"")</f>
        <v/>
      </c>
      <c r="Q55" s="25">
        <f>IF(G55="","",IF(G55="Fechada","Fechada",IF(G55="Perdida","Perdida",IF(AND(J55&lt;&gt;"",J55&lt;Config!$B$5),"Previsão vencida",IF(AND(O55&lt;&gt;"",O55&gt;Config!$B$7),"Parada","Ativa")))))</f>
        <v/>
      </c>
      <c r="R55" s="37">
        <f>IF(OR(G55="",Q55="Fechada",Q55="Perdida"),0,IF(Q55="Previsão vencida",3,IF(Q55="Parada",2,1))*1E+15+MIN(N(O55),500)*1E+12+MIN(ROUND(N(F55)*100,0),99999999)*1E+4+(304+1-ROW()))</f>
        <v>0</v>
      </c>
    </row>
    <row r="56">
      <c r="A56" s="31" t="n"/>
      <c r="B56" s="34" t="n"/>
      <c r="C56" s="31" t="n"/>
      <c r="D56" s="34" t="n"/>
      <c r="E56" s="34" t="n"/>
      <c r="F56" s="33" t="n"/>
      <c r="G56" s="34" t="n"/>
      <c r="H56" s="36" t="n"/>
      <c r="I56" s="36" t="n"/>
      <c r="J56" s="36" t="n"/>
      <c r="K56" s="36" t="n"/>
      <c r="L56" s="31" t="n"/>
      <c r="M56" s="27">
        <f>IF(G56="","",IFERROR(INDEX(Config!$B$10:$B$15,MATCH(G56,Config!$A$10:$A$15,0)),0))</f>
        <v/>
      </c>
      <c r="N56" s="26">
        <f>IF(OR(G56="",F56=""),"",F56*M56)</f>
        <v/>
      </c>
      <c r="O56" s="29">
        <f>IF(OR(G56="",G56="Fechada",G56="Perdida",AND(H56="",I56="")),"",Config!$B$5-IF(I56="",H56,I56))</f>
        <v/>
      </c>
      <c r="P56" s="29">
        <f>IF(AND(G56="Fechada",K56&lt;&gt;"",H56&lt;&gt;""),K56-H56,"")</f>
        <v/>
      </c>
      <c r="Q56" s="25">
        <f>IF(G56="","",IF(G56="Fechada","Fechada",IF(G56="Perdida","Perdida",IF(AND(J56&lt;&gt;"",J56&lt;Config!$B$5),"Previsão vencida",IF(AND(O56&lt;&gt;"",O56&gt;Config!$B$7),"Parada","Ativa")))))</f>
        <v/>
      </c>
      <c r="R56" s="37">
        <f>IF(OR(G56="",Q56="Fechada",Q56="Perdida"),0,IF(Q56="Previsão vencida",3,IF(Q56="Parada",2,1))*1E+15+MIN(N(O56),500)*1E+12+MIN(ROUND(N(F56)*100,0),99999999)*1E+4+(304+1-ROW()))</f>
        <v>0</v>
      </c>
    </row>
    <row r="57">
      <c r="A57" s="31" t="n"/>
      <c r="B57" s="34" t="n"/>
      <c r="C57" s="31" t="n"/>
      <c r="D57" s="34" t="n"/>
      <c r="E57" s="34" t="n"/>
      <c r="F57" s="33" t="n"/>
      <c r="G57" s="34" t="n"/>
      <c r="H57" s="36" t="n"/>
      <c r="I57" s="36" t="n"/>
      <c r="J57" s="36" t="n"/>
      <c r="K57" s="36" t="n"/>
      <c r="L57" s="31" t="n"/>
      <c r="M57" s="27">
        <f>IF(G57="","",IFERROR(INDEX(Config!$B$10:$B$15,MATCH(G57,Config!$A$10:$A$15,0)),0))</f>
        <v/>
      </c>
      <c r="N57" s="26">
        <f>IF(OR(G57="",F57=""),"",F57*M57)</f>
        <v/>
      </c>
      <c r="O57" s="29">
        <f>IF(OR(G57="",G57="Fechada",G57="Perdida",AND(H57="",I57="")),"",Config!$B$5-IF(I57="",H57,I57))</f>
        <v/>
      </c>
      <c r="P57" s="29">
        <f>IF(AND(G57="Fechada",K57&lt;&gt;"",H57&lt;&gt;""),K57-H57,"")</f>
        <v/>
      </c>
      <c r="Q57" s="25">
        <f>IF(G57="","",IF(G57="Fechada","Fechada",IF(G57="Perdida","Perdida",IF(AND(J57&lt;&gt;"",J57&lt;Config!$B$5),"Previsão vencida",IF(AND(O57&lt;&gt;"",O57&gt;Config!$B$7),"Parada","Ativa")))))</f>
        <v/>
      </c>
      <c r="R57" s="37">
        <f>IF(OR(G57="",Q57="Fechada",Q57="Perdida"),0,IF(Q57="Previsão vencida",3,IF(Q57="Parada",2,1))*1E+15+MIN(N(O57),500)*1E+12+MIN(ROUND(N(F57)*100,0),99999999)*1E+4+(304+1-ROW()))</f>
        <v>0</v>
      </c>
    </row>
    <row r="58">
      <c r="A58" s="31" t="n"/>
      <c r="B58" s="34" t="n"/>
      <c r="C58" s="31" t="n"/>
      <c r="D58" s="34" t="n"/>
      <c r="E58" s="34" t="n"/>
      <c r="F58" s="33" t="n"/>
      <c r="G58" s="34" t="n"/>
      <c r="H58" s="36" t="n"/>
      <c r="I58" s="36" t="n"/>
      <c r="J58" s="36" t="n"/>
      <c r="K58" s="36" t="n"/>
      <c r="L58" s="31" t="n"/>
      <c r="M58" s="27">
        <f>IF(G58="","",IFERROR(INDEX(Config!$B$10:$B$15,MATCH(G58,Config!$A$10:$A$15,0)),0))</f>
        <v/>
      </c>
      <c r="N58" s="26">
        <f>IF(OR(G58="",F58=""),"",F58*M58)</f>
        <v/>
      </c>
      <c r="O58" s="29">
        <f>IF(OR(G58="",G58="Fechada",G58="Perdida",AND(H58="",I58="")),"",Config!$B$5-IF(I58="",H58,I58))</f>
        <v/>
      </c>
      <c r="P58" s="29">
        <f>IF(AND(G58="Fechada",K58&lt;&gt;"",H58&lt;&gt;""),K58-H58,"")</f>
        <v/>
      </c>
      <c r="Q58" s="25">
        <f>IF(G58="","",IF(G58="Fechada","Fechada",IF(G58="Perdida","Perdida",IF(AND(J58&lt;&gt;"",J58&lt;Config!$B$5),"Previsão vencida",IF(AND(O58&lt;&gt;"",O58&gt;Config!$B$7),"Parada","Ativa")))))</f>
        <v/>
      </c>
      <c r="R58" s="37">
        <f>IF(OR(G58="",Q58="Fechada",Q58="Perdida"),0,IF(Q58="Previsão vencida",3,IF(Q58="Parada",2,1))*1E+15+MIN(N(O58),500)*1E+12+MIN(ROUND(N(F58)*100,0),99999999)*1E+4+(304+1-ROW()))</f>
        <v>0</v>
      </c>
    </row>
    <row r="59">
      <c r="A59" s="31" t="n"/>
      <c r="B59" s="34" t="n"/>
      <c r="C59" s="31" t="n"/>
      <c r="D59" s="34" t="n"/>
      <c r="E59" s="34" t="n"/>
      <c r="F59" s="33" t="n"/>
      <c r="G59" s="34" t="n"/>
      <c r="H59" s="36" t="n"/>
      <c r="I59" s="36" t="n"/>
      <c r="J59" s="36" t="n"/>
      <c r="K59" s="36" t="n"/>
      <c r="L59" s="31" t="n"/>
      <c r="M59" s="27">
        <f>IF(G59="","",IFERROR(INDEX(Config!$B$10:$B$15,MATCH(G59,Config!$A$10:$A$15,0)),0))</f>
        <v/>
      </c>
      <c r="N59" s="26">
        <f>IF(OR(G59="",F59=""),"",F59*M59)</f>
        <v/>
      </c>
      <c r="O59" s="29">
        <f>IF(OR(G59="",G59="Fechada",G59="Perdida",AND(H59="",I59="")),"",Config!$B$5-IF(I59="",H59,I59))</f>
        <v/>
      </c>
      <c r="P59" s="29">
        <f>IF(AND(G59="Fechada",K59&lt;&gt;"",H59&lt;&gt;""),K59-H59,"")</f>
        <v/>
      </c>
      <c r="Q59" s="25">
        <f>IF(G59="","",IF(G59="Fechada","Fechada",IF(G59="Perdida","Perdida",IF(AND(J59&lt;&gt;"",J59&lt;Config!$B$5),"Previsão vencida",IF(AND(O59&lt;&gt;"",O59&gt;Config!$B$7),"Parada","Ativa")))))</f>
        <v/>
      </c>
      <c r="R59" s="37">
        <f>IF(OR(G59="",Q59="Fechada",Q59="Perdida"),0,IF(Q59="Previsão vencida",3,IF(Q59="Parada",2,1))*1E+15+MIN(N(O59),500)*1E+12+MIN(ROUND(N(F59)*100,0),99999999)*1E+4+(304+1-ROW()))</f>
        <v>0</v>
      </c>
    </row>
    <row r="60">
      <c r="A60" s="31" t="n"/>
      <c r="B60" s="34" t="n"/>
      <c r="C60" s="31" t="n"/>
      <c r="D60" s="34" t="n"/>
      <c r="E60" s="34" t="n"/>
      <c r="F60" s="33" t="n"/>
      <c r="G60" s="34" t="n"/>
      <c r="H60" s="36" t="n"/>
      <c r="I60" s="36" t="n"/>
      <c r="J60" s="36" t="n"/>
      <c r="K60" s="36" t="n"/>
      <c r="L60" s="31" t="n"/>
      <c r="M60" s="27">
        <f>IF(G60="","",IFERROR(INDEX(Config!$B$10:$B$15,MATCH(G60,Config!$A$10:$A$15,0)),0))</f>
        <v/>
      </c>
      <c r="N60" s="26">
        <f>IF(OR(G60="",F60=""),"",F60*M60)</f>
        <v/>
      </c>
      <c r="O60" s="29">
        <f>IF(OR(G60="",G60="Fechada",G60="Perdida",AND(H60="",I60="")),"",Config!$B$5-IF(I60="",H60,I60))</f>
        <v/>
      </c>
      <c r="P60" s="29">
        <f>IF(AND(G60="Fechada",K60&lt;&gt;"",H60&lt;&gt;""),K60-H60,"")</f>
        <v/>
      </c>
      <c r="Q60" s="25">
        <f>IF(G60="","",IF(G60="Fechada","Fechada",IF(G60="Perdida","Perdida",IF(AND(J60&lt;&gt;"",J60&lt;Config!$B$5),"Previsão vencida",IF(AND(O60&lt;&gt;"",O60&gt;Config!$B$7),"Parada","Ativa")))))</f>
        <v/>
      </c>
      <c r="R60" s="37">
        <f>IF(OR(G60="",Q60="Fechada",Q60="Perdida"),0,IF(Q60="Previsão vencida",3,IF(Q60="Parada",2,1))*1E+15+MIN(N(O60),500)*1E+12+MIN(ROUND(N(F60)*100,0),99999999)*1E+4+(304+1-ROW()))</f>
        <v>0</v>
      </c>
    </row>
    <row r="61">
      <c r="A61" s="31" t="n"/>
      <c r="B61" s="34" t="n"/>
      <c r="C61" s="31" t="n"/>
      <c r="D61" s="34" t="n"/>
      <c r="E61" s="34" t="n"/>
      <c r="F61" s="33" t="n"/>
      <c r="G61" s="34" t="n"/>
      <c r="H61" s="36" t="n"/>
      <c r="I61" s="36" t="n"/>
      <c r="J61" s="36" t="n"/>
      <c r="K61" s="36" t="n"/>
      <c r="L61" s="31" t="n"/>
      <c r="M61" s="27">
        <f>IF(G61="","",IFERROR(INDEX(Config!$B$10:$B$15,MATCH(G61,Config!$A$10:$A$15,0)),0))</f>
        <v/>
      </c>
      <c r="N61" s="26">
        <f>IF(OR(G61="",F61=""),"",F61*M61)</f>
        <v/>
      </c>
      <c r="O61" s="29">
        <f>IF(OR(G61="",G61="Fechada",G61="Perdida",AND(H61="",I61="")),"",Config!$B$5-IF(I61="",H61,I61))</f>
        <v/>
      </c>
      <c r="P61" s="29">
        <f>IF(AND(G61="Fechada",K61&lt;&gt;"",H61&lt;&gt;""),K61-H61,"")</f>
        <v/>
      </c>
      <c r="Q61" s="25">
        <f>IF(G61="","",IF(G61="Fechada","Fechada",IF(G61="Perdida","Perdida",IF(AND(J61&lt;&gt;"",J61&lt;Config!$B$5),"Previsão vencida",IF(AND(O61&lt;&gt;"",O61&gt;Config!$B$7),"Parada","Ativa")))))</f>
        <v/>
      </c>
      <c r="R61" s="37">
        <f>IF(OR(G61="",Q61="Fechada",Q61="Perdida"),0,IF(Q61="Previsão vencida",3,IF(Q61="Parada",2,1))*1E+15+MIN(N(O61),500)*1E+12+MIN(ROUND(N(F61)*100,0),99999999)*1E+4+(304+1-ROW()))</f>
        <v>0</v>
      </c>
    </row>
    <row r="62">
      <c r="A62" s="31" t="n"/>
      <c r="B62" s="34" t="n"/>
      <c r="C62" s="31" t="n"/>
      <c r="D62" s="34" t="n"/>
      <c r="E62" s="34" t="n"/>
      <c r="F62" s="33" t="n"/>
      <c r="G62" s="34" t="n"/>
      <c r="H62" s="36" t="n"/>
      <c r="I62" s="36" t="n"/>
      <c r="J62" s="36" t="n"/>
      <c r="K62" s="36" t="n"/>
      <c r="L62" s="31" t="n"/>
      <c r="M62" s="27">
        <f>IF(G62="","",IFERROR(INDEX(Config!$B$10:$B$15,MATCH(G62,Config!$A$10:$A$15,0)),0))</f>
        <v/>
      </c>
      <c r="N62" s="26">
        <f>IF(OR(G62="",F62=""),"",F62*M62)</f>
        <v/>
      </c>
      <c r="O62" s="29">
        <f>IF(OR(G62="",G62="Fechada",G62="Perdida",AND(H62="",I62="")),"",Config!$B$5-IF(I62="",H62,I62))</f>
        <v/>
      </c>
      <c r="P62" s="29">
        <f>IF(AND(G62="Fechada",K62&lt;&gt;"",H62&lt;&gt;""),K62-H62,"")</f>
        <v/>
      </c>
      <c r="Q62" s="25">
        <f>IF(G62="","",IF(G62="Fechada","Fechada",IF(G62="Perdida","Perdida",IF(AND(J62&lt;&gt;"",J62&lt;Config!$B$5),"Previsão vencida",IF(AND(O62&lt;&gt;"",O62&gt;Config!$B$7),"Parada","Ativa")))))</f>
        <v/>
      </c>
      <c r="R62" s="37">
        <f>IF(OR(G62="",Q62="Fechada",Q62="Perdida"),0,IF(Q62="Previsão vencida",3,IF(Q62="Parada",2,1))*1E+15+MIN(N(O62),500)*1E+12+MIN(ROUND(N(F62)*100,0),99999999)*1E+4+(304+1-ROW()))</f>
        <v>0</v>
      </c>
    </row>
    <row r="63">
      <c r="A63" s="31" t="n"/>
      <c r="B63" s="34" t="n"/>
      <c r="C63" s="31" t="n"/>
      <c r="D63" s="34" t="n"/>
      <c r="E63" s="34" t="n"/>
      <c r="F63" s="33" t="n"/>
      <c r="G63" s="34" t="n"/>
      <c r="H63" s="36" t="n"/>
      <c r="I63" s="36" t="n"/>
      <c r="J63" s="36" t="n"/>
      <c r="K63" s="36" t="n"/>
      <c r="L63" s="31" t="n"/>
      <c r="M63" s="27">
        <f>IF(G63="","",IFERROR(INDEX(Config!$B$10:$B$15,MATCH(G63,Config!$A$10:$A$15,0)),0))</f>
        <v/>
      </c>
      <c r="N63" s="26">
        <f>IF(OR(G63="",F63=""),"",F63*M63)</f>
        <v/>
      </c>
      <c r="O63" s="29">
        <f>IF(OR(G63="",G63="Fechada",G63="Perdida",AND(H63="",I63="")),"",Config!$B$5-IF(I63="",H63,I63))</f>
        <v/>
      </c>
      <c r="P63" s="29">
        <f>IF(AND(G63="Fechada",K63&lt;&gt;"",H63&lt;&gt;""),K63-H63,"")</f>
        <v/>
      </c>
      <c r="Q63" s="25">
        <f>IF(G63="","",IF(G63="Fechada","Fechada",IF(G63="Perdida","Perdida",IF(AND(J63&lt;&gt;"",J63&lt;Config!$B$5),"Previsão vencida",IF(AND(O63&lt;&gt;"",O63&gt;Config!$B$7),"Parada","Ativa")))))</f>
        <v/>
      </c>
      <c r="R63" s="37">
        <f>IF(OR(G63="",Q63="Fechada",Q63="Perdida"),0,IF(Q63="Previsão vencida",3,IF(Q63="Parada",2,1))*1E+15+MIN(N(O63),500)*1E+12+MIN(ROUND(N(F63)*100,0),99999999)*1E+4+(304+1-ROW()))</f>
        <v>0</v>
      </c>
    </row>
    <row r="64">
      <c r="A64" s="31" t="n"/>
      <c r="B64" s="34" t="n"/>
      <c r="C64" s="31" t="n"/>
      <c r="D64" s="34" t="n"/>
      <c r="E64" s="34" t="n"/>
      <c r="F64" s="33" t="n"/>
      <c r="G64" s="34" t="n"/>
      <c r="H64" s="36" t="n"/>
      <c r="I64" s="36" t="n"/>
      <c r="J64" s="36" t="n"/>
      <c r="K64" s="36" t="n"/>
      <c r="L64" s="31" t="n"/>
      <c r="M64" s="27">
        <f>IF(G64="","",IFERROR(INDEX(Config!$B$10:$B$15,MATCH(G64,Config!$A$10:$A$15,0)),0))</f>
        <v/>
      </c>
      <c r="N64" s="26">
        <f>IF(OR(G64="",F64=""),"",F64*M64)</f>
        <v/>
      </c>
      <c r="O64" s="29">
        <f>IF(OR(G64="",G64="Fechada",G64="Perdida",AND(H64="",I64="")),"",Config!$B$5-IF(I64="",H64,I64))</f>
        <v/>
      </c>
      <c r="P64" s="29">
        <f>IF(AND(G64="Fechada",K64&lt;&gt;"",H64&lt;&gt;""),K64-H64,"")</f>
        <v/>
      </c>
      <c r="Q64" s="25">
        <f>IF(G64="","",IF(G64="Fechada","Fechada",IF(G64="Perdida","Perdida",IF(AND(J64&lt;&gt;"",J64&lt;Config!$B$5),"Previsão vencida",IF(AND(O64&lt;&gt;"",O64&gt;Config!$B$7),"Parada","Ativa")))))</f>
        <v/>
      </c>
      <c r="R64" s="37">
        <f>IF(OR(G64="",Q64="Fechada",Q64="Perdida"),0,IF(Q64="Previsão vencida",3,IF(Q64="Parada",2,1))*1E+15+MIN(N(O64),500)*1E+12+MIN(ROUND(N(F64)*100,0),99999999)*1E+4+(304+1-ROW()))</f>
        <v>0</v>
      </c>
    </row>
    <row r="65">
      <c r="A65" s="31" t="n"/>
      <c r="B65" s="34" t="n"/>
      <c r="C65" s="31" t="n"/>
      <c r="D65" s="34" t="n"/>
      <c r="E65" s="34" t="n"/>
      <c r="F65" s="33" t="n"/>
      <c r="G65" s="34" t="n"/>
      <c r="H65" s="36" t="n"/>
      <c r="I65" s="36" t="n"/>
      <c r="J65" s="36" t="n"/>
      <c r="K65" s="36" t="n"/>
      <c r="L65" s="31" t="n"/>
      <c r="M65" s="27">
        <f>IF(G65="","",IFERROR(INDEX(Config!$B$10:$B$15,MATCH(G65,Config!$A$10:$A$15,0)),0))</f>
        <v/>
      </c>
      <c r="N65" s="26">
        <f>IF(OR(G65="",F65=""),"",F65*M65)</f>
        <v/>
      </c>
      <c r="O65" s="29">
        <f>IF(OR(G65="",G65="Fechada",G65="Perdida",AND(H65="",I65="")),"",Config!$B$5-IF(I65="",H65,I65))</f>
        <v/>
      </c>
      <c r="P65" s="29">
        <f>IF(AND(G65="Fechada",K65&lt;&gt;"",H65&lt;&gt;""),K65-H65,"")</f>
        <v/>
      </c>
      <c r="Q65" s="25">
        <f>IF(G65="","",IF(G65="Fechada","Fechada",IF(G65="Perdida","Perdida",IF(AND(J65&lt;&gt;"",J65&lt;Config!$B$5),"Previsão vencida",IF(AND(O65&lt;&gt;"",O65&gt;Config!$B$7),"Parada","Ativa")))))</f>
        <v/>
      </c>
      <c r="R65" s="37">
        <f>IF(OR(G65="",Q65="Fechada",Q65="Perdida"),0,IF(Q65="Previsão vencida",3,IF(Q65="Parada",2,1))*1E+15+MIN(N(O65),500)*1E+12+MIN(ROUND(N(F65)*100,0),99999999)*1E+4+(304+1-ROW()))</f>
        <v>0</v>
      </c>
    </row>
    <row r="66">
      <c r="A66" s="31" t="n"/>
      <c r="B66" s="34" t="n"/>
      <c r="C66" s="31" t="n"/>
      <c r="D66" s="34" t="n"/>
      <c r="E66" s="34" t="n"/>
      <c r="F66" s="33" t="n"/>
      <c r="G66" s="34" t="n"/>
      <c r="H66" s="36" t="n"/>
      <c r="I66" s="36" t="n"/>
      <c r="J66" s="36" t="n"/>
      <c r="K66" s="36" t="n"/>
      <c r="L66" s="31" t="n"/>
      <c r="M66" s="27">
        <f>IF(G66="","",IFERROR(INDEX(Config!$B$10:$B$15,MATCH(G66,Config!$A$10:$A$15,0)),0))</f>
        <v/>
      </c>
      <c r="N66" s="26">
        <f>IF(OR(G66="",F66=""),"",F66*M66)</f>
        <v/>
      </c>
      <c r="O66" s="29">
        <f>IF(OR(G66="",G66="Fechada",G66="Perdida",AND(H66="",I66="")),"",Config!$B$5-IF(I66="",H66,I66))</f>
        <v/>
      </c>
      <c r="P66" s="29">
        <f>IF(AND(G66="Fechada",K66&lt;&gt;"",H66&lt;&gt;""),K66-H66,"")</f>
        <v/>
      </c>
      <c r="Q66" s="25">
        <f>IF(G66="","",IF(G66="Fechada","Fechada",IF(G66="Perdida","Perdida",IF(AND(J66&lt;&gt;"",J66&lt;Config!$B$5),"Previsão vencida",IF(AND(O66&lt;&gt;"",O66&gt;Config!$B$7),"Parada","Ativa")))))</f>
        <v/>
      </c>
      <c r="R66" s="37">
        <f>IF(OR(G66="",Q66="Fechada",Q66="Perdida"),0,IF(Q66="Previsão vencida",3,IF(Q66="Parada",2,1))*1E+15+MIN(N(O66),500)*1E+12+MIN(ROUND(N(F66)*100,0),99999999)*1E+4+(304+1-ROW()))</f>
        <v>0</v>
      </c>
    </row>
    <row r="67">
      <c r="A67" s="31" t="n"/>
      <c r="B67" s="34" t="n"/>
      <c r="C67" s="31" t="n"/>
      <c r="D67" s="34" t="n"/>
      <c r="E67" s="34" t="n"/>
      <c r="F67" s="33" t="n"/>
      <c r="G67" s="34" t="n"/>
      <c r="H67" s="36" t="n"/>
      <c r="I67" s="36" t="n"/>
      <c r="J67" s="36" t="n"/>
      <c r="K67" s="36" t="n"/>
      <c r="L67" s="31" t="n"/>
      <c r="M67" s="27">
        <f>IF(G67="","",IFERROR(INDEX(Config!$B$10:$B$15,MATCH(G67,Config!$A$10:$A$15,0)),0))</f>
        <v/>
      </c>
      <c r="N67" s="26">
        <f>IF(OR(G67="",F67=""),"",F67*M67)</f>
        <v/>
      </c>
      <c r="O67" s="29">
        <f>IF(OR(G67="",G67="Fechada",G67="Perdida",AND(H67="",I67="")),"",Config!$B$5-IF(I67="",H67,I67))</f>
        <v/>
      </c>
      <c r="P67" s="29">
        <f>IF(AND(G67="Fechada",K67&lt;&gt;"",H67&lt;&gt;""),K67-H67,"")</f>
        <v/>
      </c>
      <c r="Q67" s="25">
        <f>IF(G67="","",IF(G67="Fechada","Fechada",IF(G67="Perdida","Perdida",IF(AND(J67&lt;&gt;"",J67&lt;Config!$B$5),"Previsão vencida",IF(AND(O67&lt;&gt;"",O67&gt;Config!$B$7),"Parada","Ativa")))))</f>
        <v/>
      </c>
      <c r="R67" s="37">
        <f>IF(OR(G67="",Q67="Fechada",Q67="Perdida"),0,IF(Q67="Previsão vencida",3,IF(Q67="Parada",2,1))*1E+15+MIN(N(O67),500)*1E+12+MIN(ROUND(N(F67)*100,0),99999999)*1E+4+(304+1-ROW()))</f>
        <v>0</v>
      </c>
    </row>
    <row r="68">
      <c r="A68" s="31" t="n"/>
      <c r="B68" s="34" t="n"/>
      <c r="C68" s="31" t="n"/>
      <c r="D68" s="34" t="n"/>
      <c r="E68" s="34" t="n"/>
      <c r="F68" s="33" t="n"/>
      <c r="G68" s="34" t="n"/>
      <c r="H68" s="36" t="n"/>
      <c r="I68" s="36" t="n"/>
      <c r="J68" s="36" t="n"/>
      <c r="K68" s="36" t="n"/>
      <c r="L68" s="31" t="n"/>
      <c r="M68" s="27">
        <f>IF(G68="","",IFERROR(INDEX(Config!$B$10:$B$15,MATCH(G68,Config!$A$10:$A$15,0)),0))</f>
        <v/>
      </c>
      <c r="N68" s="26">
        <f>IF(OR(G68="",F68=""),"",F68*M68)</f>
        <v/>
      </c>
      <c r="O68" s="29">
        <f>IF(OR(G68="",G68="Fechada",G68="Perdida",AND(H68="",I68="")),"",Config!$B$5-IF(I68="",H68,I68))</f>
        <v/>
      </c>
      <c r="P68" s="29">
        <f>IF(AND(G68="Fechada",K68&lt;&gt;"",H68&lt;&gt;""),K68-H68,"")</f>
        <v/>
      </c>
      <c r="Q68" s="25">
        <f>IF(G68="","",IF(G68="Fechada","Fechada",IF(G68="Perdida","Perdida",IF(AND(J68&lt;&gt;"",J68&lt;Config!$B$5),"Previsão vencida",IF(AND(O68&lt;&gt;"",O68&gt;Config!$B$7),"Parada","Ativa")))))</f>
        <v/>
      </c>
      <c r="R68" s="37">
        <f>IF(OR(G68="",Q68="Fechada",Q68="Perdida"),0,IF(Q68="Previsão vencida",3,IF(Q68="Parada",2,1))*1E+15+MIN(N(O68),500)*1E+12+MIN(ROUND(N(F68)*100,0),99999999)*1E+4+(304+1-ROW()))</f>
        <v>0</v>
      </c>
    </row>
    <row r="69">
      <c r="A69" s="31" t="n"/>
      <c r="B69" s="34" t="n"/>
      <c r="C69" s="31" t="n"/>
      <c r="D69" s="34" t="n"/>
      <c r="E69" s="34" t="n"/>
      <c r="F69" s="33" t="n"/>
      <c r="G69" s="34" t="n"/>
      <c r="H69" s="36" t="n"/>
      <c r="I69" s="36" t="n"/>
      <c r="J69" s="36" t="n"/>
      <c r="K69" s="36" t="n"/>
      <c r="L69" s="31" t="n"/>
      <c r="M69" s="27">
        <f>IF(G69="","",IFERROR(INDEX(Config!$B$10:$B$15,MATCH(G69,Config!$A$10:$A$15,0)),0))</f>
        <v/>
      </c>
      <c r="N69" s="26">
        <f>IF(OR(G69="",F69=""),"",F69*M69)</f>
        <v/>
      </c>
      <c r="O69" s="29">
        <f>IF(OR(G69="",G69="Fechada",G69="Perdida",AND(H69="",I69="")),"",Config!$B$5-IF(I69="",H69,I69))</f>
        <v/>
      </c>
      <c r="P69" s="29">
        <f>IF(AND(G69="Fechada",K69&lt;&gt;"",H69&lt;&gt;""),K69-H69,"")</f>
        <v/>
      </c>
      <c r="Q69" s="25">
        <f>IF(G69="","",IF(G69="Fechada","Fechada",IF(G69="Perdida","Perdida",IF(AND(J69&lt;&gt;"",J69&lt;Config!$B$5),"Previsão vencida",IF(AND(O69&lt;&gt;"",O69&gt;Config!$B$7),"Parada","Ativa")))))</f>
        <v/>
      </c>
      <c r="R69" s="37">
        <f>IF(OR(G69="",Q69="Fechada",Q69="Perdida"),0,IF(Q69="Previsão vencida",3,IF(Q69="Parada",2,1))*1E+15+MIN(N(O69),500)*1E+12+MIN(ROUND(N(F69)*100,0),99999999)*1E+4+(304+1-ROW()))</f>
        <v>0</v>
      </c>
    </row>
    <row r="70">
      <c r="A70" s="31" t="n"/>
      <c r="B70" s="34" t="n"/>
      <c r="C70" s="31" t="n"/>
      <c r="D70" s="34" t="n"/>
      <c r="E70" s="34" t="n"/>
      <c r="F70" s="33" t="n"/>
      <c r="G70" s="34" t="n"/>
      <c r="H70" s="36" t="n"/>
      <c r="I70" s="36" t="n"/>
      <c r="J70" s="36" t="n"/>
      <c r="K70" s="36" t="n"/>
      <c r="L70" s="31" t="n"/>
      <c r="M70" s="27">
        <f>IF(G70="","",IFERROR(INDEX(Config!$B$10:$B$15,MATCH(G70,Config!$A$10:$A$15,0)),0))</f>
        <v/>
      </c>
      <c r="N70" s="26">
        <f>IF(OR(G70="",F70=""),"",F70*M70)</f>
        <v/>
      </c>
      <c r="O70" s="29">
        <f>IF(OR(G70="",G70="Fechada",G70="Perdida",AND(H70="",I70="")),"",Config!$B$5-IF(I70="",H70,I70))</f>
        <v/>
      </c>
      <c r="P70" s="29">
        <f>IF(AND(G70="Fechada",K70&lt;&gt;"",H70&lt;&gt;""),K70-H70,"")</f>
        <v/>
      </c>
      <c r="Q70" s="25">
        <f>IF(G70="","",IF(G70="Fechada","Fechada",IF(G70="Perdida","Perdida",IF(AND(J70&lt;&gt;"",J70&lt;Config!$B$5),"Previsão vencida",IF(AND(O70&lt;&gt;"",O70&gt;Config!$B$7),"Parada","Ativa")))))</f>
        <v/>
      </c>
      <c r="R70" s="37">
        <f>IF(OR(G70="",Q70="Fechada",Q70="Perdida"),0,IF(Q70="Previsão vencida",3,IF(Q70="Parada",2,1))*1E+15+MIN(N(O70),500)*1E+12+MIN(ROUND(N(F70)*100,0),99999999)*1E+4+(304+1-ROW()))</f>
        <v>0</v>
      </c>
    </row>
    <row r="71">
      <c r="A71" s="31" t="n"/>
      <c r="B71" s="34" t="n"/>
      <c r="C71" s="31" t="n"/>
      <c r="D71" s="34" t="n"/>
      <c r="E71" s="34" t="n"/>
      <c r="F71" s="33" t="n"/>
      <c r="G71" s="34" t="n"/>
      <c r="H71" s="36" t="n"/>
      <c r="I71" s="36" t="n"/>
      <c r="J71" s="36" t="n"/>
      <c r="K71" s="36" t="n"/>
      <c r="L71" s="31" t="n"/>
      <c r="M71" s="27">
        <f>IF(G71="","",IFERROR(INDEX(Config!$B$10:$B$15,MATCH(G71,Config!$A$10:$A$15,0)),0))</f>
        <v/>
      </c>
      <c r="N71" s="26">
        <f>IF(OR(G71="",F71=""),"",F71*M71)</f>
        <v/>
      </c>
      <c r="O71" s="29">
        <f>IF(OR(G71="",G71="Fechada",G71="Perdida",AND(H71="",I71="")),"",Config!$B$5-IF(I71="",H71,I71))</f>
        <v/>
      </c>
      <c r="P71" s="29">
        <f>IF(AND(G71="Fechada",K71&lt;&gt;"",H71&lt;&gt;""),K71-H71,"")</f>
        <v/>
      </c>
      <c r="Q71" s="25">
        <f>IF(G71="","",IF(G71="Fechada","Fechada",IF(G71="Perdida","Perdida",IF(AND(J71&lt;&gt;"",J71&lt;Config!$B$5),"Previsão vencida",IF(AND(O71&lt;&gt;"",O71&gt;Config!$B$7),"Parada","Ativa")))))</f>
        <v/>
      </c>
      <c r="R71" s="37">
        <f>IF(OR(G71="",Q71="Fechada",Q71="Perdida"),0,IF(Q71="Previsão vencida",3,IF(Q71="Parada",2,1))*1E+15+MIN(N(O71),500)*1E+12+MIN(ROUND(N(F71)*100,0),99999999)*1E+4+(304+1-ROW()))</f>
        <v>0</v>
      </c>
    </row>
    <row r="72">
      <c r="A72" s="31" t="n"/>
      <c r="B72" s="34" t="n"/>
      <c r="C72" s="31" t="n"/>
      <c r="D72" s="34" t="n"/>
      <c r="E72" s="34" t="n"/>
      <c r="F72" s="33" t="n"/>
      <c r="G72" s="34" t="n"/>
      <c r="H72" s="36" t="n"/>
      <c r="I72" s="36" t="n"/>
      <c r="J72" s="36" t="n"/>
      <c r="K72" s="36" t="n"/>
      <c r="L72" s="31" t="n"/>
      <c r="M72" s="27">
        <f>IF(G72="","",IFERROR(INDEX(Config!$B$10:$B$15,MATCH(G72,Config!$A$10:$A$15,0)),0))</f>
        <v/>
      </c>
      <c r="N72" s="26">
        <f>IF(OR(G72="",F72=""),"",F72*M72)</f>
        <v/>
      </c>
      <c r="O72" s="29">
        <f>IF(OR(G72="",G72="Fechada",G72="Perdida",AND(H72="",I72="")),"",Config!$B$5-IF(I72="",H72,I72))</f>
        <v/>
      </c>
      <c r="P72" s="29">
        <f>IF(AND(G72="Fechada",K72&lt;&gt;"",H72&lt;&gt;""),K72-H72,"")</f>
        <v/>
      </c>
      <c r="Q72" s="25">
        <f>IF(G72="","",IF(G72="Fechada","Fechada",IF(G72="Perdida","Perdida",IF(AND(J72&lt;&gt;"",J72&lt;Config!$B$5),"Previsão vencida",IF(AND(O72&lt;&gt;"",O72&gt;Config!$B$7),"Parada","Ativa")))))</f>
        <v/>
      </c>
      <c r="R72" s="37">
        <f>IF(OR(G72="",Q72="Fechada",Q72="Perdida"),0,IF(Q72="Previsão vencida",3,IF(Q72="Parada",2,1))*1E+15+MIN(N(O72),500)*1E+12+MIN(ROUND(N(F72)*100,0),99999999)*1E+4+(304+1-ROW()))</f>
        <v>0</v>
      </c>
    </row>
    <row r="73">
      <c r="A73" s="31" t="n"/>
      <c r="B73" s="34" t="n"/>
      <c r="C73" s="31" t="n"/>
      <c r="D73" s="34" t="n"/>
      <c r="E73" s="34" t="n"/>
      <c r="F73" s="33" t="n"/>
      <c r="G73" s="34" t="n"/>
      <c r="H73" s="36" t="n"/>
      <c r="I73" s="36" t="n"/>
      <c r="J73" s="36" t="n"/>
      <c r="K73" s="36" t="n"/>
      <c r="L73" s="31" t="n"/>
      <c r="M73" s="27">
        <f>IF(G73="","",IFERROR(INDEX(Config!$B$10:$B$15,MATCH(G73,Config!$A$10:$A$15,0)),0))</f>
        <v/>
      </c>
      <c r="N73" s="26">
        <f>IF(OR(G73="",F73=""),"",F73*M73)</f>
        <v/>
      </c>
      <c r="O73" s="29">
        <f>IF(OR(G73="",G73="Fechada",G73="Perdida",AND(H73="",I73="")),"",Config!$B$5-IF(I73="",H73,I73))</f>
        <v/>
      </c>
      <c r="P73" s="29">
        <f>IF(AND(G73="Fechada",K73&lt;&gt;"",H73&lt;&gt;""),K73-H73,"")</f>
        <v/>
      </c>
      <c r="Q73" s="25">
        <f>IF(G73="","",IF(G73="Fechada","Fechada",IF(G73="Perdida","Perdida",IF(AND(J73&lt;&gt;"",J73&lt;Config!$B$5),"Previsão vencida",IF(AND(O73&lt;&gt;"",O73&gt;Config!$B$7),"Parada","Ativa")))))</f>
        <v/>
      </c>
      <c r="R73" s="37">
        <f>IF(OR(G73="",Q73="Fechada",Q73="Perdida"),0,IF(Q73="Previsão vencida",3,IF(Q73="Parada",2,1))*1E+15+MIN(N(O73),500)*1E+12+MIN(ROUND(N(F73)*100,0),99999999)*1E+4+(304+1-ROW()))</f>
        <v>0</v>
      </c>
    </row>
    <row r="74">
      <c r="A74" s="31" t="n"/>
      <c r="B74" s="34" t="n"/>
      <c r="C74" s="31" t="n"/>
      <c r="D74" s="34" t="n"/>
      <c r="E74" s="34" t="n"/>
      <c r="F74" s="33" t="n"/>
      <c r="G74" s="34" t="n"/>
      <c r="H74" s="36" t="n"/>
      <c r="I74" s="36" t="n"/>
      <c r="J74" s="36" t="n"/>
      <c r="K74" s="36" t="n"/>
      <c r="L74" s="31" t="n"/>
      <c r="M74" s="27">
        <f>IF(G74="","",IFERROR(INDEX(Config!$B$10:$B$15,MATCH(G74,Config!$A$10:$A$15,0)),0))</f>
        <v/>
      </c>
      <c r="N74" s="26">
        <f>IF(OR(G74="",F74=""),"",F74*M74)</f>
        <v/>
      </c>
      <c r="O74" s="29">
        <f>IF(OR(G74="",G74="Fechada",G74="Perdida",AND(H74="",I74="")),"",Config!$B$5-IF(I74="",H74,I74))</f>
        <v/>
      </c>
      <c r="P74" s="29">
        <f>IF(AND(G74="Fechada",K74&lt;&gt;"",H74&lt;&gt;""),K74-H74,"")</f>
        <v/>
      </c>
      <c r="Q74" s="25">
        <f>IF(G74="","",IF(G74="Fechada","Fechada",IF(G74="Perdida","Perdida",IF(AND(J74&lt;&gt;"",J74&lt;Config!$B$5),"Previsão vencida",IF(AND(O74&lt;&gt;"",O74&gt;Config!$B$7),"Parada","Ativa")))))</f>
        <v/>
      </c>
      <c r="R74" s="37">
        <f>IF(OR(G74="",Q74="Fechada",Q74="Perdida"),0,IF(Q74="Previsão vencida",3,IF(Q74="Parada",2,1))*1E+15+MIN(N(O74),500)*1E+12+MIN(ROUND(N(F74)*100,0),99999999)*1E+4+(304+1-ROW()))</f>
        <v>0</v>
      </c>
    </row>
    <row r="75">
      <c r="A75" s="31" t="n"/>
      <c r="B75" s="34" t="n"/>
      <c r="C75" s="31" t="n"/>
      <c r="D75" s="34" t="n"/>
      <c r="E75" s="34" t="n"/>
      <c r="F75" s="33" t="n"/>
      <c r="G75" s="34" t="n"/>
      <c r="H75" s="36" t="n"/>
      <c r="I75" s="36" t="n"/>
      <c r="J75" s="36" t="n"/>
      <c r="K75" s="36" t="n"/>
      <c r="L75" s="31" t="n"/>
      <c r="M75" s="27">
        <f>IF(G75="","",IFERROR(INDEX(Config!$B$10:$B$15,MATCH(G75,Config!$A$10:$A$15,0)),0))</f>
        <v/>
      </c>
      <c r="N75" s="26">
        <f>IF(OR(G75="",F75=""),"",F75*M75)</f>
        <v/>
      </c>
      <c r="O75" s="29">
        <f>IF(OR(G75="",G75="Fechada",G75="Perdida",AND(H75="",I75="")),"",Config!$B$5-IF(I75="",H75,I75))</f>
        <v/>
      </c>
      <c r="P75" s="29">
        <f>IF(AND(G75="Fechada",K75&lt;&gt;"",H75&lt;&gt;""),K75-H75,"")</f>
        <v/>
      </c>
      <c r="Q75" s="25">
        <f>IF(G75="","",IF(G75="Fechada","Fechada",IF(G75="Perdida","Perdida",IF(AND(J75&lt;&gt;"",J75&lt;Config!$B$5),"Previsão vencida",IF(AND(O75&lt;&gt;"",O75&gt;Config!$B$7),"Parada","Ativa")))))</f>
        <v/>
      </c>
      <c r="R75" s="37">
        <f>IF(OR(G75="",Q75="Fechada",Q75="Perdida"),0,IF(Q75="Previsão vencida",3,IF(Q75="Parada",2,1))*1E+15+MIN(N(O75),500)*1E+12+MIN(ROUND(N(F75)*100,0),99999999)*1E+4+(304+1-ROW()))</f>
        <v>0</v>
      </c>
    </row>
    <row r="76">
      <c r="A76" s="31" t="n"/>
      <c r="B76" s="34" t="n"/>
      <c r="C76" s="31" t="n"/>
      <c r="D76" s="34" t="n"/>
      <c r="E76" s="34" t="n"/>
      <c r="F76" s="33" t="n"/>
      <c r="G76" s="34" t="n"/>
      <c r="H76" s="36" t="n"/>
      <c r="I76" s="36" t="n"/>
      <c r="J76" s="36" t="n"/>
      <c r="K76" s="36" t="n"/>
      <c r="L76" s="31" t="n"/>
      <c r="M76" s="27">
        <f>IF(G76="","",IFERROR(INDEX(Config!$B$10:$B$15,MATCH(G76,Config!$A$10:$A$15,0)),0))</f>
        <v/>
      </c>
      <c r="N76" s="26">
        <f>IF(OR(G76="",F76=""),"",F76*M76)</f>
        <v/>
      </c>
      <c r="O76" s="29">
        <f>IF(OR(G76="",G76="Fechada",G76="Perdida",AND(H76="",I76="")),"",Config!$B$5-IF(I76="",H76,I76))</f>
        <v/>
      </c>
      <c r="P76" s="29">
        <f>IF(AND(G76="Fechada",K76&lt;&gt;"",H76&lt;&gt;""),K76-H76,"")</f>
        <v/>
      </c>
      <c r="Q76" s="25">
        <f>IF(G76="","",IF(G76="Fechada","Fechada",IF(G76="Perdida","Perdida",IF(AND(J76&lt;&gt;"",J76&lt;Config!$B$5),"Previsão vencida",IF(AND(O76&lt;&gt;"",O76&gt;Config!$B$7),"Parada","Ativa")))))</f>
        <v/>
      </c>
      <c r="R76" s="37">
        <f>IF(OR(G76="",Q76="Fechada",Q76="Perdida"),0,IF(Q76="Previsão vencida",3,IF(Q76="Parada",2,1))*1E+15+MIN(N(O76),500)*1E+12+MIN(ROUND(N(F76)*100,0),99999999)*1E+4+(304+1-ROW()))</f>
        <v>0</v>
      </c>
    </row>
    <row r="77">
      <c r="A77" s="31" t="n"/>
      <c r="B77" s="34" t="n"/>
      <c r="C77" s="31" t="n"/>
      <c r="D77" s="34" t="n"/>
      <c r="E77" s="34" t="n"/>
      <c r="F77" s="33" t="n"/>
      <c r="G77" s="34" t="n"/>
      <c r="H77" s="36" t="n"/>
      <c r="I77" s="36" t="n"/>
      <c r="J77" s="36" t="n"/>
      <c r="K77" s="36" t="n"/>
      <c r="L77" s="31" t="n"/>
      <c r="M77" s="27">
        <f>IF(G77="","",IFERROR(INDEX(Config!$B$10:$B$15,MATCH(G77,Config!$A$10:$A$15,0)),0))</f>
        <v/>
      </c>
      <c r="N77" s="26">
        <f>IF(OR(G77="",F77=""),"",F77*M77)</f>
        <v/>
      </c>
      <c r="O77" s="29">
        <f>IF(OR(G77="",G77="Fechada",G77="Perdida",AND(H77="",I77="")),"",Config!$B$5-IF(I77="",H77,I77))</f>
        <v/>
      </c>
      <c r="P77" s="29">
        <f>IF(AND(G77="Fechada",K77&lt;&gt;"",H77&lt;&gt;""),K77-H77,"")</f>
        <v/>
      </c>
      <c r="Q77" s="25">
        <f>IF(G77="","",IF(G77="Fechada","Fechada",IF(G77="Perdida","Perdida",IF(AND(J77&lt;&gt;"",J77&lt;Config!$B$5),"Previsão vencida",IF(AND(O77&lt;&gt;"",O77&gt;Config!$B$7),"Parada","Ativa")))))</f>
        <v/>
      </c>
      <c r="R77" s="37">
        <f>IF(OR(G77="",Q77="Fechada",Q77="Perdida"),0,IF(Q77="Previsão vencida",3,IF(Q77="Parada",2,1))*1E+15+MIN(N(O77),500)*1E+12+MIN(ROUND(N(F77)*100,0),99999999)*1E+4+(304+1-ROW()))</f>
        <v>0</v>
      </c>
    </row>
    <row r="78">
      <c r="A78" s="31" t="n"/>
      <c r="B78" s="34" t="n"/>
      <c r="C78" s="31" t="n"/>
      <c r="D78" s="34" t="n"/>
      <c r="E78" s="34" t="n"/>
      <c r="F78" s="33" t="n"/>
      <c r="G78" s="34" t="n"/>
      <c r="H78" s="36" t="n"/>
      <c r="I78" s="36" t="n"/>
      <c r="J78" s="36" t="n"/>
      <c r="K78" s="36" t="n"/>
      <c r="L78" s="31" t="n"/>
      <c r="M78" s="27">
        <f>IF(G78="","",IFERROR(INDEX(Config!$B$10:$B$15,MATCH(G78,Config!$A$10:$A$15,0)),0))</f>
        <v/>
      </c>
      <c r="N78" s="26">
        <f>IF(OR(G78="",F78=""),"",F78*M78)</f>
        <v/>
      </c>
      <c r="O78" s="29">
        <f>IF(OR(G78="",G78="Fechada",G78="Perdida",AND(H78="",I78="")),"",Config!$B$5-IF(I78="",H78,I78))</f>
        <v/>
      </c>
      <c r="P78" s="29">
        <f>IF(AND(G78="Fechada",K78&lt;&gt;"",H78&lt;&gt;""),K78-H78,"")</f>
        <v/>
      </c>
      <c r="Q78" s="25">
        <f>IF(G78="","",IF(G78="Fechada","Fechada",IF(G78="Perdida","Perdida",IF(AND(J78&lt;&gt;"",J78&lt;Config!$B$5),"Previsão vencida",IF(AND(O78&lt;&gt;"",O78&gt;Config!$B$7),"Parada","Ativa")))))</f>
        <v/>
      </c>
      <c r="R78" s="37">
        <f>IF(OR(G78="",Q78="Fechada",Q78="Perdida"),0,IF(Q78="Previsão vencida",3,IF(Q78="Parada",2,1))*1E+15+MIN(N(O78),500)*1E+12+MIN(ROUND(N(F78)*100,0),99999999)*1E+4+(304+1-ROW()))</f>
        <v>0</v>
      </c>
    </row>
    <row r="79">
      <c r="A79" s="31" t="n"/>
      <c r="B79" s="34" t="n"/>
      <c r="C79" s="31" t="n"/>
      <c r="D79" s="34" t="n"/>
      <c r="E79" s="34" t="n"/>
      <c r="F79" s="33" t="n"/>
      <c r="G79" s="34" t="n"/>
      <c r="H79" s="36" t="n"/>
      <c r="I79" s="36" t="n"/>
      <c r="J79" s="36" t="n"/>
      <c r="K79" s="36" t="n"/>
      <c r="L79" s="31" t="n"/>
      <c r="M79" s="27">
        <f>IF(G79="","",IFERROR(INDEX(Config!$B$10:$B$15,MATCH(G79,Config!$A$10:$A$15,0)),0))</f>
        <v/>
      </c>
      <c r="N79" s="26">
        <f>IF(OR(G79="",F79=""),"",F79*M79)</f>
        <v/>
      </c>
      <c r="O79" s="29">
        <f>IF(OR(G79="",G79="Fechada",G79="Perdida",AND(H79="",I79="")),"",Config!$B$5-IF(I79="",H79,I79))</f>
        <v/>
      </c>
      <c r="P79" s="29">
        <f>IF(AND(G79="Fechada",K79&lt;&gt;"",H79&lt;&gt;""),K79-H79,"")</f>
        <v/>
      </c>
      <c r="Q79" s="25">
        <f>IF(G79="","",IF(G79="Fechada","Fechada",IF(G79="Perdida","Perdida",IF(AND(J79&lt;&gt;"",J79&lt;Config!$B$5),"Previsão vencida",IF(AND(O79&lt;&gt;"",O79&gt;Config!$B$7),"Parada","Ativa")))))</f>
        <v/>
      </c>
      <c r="R79" s="37">
        <f>IF(OR(G79="",Q79="Fechada",Q79="Perdida"),0,IF(Q79="Previsão vencida",3,IF(Q79="Parada",2,1))*1E+15+MIN(N(O79),500)*1E+12+MIN(ROUND(N(F79)*100,0),99999999)*1E+4+(304+1-ROW()))</f>
        <v>0</v>
      </c>
    </row>
    <row r="80">
      <c r="A80" s="31" t="n"/>
      <c r="B80" s="34" t="n"/>
      <c r="C80" s="31" t="n"/>
      <c r="D80" s="34" t="n"/>
      <c r="E80" s="34" t="n"/>
      <c r="F80" s="33" t="n"/>
      <c r="G80" s="34" t="n"/>
      <c r="H80" s="36" t="n"/>
      <c r="I80" s="36" t="n"/>
      <c r="J80" s="36" t="n"/>
      <c r="K80" s="36" t="n"/>
      <c r="L80" s="31" t="n"/>
      <c r="M80" s="27">
        <f>IF(G80="","",IFERROR(INDEX(Config!$B$10:$B$15,MATCH(G80,Config!$A$10:$A$15,0)),0))</f>
        <v/>
      </c>
      <c r="N80" s="26">
        <f>IF(OR(G80="",F80=""),"",F80*M80)</f>
        <v/>
      </c>
      <c r="O80" s="29">
        <f>IF(OR(G80="",G80="Fechada",G80="Perdida",AND(H80="",I80="")),"",Config!$B$5-IF(I80="",H80,I80))</f>
        <v/>
      </c>
      <c r="P80" s="29">
        <f>IF(AND(G80="Fechada",K80&lt;&gt;"",H80&lt;&gt;""),K80-H80,"")</f>
        <v/>
      </c>
      <c r="Q80" s="25">
        <f>IF(G80="","",IF(G80="Fechada","Fechada",IF(G80="Perdida","Perdida",IF(AND(J80&lt;&gt;"",J80&lt;Config!$B$5),"Previsão vencida",IF(AND(O80&lt;&gt;"",O80&gt;Config!$B$7),"Parada","Ativa")))))</f>
        <v/>
      </c>
      <c r="R80" s="37">
        <f>IF(OR(G80="",Q80="Fechada",Q80="Perdida"),0,IF(Q80="Previsão vencida",3,IF(Q80="Parada",2,1))*1E+15+MIN(N(O80),500)*1E+12+MIN(ROUND(N(F80)*100,0),99999999)*1E+4+(304+1-ROW()))</f>
        <v>0</v>
      </c>
    </row>
    <row r="81">
      <c r="A81" s="31" t="n"/>
      <c r="B81" s="34" t="n"/>
      <c r="C81" s="31" t="n"/>
      <c r="D81" s="34" t="n"/>
      <c r="E81" s="34" t="n"/>
      <c r="F81" s="33" t="n"/>
      <c r="G81" s="34" t="n"/>
      <c r="H81" s="36" t="n"/>
      <c r="I81" s="36" t="n"/>
      <c r="J81" s="36" t="n"/>
      <c r="K81" s="36" t="n"/>
      <c r="L81" s="31" t="n"/>
      <c r="M81" s="27">
        <f>IF(G81="","",IFERROR(INDEX(Config!$B$10:$B$15,MATCH(G81,Config!$A$10:$A$15,0)),0))</f>
        <v/>
      </c>
      <c r="N81" s="26">
        <f>IF(OR(G81="",F81=""),"",F81*M81)</f>
        <v/>
      </c>
      <c r="O81" s="29">
        <f>IF(OR(G81="",G81="Fechada",G81="Perdida",AND(H81="",I81="")),"",Config!$B$5-IF(I81="",H81,I81))</f>
        <v/>
      </c>
      <c r="P81" s="29">
        <f>IF(AND(G81="Fechada",K81&lt;&gt;"",H81&lt;&gt;""),K81-H81,"")</f>
        <v/>
      </c>
      <c r="Q81" s="25">
        <f>IF(G81="","",IF(G81="Fechada","Fechada",IF(G81="Perdida","Perdida",IF(AND(J81&lt;&gt;"",J81&lt;Config!$B$5),"Previsão vencida",IF(AND(O81&lt;&gt;"",O81&gt;Config!$B$7),"Parada","Ativa")))))</f>
        <v/>
      </c>
      <c r="R81" s="37">
        <f>IF(OR(G81="",Q81="Fechada",Q81="Perdida"),0,IF(Q81="Previsão vencida",3,IF(Q81="Parada",2,1))*1E+15+MIN(N(O81),500)*1E+12+MIN(ROUND(N(F81)*100,0),99999999)*1E+4+(304+1-ROW()))</f>
        <v>0</v>
      </c>
    </row>
    <row r="82">
      <c r="A82" s="31" t="n"/>
      <c r="B82" s="34" t="n"/>
      <c r="C82" s="31" t="n"/>
      <c r="D82" s="34" t="n"/>
      <c r="E82" s="34" t="n"/>
      <c r="F82" s="33" t="n"/>
      <c r="G82" s="34" t="n"/>
      <c r="H82" s="36" t="n"/>
      <c r="I82" s="36" t="n"/>
      <c r="J82" s="36" t="n"/>
      <c r="K82" s="36" t="n"/>
      <c r="L82" s="31" t="n"/>
      <c r="M82" s="27">
        <f>IF(G82="","",IFERROR(INDEX(Config!$B$10:$B$15,MATCH(G82,Config!$A$10:$A$15,0)),0))</f>
        <v/>
      </c>
      <c r="N82" s="26">
        <f>IF(OR(G82="",F82=""),"",F82*M82)</f>
        <v/>
      </c>
      <c r="O82" s="29">
        <f>IF(OR(G82="",G82="Fechada",G82="Perdida",AND(H82="",I82="")),"",Config!$B$5-IF(I82="",H82,I82))</f>
        <v/>
      </c>
      <c r="P82" s="29">
        <f>IF(AND(G82="Fechada",K82&lt;&gt;"",H82&lt;&gt;""),K82-H82,"")</f>
        <v/>
      </c>
      <c r="Q82" s="25">
        <f>IF(G82="","",IF(G82="Fechada","Fechada",IF(G82="Perdida","Perdida",IF(AND(J82&lt;&gt;"",J82&lt;Config!$B$5),"Previsão vencida",IF(AND(O82&lt;&gt;"",O82&gt;Config!$B$7),"Parada","Ativa")))))</f>
        <v/>
      </c>
      <c r="R82" s="37">
        <f>IF(OR(G82="",Q82="Fechada",Q82="Perdida"),0,IF(Q82="Previsão vencida",3,IF(Q82="Parada",2,1))*1E+15+MIN(N(O82),500)*1E+12+MIN(ROUND(N(F82)*100,0),99999999)*1E+4+(304+1-ROW()))</f>
        <v>0</v>
      </c>
    </row>
    <row r="83">
      <c r="A83" s="31" t="n"/>
      <c r="B83" s="34" t="n"/>
      <c r="C83" s="31" t="n"/>
      <c r="D83" s="34" t="n"/>
      <c r="E83" s="34" t="n"/>
      <c r="F83" s="33" t="n"/>
      <c r="G83" s="34" t="n"/>
      <c r="H83" s="36" t="n"/>
      <c r="I83" s="36" t="n"/>
      <c r="J83" s="36" t="n"/>
      <c r="K83" s="36" t="n"/>
      <c r="L83" s="31" t="n"/>
      <c r="M83" s="27">
        <f>IF(G83="","",IFERROR(INDEX(Config!$B$10:$B$15,MATCH(G83,Config!$A$10:$A$15,0)),0))</f>
        <v/>
      </c>
      <c r="N83" s="26">
        <f>IF(OR(G83="",F83=""),"",F83*M83)</f>
        <v/>
      </c>
      <c r="O83" s="29">
        <f>IF(OR(G83="",G83="Fechada",G83="Perdida",AND(H83="",I83="")),"",Config!$B$5-IF(I83="",H83,I83))</f>
        <v/>
      </c>
      <c r="P83" s="29">
        <f>IF(AND(G83="Fechada",K83&lt;&gt;"",H83&lt;&gt;""),K83-H83,"")</f>
        <v/>
      </c>
      <c r="Q83" s="25">
        <f>IF(G83="","",IF(G83="Fechada","Fechada",IF(G83="Perdida","Perdida",IF(AND(J83&lt;&gt;"",J83&lt;Config!$B$5),"Previsão vencida",IF(AND(O83&lt;&gt;"",O83&gt;Config!$B$7),"Parada","Ativa")))))</f>
        <v/>
      </c>
      <c r="R83" s="37">
        <f>IF(OR(G83="",Q83="Fechada",Q83="Perdida"),0,IF(Q83="Previsão vencida",3,IF(Q83="Parada",2,1))*1E+15+MIN(N(O83),500)*1E+12+MIN(ROUND(N(F83)*100,0),99999999)*1E+4+(304+1-ROW()))</f>
        <v>0</v>
      </c>
    </row>
    <row r="84">
      <c r="A84" s="31" t="n"/>
      <c r="B84" s="34" t="n"/>
      <c r="C84" s="31" t="n"/>
      <c r="D84" s="34" t="n"/>
      <c r="E84" s="34" t="n"/>
      <c r="F84" s="33" t="n"/>
      <c r="G84" s="34" t="n"/>
      <c r="H84" s="36" t="n"/>
      <c r="I84" s="36" t="n"/>
      <c r="J84" s="36" t="n"/>
      <c r="K84" s="36" t="n"/>
      <c r="L84" s="31" t="n"/>
      <c r="M84" s="27">
        <f>IF(G84="","",IFERROR(INDEX(Config!$B$10:$B$15,MATCH(G84,Config!$A$10:$A$15,0)),0))</f>
        <v/>
      </c>
      <c r="N84" s="26">
        <f>IF(OR(G84="",F84=""),"",F84*M84)</f>
        <v/>
      </c>
      <c r="O84" s="29">
        <f>IF(OR(G84="",G84="Fechada",G84="Perdida",AND(H84="",I84="")),"",Config!$B$5-IF(I84="",H84,I84))</f>
        <v/>
      </c>
      <c r="P84" s="29">
        <f>IF(AND(G84="Fechada",K84&lt;&gt;"",H84&lt;&gt;""),K84-H84,"")</f>
        <v/>
      </c>
      <c r="Q84" s="25">
        <f>IF(G84="","",IF(G84="Fechada","Fechada",IF(G84="Perdida","Perdida",IF(AND(J84&lt;&gt;"",J84&lt;Config!$B$5),"Previsão vencida",IF(AND(O84&lt;&gt;"",O84&gt;Config!$B$7),"Parada","Ativa")))))</f>
        <v/>
      </c>
      <c r="R84" s="37">
        <f>IF(OR(G84="",Q84="Fechada",Q84="Perdida"),0,IF(Q84="Previsão vencida",3,IF(Q84="Parada",2,1))*1E+15+MIN(N(O84),500)*1E+12+MIN(ROUND(N(F84)*100,0),99999999)*1E+4+(304+1-ROW()))</f>
        <v>0</v>
      </c>
    </row>
    <row r="85">
      <c r="A85" s="31" t="n"/>
      <c r="B85" s="34" t="n"/>
      <c r="C85" s="31" t="n"/>
      <c r="D85" s="34" t="n"/>
      <c r="E85" s="34" t="n"/>
      <c r="F85" s="33" t="n"/>
      <c r="G85" s="34" t="n"/>
      <c r="H85" s="36" t="n"/>
      <c r="I85" s="36" t="n"/>
      <c r="J85" s="36" t="n"/>
      <c r="K85" s="36" t="n"/>
      <c r="L85" s="31" t="n"/>
      <c r="M85" s="27">
        <f>IF(G85="","",IFERROR(INDEX(Config!$B$10:$B$15,MATCH(G85,Config!$A$10:$A$15,0)),0))</f>
        <v/>
      </c>
      <c r="N85" s="26">
        <f>IF(OR(G85="",F85=""),"",F85*M85)</f>
        <v/>
      </c>
      <c r="O85" s="29">
        <f>IF(OR(G85="",G85="Fechada",G85="Perdida",AND(H85="",I85="")),"",Config!$B$5-IF(I85="",H85,I85))</f>
        <v/>
      </c>
      <c r="P85" s="29">
        <f>IF(AND(G85="Fechada",K85&lt;&gt;"",H85&lt;&gt;""),K85-H85,"")</f>
        <v/>
      </c>
      <c r="Q85" s="25">
        <f>IF(G85="","",IF(G85="Fechada","Fechada",IF(G85="Perdida","Perdida",IF(AND(J85&lt;&gt;"",J85&lt;Config!$B$5),"Previsão vencida",IF(AND(O85&lt;&gt;"",O85&gt;Config!$B$7),"Parada","Ativa")))))</f>
        <v/>
      </c>
      <c r="R85" s="37">
        <f>IF(OR(G85="",Q85="Fechada",Q85="Perdida"),0,IF(Q85="Previsão vencida",3,IF(Q85="Parada",2,1))*1E+15+MIN(N(O85),500)*1E+12+MIN(ROUND(N(F85)*100,0),99999999)*1E+4+(304+1-ROW()))</f>
        <v>0</v>
      </c>
    </row>
    <row r="86">
      <c r="A86" s="31" t="n"/>
      <c r="B86" s="34" t="n"/>
      <c r="C86" s="31" t="n"/>
      <c r="D86" s="34" t="n"/>
      <c r="E86" s="34" t="n"/>
      <c r="F86" s="33" t="n"/>
      <c r="G86" s="34" t="n"/>
      <c r="H86" s="36" t="n"/>
      <c r="I86" s="36" t="n"/>
      <c r="J86" s="36" t="n"/>
      <c r="K86" s="36" t="n"/>
      <c r="L86" s="31" t="n"/>
      <c r="M86" s="27">
        <f>IF(G86="","",IFERROR(INDEX(Config!$B$10:$B$15,MATCH(G86,Config!$A$10:$A$15,0)),0))</f>
        <v/>
      </c>
      <c r="N86" s="26">
        <f>IF(OR(G86="",F86=""),"",F86*M86)</f>
        <v/>
      </c>
      <c r="O86" s="29">
        <f>IF(OR(G86="",G86="Fechada",G86="Perdida",AND(H86="",I86="")),"",Config!$B$5-IF(I86="",H86,I86))</f>
        <v/>
      </c>
      <c r="P86" s="29">
        <f>IF(AND(G86="Fechada",K86&lt;&gt;"",H86&lt;&gt;""),K86-H86,"")</f>
        <v/>
      </c>
      <c r="Q86" s="25">
        <f>IF(G86="","",IF(G86="Fechada","Fechada",IF(G86="Perdida","Perdida",IF(AND(J86&lt;&gt;"",J86&lt;Config!$B$5),"Previsão vencida",IF(AND(O86&lt;&gt;"",O86&gt;Config!$B$7),"Parada","Ativa")))))</f>
        <v/>
      </c>
      <c r="R86" s="37">
        <f>IF(OR(G86="",Q86="Fechada",Q86="Perdida"),0,IF(Q86="Previsão vencida",3,IF(Q86="Parada",2,1))*1E+15+MIN(N(O86),500)*1E+12+MIN(ROUND(N(F86)*100,0),99999999)*1E+4+(304+1-ROW()))</f>
        <v>0</v>
      </c>
    </row>
    <row r="87">
      <c r="A87" s="31" t="n"/>
      <c r="B87" s="34" t="n"/>
      <c r="C87" s="31" t="n"/>
      <c r="D87" s="34" t="n"/>
      <c r="E87" s="34" t="n"/>
      <c r="F87" s="33" t="n"/>
      <c r="G87" s="34" t="n"/>
      <c r="H87" s="36" t="n"/>
      <c r="I87" s="36" t="n"/>
      <c r="J87" s="36" t="n"/>
      <c r="K87" s="36" t="n"/>
      <c r="L87" s="31" t="n"/>
      <c r="M87" s="27">
        <f>IF(G87="","",IFERROR(INDEX(Config!$B$10:$B$15,MATCH(G87,Config!$A$10:$A$15,0)),0))</f>
        <v/>
      </c>
      <c r="N87" s="26">
        <f>IF(OR(G87="",F87=""),"",F87*M87)</f>
        <v/>
      </c>
      <c r="O87" s="29">
        <f>IF(OR(G87="",G87="Fechada",G87="Perdida",AND(H87="",I87="")),"",Config!$B$5-IF(I87="",H87,I87))</f>
        <v/>
      </c>
      <c r="P87" s="29">
        <f>IF(AND(G87="Fechada",K87&lt;&gt;"",H87&lt;&gt;""),K87-H87,"")</f>
        <v/>
      </c>
      <c r="Q87" s="25">
        <f>IF(G87="","",IF(G87="Fechada","Fechada",IF(G87="Perdida","Perdida",IF(AND(J87&lt;&gt;"",J87&lt;Config!$B$5),"Previsão vencida",IF(AND(O87&lt;&gt;"",O87&gt;Config!$B$7),"Parada","Ativa")))))</f>
        <v/>
      </c>
      <c r="R87" s="37">
        <f>IF(OR(G87="",Q87="Fechada",Q87="Perdida"),0,IF(Q87="Previsão vencida",3,IF(Q87="Parada",2,1))*1E+15+MIN(N(O87),500)*1E+12+MIN(ROUND(N(F87)*100,0),99999999)*1E+4+(304+1-ROW()))</f>
        <v>0</v>
      </c>
    </row>
    <row r="88">
      <c r="A88" s="31" t="n"/>
      <c r="B88" s="34" t="n"/>
      <c r="C88" s="31" t="n"/>
      <c r="D88" s="34" t="n"/>
      <c r="E88" s="34" t="n"/>
      <c r="F88" s="33" t="n"/>
      <c r="G88" s="34" t="n"/>
      <c r="H88" s="36" t="n"/>
      <c r="I88" s="36" t="n"/>
      <c r="J88" s="36" t="n"/>
      <c r="K88" s="36" t="n"/>
      <c r="L88" s="31" t="n"/>
      <c r="M88" s="27">
        <f>IF(G88="","",IFERROR(INDEX(Config!$B$10:$B$15,MATCH(G88,Config!$A$10:$A$15,0)),0))</f>
        <v/>
      </c>
      <c r="N88" s="26">
        <f>IF(OR(G88="",F88=""),"",F88*M88)</f>
        <v/>
      </c>
      <c r="O88" s="29">
        <f>IF(OR(G88="",G88="Fechada",G88="Perdida",AND(H88="",I88="")),"",Config!$B$5-IF(I88="",H88,I88))</f>
        <v/>
      </c>
      <c r="P88" s="29">
        <f>IF(AND(G88="Fechada",K88&lt;&gt;"",H88&lt;&gt;""),K88-H88,"")</f>
        <v/>
      </c>
      <c r="Q88" s="25">
        <f>IF(G88="","",IF(G88="Fechada","Fechada",IF(G88="Perdida","Perdida",IF(AND(J88&lt;&gt;"",J88&lt;Config!$B$5),"Previsão vencida",IF(AND(O88&lt;&gt;"",O88&gt;Config!$B$7),"Parada","Ativa")))))</f>
        <v/>
      </c>
      <c r="R88" s="37">
        <f>IF(OR(G88="",Q88="Fechada",Q88="Perdida"),0,IF(Q88="Previsão vencida",3,IF(Q88="Parada",2,1))*1E+15+MIN(N(O88),500)*1E+12+MIN(ROUND(N(F88)*100,0),99999999)*1E+4+(304+1-ROW()))</f>
        <v>0</v>
      </c>
    </row>
    <row r="89">
      <c r="A89" s="31" t="n"/>
      <c r="B89" s="34" t="n"/>
      <c r="C89" s="31" t="n"/>
      <c r="D89" s="34" t="n"/>
      <c r="E89" s="34" t="n"/>
      <c r="F89" s="33" t="n"/>
      <c r="G89" s="34" t="n"/>
      <c r="H89" s="36" t="n"/>
      <c r="I89" s="36" t="n"/>
      <c r="J89" s="36" t="n"/>
      <c r="K89" s="36" t="n"/>
      <c r="L89" s="31" t="n"/>
      <c r="M89" s="27">
        <f>IF(G89="","",IFERROR(INDEX(Config!$B$10:$B$15,MATCH(G89,Config!$A$10:$A$15,0)),0))</f>
        <v/>
      </c>
      <c r="N89" s="26">
        <f>IF(OR(G89="",F89=""),"",F89*M89)</f>
        <v/>
      </c>
      <c r="O89" s="29">
        <f>IF(OR(G89="",G89="Fechada",G89="Perdida",AND(H89="",I89="")),"",Config!$B$5-IF(I89="",H89,I89))</f>
        <v/>
      </c>
      <c r="P89" s="29">
        <f>IF(AND(G89="Fechada",K89&lt;&gt;"",H89&lt;&gt;""),K89-H89,"")</f>
        <v/>
      </c>
      <c r="Q89" s="25">
        <f>IF(G89="","",IF(G89="Fechada","Fechada",IF(G89="Perdida","Perdida",IF(AND(J89&lt;&gt;"",J89&lt;Config!$B$5),"Previsão vencida",IF(AND(O89&lt;&gt;"",O89&gt;Config!$B$7),"Parada","Ativa")))))</f>
        <v/>
      </c>
      <c r="R89" s="37">
        <f>IF(OR(G89="",Q89="Fechada",Q89="Perdida"),0,IF(Q89="Previsão vencida",3,IF(Q89="Parada",2,1))*1E+15+MIN(N(O89),500)*1E+12+MIN(ROUND(N(F89)*100,0),99999999)*1E+4+(304+1-ROW()))</f>
        <v>0</v>
      </c>
    </row>
    <row r="90">
      <c r="A90" s="31" t="n"/>
      <c r="B90" s="34" t="n"/>
      <c r="C90" s="31" t="n"/>
      <c r="D90" s="34" t="n"/>
      <c r="E90" s="34" t="n"/>
      <c r="F90" s="33" t="n"/>
      <c r="G90" s="34" t="n"/>
      <c r="H90" s="36" t="n"/>
      <c r="I90" s="36" t="n"/>
      <c r="J90" s="36" t="n"/>
      <c r="K90" s="36" t="n"/>
      <c r="L90" s="31" t="n"/>
      <c r="M90" s="27">
        <f>IF(G90="","",IFERROR(INDEX(Config!$B$10:$B$15,MATCH(G90,Config!$A$10:$A$15,0)),0))</f>
        <v/>
      </c>
      <c r="N90" s="26">
        <f>IF(OR(G90="",F90=""),"",F90*M90)</f>
        <v/>
      </c>
      <c r="O90" s="29">
        <f>IF(OR(G90="",G90="Fechada",G90="Perdida",AND(H90="",I90="")),"",Config!$B$5-IF(I90="",H90,I90))</f>
        <v/>
      </c>
      <c r="P90" s="29">
        <f>IF(AND(G90="Fechada",K90&lt;&gt;"",H90&lt;&gt;""),K90-H90,"")</f>
        <v/>
      </c>
      <c r="Q90" s="25">
        <f>IF(G90="","",IF(G90="Fechada","Fechada",IF(G90="Perdida","Perdida",IF(AND(J90&lt;&gt;"",J90&lt;Config!$B$5),"Previsão vencida",IF(AND(O90&lt;&gt;"",O90&gt;Config!$B$7),"Parada","Ativa")))))</f>
        <v/>
      </c>
      <c r="R90" s="37">
        <f>IF(OR(G90="",Q90="Fechada",Q90="Perdida"),0,IF(Q90="Previsão vencida",3,IF(Q90="Parada",2,1))*1E+15+MIN(N(O90),500)*1E+12+MIN(ROUND(N(F90)*100,0),99999999)*1E+4+(304+1-ROW()))</f>
        <v>0</v>
      </c>
    </row>
    <row r="91">
      <c r="A91" s="31" t="n"/>
      <c r="B91" s="34" t="n"/>
      <c r="C91" s="31" t="n"/>
      <c r="D91" s="34" t="n"/>
      <c r="E91" s="34" t="n"/>
      <c r="F91" s="33" t="n"/>
      <c r="G91" s="34" t="n"/>
      <c r="H91" s="36" t="n"/>
      <c r="I91" s="36" t="n"/>
      <c r="J91" s="36" t="n"/>
      <c r="K91" s="36" t="n"/>
      <c r="L91" s="31" t="n"/>
      <c r="M91" s="27">
        <f>IF(G91="","",IFERROR(INDEX(Config!$B$10:$B$15,MATCH(G91,Config!$A$10:$A$15,0)),0))</f>
        <v/>
      </c>
      <c r="N91" s="26">
        <f>IF(OR(G91="",F91=""),"",F91*M91)</f>
        <v/>
      </c>
      <c r="O91" s="29">
        <f>IF(OR(G91="",G91="Fechada",G91="Perdida",AND(H91="",I91="")),"",Config!$B$5-IF(I91="",H91,I91))</f>
        <v/>
      </c>
      <c r="P91" s="29">
        <f>IF(AND(G91="Fechada",K91&lt;&gt;"",H91&lt;&gt;""),K91-H91,"")</f>
        <v/>
      </c>
      <c r="Q91" s="25">
        <f>IF(G91="","",IF(G91="Fechada","Fechada",IF(G91="Perdida","Perdida",IF(AND(J91&lt;&gt;"",J91&lt;Config!$B$5),"Previsão vencida",IF(AND(O91&lt;&gt;"",O91&gt;Config!$B$7),"Parada","Ativa")))))</f>
        <v/>
      </c>
      <c r="R91" s="37">
        <f>IF(OR(G91="",Q91="Fechada",Q91="Perdida"),0,IF(Q91="Previsão vencida",3,IF(Q91="Parada",2,1))*1E+15+MIN(N(O91),500)*1E+12+MIN(ROUND(N(F91)*100,0),99999999)*1E+4+(304+1-ROW()))</f>
        <v>0</v>
      </c>
    </row>
    <row r="92">
      <c r="A92" s="31" t="n"/>
      <c r="B92" s="34" t="n"/>
      <c r="C92" s="31" t="n"/>
      <c r="D92" s="34" t="n"/>
      <c r="E92" s="34" t="n"/>
      <c r="F92" s="33" t="n"/>
      <c r="G92" s="34" t="n"/>
      <c r="H92" s="36" t="n"/>
      <c r="I92" s="36" t="n"/>
      <c r="J92" s="36" t="n"/>
      <c r="K92" s="36" t="n"/>
      <c r="L92" s="31" t="n"/>
      <c r="M92" s="27">
        <f>IF(G92="","",IFERROR(INDEX(Config!$B$10:$B$15,MATCH(G92,Config!$A$10:$A$15,0)),0))</f>
        <v/>
      </c>
      <c r="N92" s="26">
        <f>IF(OR(G92="",F92=""),"",F92*M92)</f>
        <v/>
      </c>
      <c r="O92" s="29">
        <f>IF(OR(G92="",G92="Fechada",G92="Perdida",AND(H92="",I92="")),"",Config!$B$5-IF(I92="",H92,I92))</f>
        <v/>
      </c>
      <c r="P92" s="29">
        <f>IF(AND(G92="Fechada",K92&lt;&gt;"",H92&lt;&gt;""),K92-H92,"")</f>
        <v/>
      </c>
      <c r="Q92" s="25">
        <f>IF(G92="","",IF(G92="Fechada","Fechada",IF(G92="Perdida","Perdida",IF(AND(J92&lt;&gt;"",J92&lt;Config!$B$5),"Previsão vencida",IF(AND(O92&lt;&gt;"",O92&gt;Config!$B$7),"Parada","Ativa")))))</f>
        <v/>
      </c>
      <c r="R92" s="37">
        <f>IF(OR(G92="",Q92="Fechada",Q92="Perdida"),0,IF(Q92="Previsão vencida",3,IF(Q92="Parada",2,1))*1E+15+MIN(N(O92),500)*1E+12+MIN(ROUND(N(F92)*100,0),99999999)*1E+4+(304+1-ROW()))</f>
        <v>0</v>
      </c>
    </row>
    <row r="93">
      <c r="A93" s="31" t="n"/>
      <c r="B93" s="34" t="n"/>
      <c r="C93" s="31" t="n"/>
      <c r="D93" s="34" t="n"/>
      <c r="E93" s="34" t="n"/>
      <c r="F93" s="33" t="n"/>
      <c r="G93" s="34" t="n"/>
      <c r="H93" s="36" t="n"/>
      <c r="I93" s="36" t="n"/>
      <c r="J93" s="36" t="n"/>
      <c r="K93" s="36" t="n"/>
      <c r="L93" s="31" t="n"/>
      <c r="M93" s="27">
        <f>IF(G93="","",IFERROR(INDEX(Config!$B$10:$B$15,MATCH(G93,Config!$A$10:$A$15,0)),0))</f>
        <v/>
      </c>
      <c r="N93" s="26">
        <f>IF(OR(G93="",F93=""),"",F93*M93)</f>
        <v/>
      </c>
      <c r="O93" s="29">
        <f>IF(OR(G93="",G93="Fechada",G93="Perdida",AND(H93="",I93="")),"",Config!$B$5-IF(I93="",H93,I93))</f>
        <v/>
      </c>
      <c r="P93" s="29">
        <f>IF(AND(G93="Fechada",K93&lt;&gt;"",H93&lt;&gt;""),K93-H93,"")</f>
        <v/>
      </c>
      <c r="Q93" s="25">
        <f>IF(G93="","",IF(G93="Fechada","Fechada",IF(G93="Perdida","Perdida",IF(AND(J93&lt;&gt;"",J93&lt;Config!$B$5),"Previsão vencida",IF(AND(O93&lt;&gt;"",O93&gt;Config!$B$7),"Parada","Ativa")))))</f>
        <v/>
      </c>
      <c r="R93" s="37">
        <f>IF(OR(G93="",Q93="Fechada",Q93="Perdida"),0,IF(Q93="Previsão vencida",3,IF(Q93="Parada",2,1))*1E+15+MIN(N(O93),500)*1E+12+MIN(ROUND(N(F93)*100,0),99999999)*1E+4+(304+1-ROW()))</f>
        <v>0</v>
      </c>
    </row>
    <row r="94">
      <c r="A94" s="31" t="n"/>
      <c r="B94" s="34" t="n"/>
      <c r="C94" s="31" t="n"/>
      <c r="D94" s="34" t="n"/>
      <c r="E94" s="34" t="n"/>
      <c r="F94" s="33" t="n"/>
      <c r="G94" s="34" t="n"/>
      <c r="H94" s="36" t="n"/>
      <c r="I94" s="36" t="n"/>
      <c r="J94" s="36" t="n"/>
      <c r="K94" s="36" t="n"/>
      <c r="L94" s="31" t="n"/>
      <c r="M94" s="27">
        <f>IF(G94="","",IFERROR(INDEX(Config!$B$10:$B$15,MATCH(G94,Config!$A$10:$A$15,0)),0))</f>
        <v/>
      </c>
      <c r="N94" s="26">
        <f>IF(OR(G94="",F94=""),"",F94*M94)</f>
        <v/>
      </c>
      <c r="O94" s="29">
        <f>IF(OR(G94="",G94="Fechada",G94="Perdida",AND(H94="",I94="")),"",Config!$B$5-IF(I94="",H94,I94))</f>
        <v/>
      </c>
      <c r="P94" s="29">
        <f>IF(AND(G94="Fechada",K94&lt;&gt;"",H94&lt;&gt;""),K94-H94,"")</f>
        <v/>
      </c>
      <c r="Q94" s="25">
        <f>IF(G94="","",IF(G94="Fechada","Fechada",IF(G94="Perdida","Perdida",IF(AND(J94&lt;&gt;"",J94&lt;Config!$B$5),"Previsão vencida",IF(AND(O94&lt;&gt;"",O94&gt;Config!$B$7),"Parada","Ativa")))))</f>
        <v/>
      </c>
      <c r="R94" s="37">
        <f>IF(OR(G94="",Q94="Fechada",Q94="Perdida"),0,IF(Q94="Previsão vencida",3,IF(Q94="Parada",2,1))*1E+15+MIN(N(O94),500)*1E+12+MIN(ROUND(N(F94)*100,0),99999999)*1E+4+(304+1-ROW()))</f>
        <v>0</v>
      </c>
    </row>
    <row r="95">
      <c r="A95" s="31" t="n"/>
      <c r="B95" s="34" t="n"/>
      <c r="C95" s="31" t="n"/>
      <c r="D95" s="34" t="n"/>
      <c r="E95" s="34" t="n"/>
      <c r="F95" s="33" t="n"/>
      <c r="G95" s="34" t="n"/>
      <c r="H95" s="36" t="n"/>
      <c r="I95" s="36" t="n"/>
      <c r="J95" s="36" t="n"/>
      <c r="K95" s="36" t="n"/>
      <c r="L95" s="31" t="n"/>
      <c r="M95" s="27">
        <f>IF(G95="","",IFERROR(INDEX(Config!$B$10:$B$15,MATCH(G95,Config!$A$10:$A$15,0)),0))</f>
        <v/>
      </c>
      <c r="N95" s="26">
        <f>IF(OR(G95="",F95=""),"",F95*M95)</f>
        <v/>
      </c>
      <c r="O95" s="29">
        <f>IF(OR(G95="",G95="Fechada",G95="Perdida",AND(H95="",I95="")),"",Config!$B$5-IF(I95="",H95,I95))</f>
        <v/>
      </c>
      <c r="P95" s="29">
        <f>IF(AND(G95="Fechada",K95&lt;&gt;"",H95&lt;&gt;""),K95-H95,"")</f>
        <v/>
      </c>
      <c r="Q95" s="25">
        <f>IF(G95="","",IF(G95="Fechada","Fechada",IF(G95="Perdida","Perdida",IF(AND(J95&lt;&gt;"",J95&lt;Config!$B$5),"Previsão vencida",IF(AND(O95&lt;&gt;"",O95&gt;Config!$B$7),"Parada","Ativa")))))</f>
        <v/>
      </c>
      <c r="R95" s="37">
        <f>IF(OR(G95="",Q95="Fechada",Q95="Perdida"),0,IF(Q95="Previsão vencida",3,IF(Q95="Parada",2,1))*1E+15+MIN(N(O95),500)*1E+12+MIN(ROUND(N(F95)*100,0),99999999)*1E+4+(304+1-ROW()))</f>
        <v>0</v>
      </c>
    </row>
    <row r="96">
      <c r="A96" s="31" t="n"/>
      <c r="B96" s="34" t="n"/>
      <c r="C96" s="31" t="n"/>
      <c r="D96" s="34" t="n"/>
      <c r="E96" s="34" t="n"/>
      <c r="F96" s="33" t="n"/>
      <c r="G96" s="34" t="n"/>
      <c r="H96" s="36" t="n"/>
      <c r="I96" s="36" t="n"/>
      <c r="J96" s="36" t="n"/>
      <c r="K96" s="36" t="n"/>
      <c r="L96" s="31" t="n"/>
      <c r="M96" s="27">
        <f>IF(G96="","",IFERROR(INDEX(Config!$B$10:$B$15,MATCH(G96,Config!$A$10:$A$15,0)),0))</f>
        <v/>
      </c>
      <c r="N96" s="26">
        <f>IF(OR(G96="",F96=""),"",F96*M96)</f>
        <v/>
      </c>
      <c r="O96" s="29">
        <f>IF(OR(G96="",G96="Fechada",G96="Perdida",AND(H96="",I96="")),"",Config!$B$5-IF(I96="",H96,I96))</f>
        <v/>
      </c>
      <c r="P96" s="29">
        <f>IF(AND(G96="Fechada",K96&lt;&gt;"",H96&lt;&gt;""),K96-H96,"")</f>
        <v/>
      </c>
      <c r="Q96" s="25">
        <f>IF(G96="","",IF(G96="Fechada","Fechada",IF(G96="Perdida","Perdida",IF(AND(J96&lt;&gt;"",J96&lt;Config!$B$5),"Previsão vencida",IF(AND(O96&lt;&gt;"",O96&gt;Config!$B$7),"Parada","Ativa")))))</f>
        <v/>
      </c>
      <c r="R96" s="37">
        <f>IF(OR(G96="",Q96="Fechada",Q96="Perdida"),0,IF(Q96="Previsão vencida",3,IF(Q96="Parada",2,1))*1E+15+MIN(N(O96),500)*1E+12+MIN(ROUND(N(F96)*100,0),99999999)*1E+4+(304+1-ROW()))</f>
        <v>0</v>
      </c>
    </row>
    <row r="97">
      <c r="A97" s="31" t="n"/>
      <c r="B97" s="34" t="n"/>
      <c r="C97" s="31" t="n"/>
      <c r="D97" s="34" t="n"/>
      <c r="E97" s="34" t="n"/>
      <c r="F97" s="33" t="n"/>
      <c r="G97" s="34" t="n"/>
      <c r="H97" s="36" t="n"/>
      <c r="I97" s="36" t="n"/>
      <c r="J97" s="36" t="n"/>
      <c r="K97" s="36" t="n"/>
      <c r="L97" s="31" t="n"/>
      <c r="M97" s="27">
        <f>IF(G97="","",IFERROR(INDEX(Config!$B$10:$B$15,MATCH(G97,Config!$A$10:$A$15,0)),0))</f>
        <v/>
      </c>
      <c r="N97" s="26">
        <f>IF(OR(G97="",F97=""),"",F97*M97)</f>
        <v/>
      </c>
      <c r="O97" s="29">
        <f>IF(OR(G97="",G97="Fechada",G97="Perdida",AND(H97="",I97="")),"",Config!$B$5-IF(I97="",H97,I97))</f>
        <v/>
      </c>
      <c r="P97" s="29">
        <f>IF(AND(G97="Fechada",K97&lt;&gt;"",H97&lt;&gt;""),K97-H97,"")</f>
        <v/>
      </c>
      <c r="Q97" s="25">
        <f>IF(G97="","",IF(G97="Fechada","Fechada",IF(G97="Perdida","Perdida",IF(AND(J97&lt;&gt;"",J97&lt;Config!$B$5),"Previsão vencida",IF(AND(O97&lt;&gt;"",O97&gt;Config!$B$7),"Parada","Ativa")))))</f>
        <v/>
      </c>
      <c r="R97" s="37">
        <f>IF(OR(G97="",Q97="Fechada",Q97="Perdida"),0,IF(Q97="Previsão vencida",3,IF(Q97="Parada",2,1))*1E+15+MIN(N(O97),500)*1E+12+MIN(ROUND(N(F97)*100,0),99999999)*1E+4+(304+1-ROW()))</f>
        <v>0</v>
      </c>
    </row>
    <row r="98">
      <c r="A98" s="31" t="n"/>
      <c r="B98" s="34" t="n"/>
      <c r="C98" s="31" t="n"/>
      <c r="D98" s="34" t="n"/>
      <c r="E98" s="34" t="n"/>
      <c r="F98" s="33" t="n"/>
      <c r="G98" s="34" t="n"/>
      <c r="H98" s="36" t="n"/>
      <c r="I98" s="36" t="n"/>
      <c r="J98" s="36" t="n"/>
      <c r="K98" s="36" t="n"/>
      <c r="L98" s="31" t="n"/>
      <c r="M98" s="27">
        <f>IF(G98="","",IFERROR(INDEX(Config!$B$10:$B$15,MATCH(G98,Config!$A$10:$A$15,0)),0))</f>
        <v/>
      </c>
      <c r="N98" s="26">
        <f>IF(OR(G98="",F98=""),"",F98*M98)</f>
        <v/>
      </c>
      <c r="O98" s="29">
        <f>IF(OR(G98="",G98="Fechada",G98="Perdida",AND(H98="",I98="")),"",Config!$B$5-IF(I98="",H98,I98))</f>
        <v/>
      </c>
      <c r="P98" s="29">
        <f>IF(AND(G98="Fechada",K98&lt;&gt;"",H98&lt;&gt;""),K98-H98,"")</f>
        <v/>
      </c>
      <c r="Q98" s="25">
        <f>IF(G98="","",IF(G98="Fechada","Fechada",IF(G98="Perdida","Perdida",IF(AND(J98&lt;&gt;"",J98&lt;Config!$B$5),"Previsão vencida",IF(AND(O98&lt;&gt;"",O98&gt;Config!$B$7),"Parada","Ativa")))))</f>
        <v/>
      </c>
      <c r="R98" s="37">
        <f>IF(OR(G98="",Q98="Fechada",Q98="Perdida"),0,IF(Q98="Previsão vencida",3,IF(Q98="Parada",2,1))*1E+15+MIN(N(O98),500)*1E+12+MIN(ROUND(N(F98)*100,0),99999999)*1E+4+(304+1-ROW()))</f>
        <v>0</v>
      </c>
    </row>
    <row r="99">
      <c r="A99" s="31" t="n"/>
      <c r="B99" s="34" t="n"/>
      <c r="C99" s="31" t="n"/>
      <c r="D99" s="34" t="n"/>
      <c r="E99" s="34" t="n"/>
      <c r="F99" s="33" t="n"/>
      <c r="G99" s="34" t="n"/>
      <c r="H99" s="36" t="n"/>
      <c r="I99" s="36" t="n"/>
      <c r="J99" s="36" t="n"/>
      <c r="K99" s="36" t="n"/>
      <c r="L99" s="31" t="n"/>
      <c r="M99" s="27">
        <f>IF(G99="","",IFERROR(INDEX(Config!$B$10:$B$15,MATCH(G99,Config!$A$10:$A$15,0)),0))</f>
        <v/>
      </c>
      <c r="N99" s="26">
        <f>IF(OR(G99="",F99=""),"",F99*M99)</f>
        <v/>
      </c>
      <c r="O99" s="29">
        <f>IF(OR(G99="",G99="Fechada",G99="Perdida",AND(H99="",I99="")),"",Config!$B$5-IF(I99="",H99,I99))</f>
        <v/>
      </c>
      <c r="P99" s="29">
        <f>IF(AND(G99="Fechada",K99&lt;&gt;"",H99&lt;&gt;""),K99-H99,"")</f>
        <v/>
      </c>
      <c r="Q99" s="25">
        <f>IF(G99="","",IF(G99="Fechada","Fechada",IF(G99="Perdida","Perdida",IF(AND(J99&lt;&gt;"",J99&lt;Config!$B$5),"Previsão vencida",IF(AND(O99&lt;&gt;"",O99&gt;Config!$B$7),"Parada","Ativa")))))</f>
        <v/>
      </c>
      <c r="R99" s="37">
        <f>IF(OR(G99="",Q99="Fechada",Q99="Perdida"),0,IF(Q99="Previsão vencida",3,IF(Q99="Parada",2,1))*1E+15+MIN(N(O99),500)*1E+12+MIN(ROUND(N(F99)*100,0),99999999)*1E+4+(304+1-ROW()))</f>
        <v>0</v>
      </c>
    </row>
    <row r="100">
      <c r="A100" s="31" t="n"/>
      <c r="B100" s="34" t="n"/>
      <c r="C100" s="31" t="n"/>
      <c r="D100" s="34" t="n"/>
      <c r="E100" s="34" t="n"/>
      <c r="F100" s="33" t="n"/>
      <c r="G100" s="34" t="n"/>
      <c r="H100" s="36" t="n"/>
      <c r="I100" s="36" t="n"/>
      <c r="J100" s="36" t="n"/>
      <c r="K100" s="36" t="n"/>
      <c r="L100" s="31" t="n"/>
      <c r="M100" s="27">
        <f>IF(G100="","",IFERROR(INDEX(Config!$B$10:$B$15,MATCH(G100,Config!$A$10:$A$15,0)),0))</f>
        <v/>
      </c>
      <c r="N100" s="26">
        <f>IF(OR(G100="",F100=""),"",F100*M100)</f>
        <v/>
      </c>
      <c r="O100" s="29">
        <f>IF(OR(G100="",G100="Fechada",G100="Perdida",AND(H100="",I100="")),"",Config!$B$5-IF(I100="",H100,I100))</f>
        <v/>
      </c>
      <c r="P100" s="29">
        <f>IF(AND(G100="Fechada",K100&lt;&gt;"",H100&lt;&gt;""),K100-H100,"")</f>
        <v/>
      </c>
      <c r="Q100" s="25">
        <f>IF(G100="","",IF(G100="Fechada","Fechada",IF(G100="Perdida","Perdida",IF(AND(J100&lt;&gt;"",J100&lt;Config!$B$5),"Previsão vencida",IF(AND(O100&lt;&gt;"",O100&gt;Config!$B$7),"Parada","Ativa")))))</f>
        <v/>
      </c>
      <c r="R100" s="37">
        <f>IF(OR(G100="",Q100="Fechada",Q100="Perdida"),0,IF(Q100="Previsão vencida",3,IF(Q100="Parada",2,1))*1E+15+MIN(N(O100),500)*1E+12+MIN(ROUND(N(F100)*100,0),99999999)*1E+4+(304+1-ROW()))</f>
        <v>0</v>
      </c>
    </row>
    <row r="101">
      <c r="A101" s="31" t="n"/>
      <c r="B101" s="34" t="n"/>
      <c r="C101" s="31" t="n"/>
      <c r="D101" s="34" t="n"/>
      <c r="E101" s="34" t="n"/>
      <c r="F101" s="33" t="n"/>
      <c r="G101" s="34" t="n"/>
      <c r="H101" s="36" t="n"/>
      <c r="I101" s="36" t="n"/>
      <c r="J101" s="36" t="n"/>
      <c r="K101" s="36" t="n"/>
      <c r="L101" s="31" t="n"/>
      <c r="M101" s="27">
        <f>IF(G101="","",IFERROR(INDEX(Config!$B$10:$B$15,MATCH(G101,Config!$A$10:$A$15,0)),0))</f>
        <v/>
      </c>
      <c r="N101" s="26">
        <f>IF(OR(G101="",F101=""),"",F101*M101)</f>
        <v/>
      </c>
      <c r="O101" s="29">
        <f>IF(OR(G101="",G101="Fechada",G101="Perdida",AND(H101="",I101="")),"",Config!$B$5-IF(I101="",H101,I101))</f>
        <v/>
      </c>
      <c r="P101" s="29">
        <f>IF(AND(G101="Fechada",K101&lt;&gt;"",H101&lt;&gt;""),K101-H101,"")</f>
        <v/>
      </c>
      <c r="Q101" s="25">
        <f>IF(G101="","",IF(G101="Fechada","Fechada",IF(G101="Perdida","Perdida",IF(AND(J101&lt;&gt;"",J101&lt;Config!$B$5),"Previsão vencida",IF(AND(O101&lt;&gt;"",O101&gt;Config!$B$7),"Parada","Ativa")))))</f>
        <v/>
      </c>
      <c r="R101" s="37">
        <f>IF(OR(G101="",Q101="Fechada",Q101="Perdida"),0,IF(Q101="Previsão vencida",3,IF(Q101="Parada",2,1))*1E+15+MIN(N(O101),500)*1E+12+MIN(ROUND(N(F101)*100,0),99999999)*1E+4+(304+1-ROW()))</f>
        <v>0</v>
      </c>
    </row>
    <row r="102">
      <c r="A102" s="31" t="n"/>
      <c r="B102" s="34" t="n"/>
      <c r="C102" s="31" t="n"/>
      <c r="D102" s="34" t="n"/>
      <c r="E102" s="34" t="n"/>
      <c r="F102" s="33" t="n"/>
      <c r="G102" s="34" t="n"/>
      <c r="H102" s="36" t="n"/>
      <c r="I102" s="36" t="n"/>
      <c r="J102" s="36" t="n"/>
      <c r="K102" s="36" t="n"/>
      <c r="L102" s="31" t="n"/>
      <c r="M102" s="27">
        <f>IF(G102="","",IFERROR(INDEX(Config!$B$10:$B$15,MATCH(G102,Config!$A$10:$A$15,0)),0))</f>
        <v/>
      </c>
      <c r="N102" s="26">
        <f>IF(OR(G102="",F102=""),"",F102*M102)</f>
        <v/>
      </c>
      <c r="O102" s="29">
        <f>IF(OR(G102="",G102="Fechada",G102="Perdida",AND(H102="",I102="")),"",Config!$B$5-IF(I102="",H102,I102))</f>
        <v/>
      </c>
      <c r="P102" s="29">
        <f>IF(AND(G102="Fechada",K102&lt;&gt;"",H102&lt;&gt;""),K102-H102,"")</f>
        <v/>
      </c>
      <c r="Q102" s="25">
        <f>IF(G102="","",IF(G102="Fechada","Fechada",IF(G102="Perdida","Perdida",IF(AND(J102&lt;&gt;"",J102&lt;Config!$B$5),"Previsão vencida",IF(AND(O102&lt;&gt;"",O102&gt;Config!$B$7),"Parada","Ativa")))))</f>
        <v/>
      </c>
      <c r="R102" s="37">
        <f>IF(OR(G102="",Q102="Fechada",Q102="Perdida"),0,IF(Q102="Previsão vencida",3,IF(Q102="Parada",2,1))*1E+15+MIN(N(O102),500)*1E+12+MIN(ROUND(N(F102)*100,0),99999999)*1E+4+(304+1-ROW()))</f>
        <v>0</v>
      </c>
    </row>
    <row r="103">
      <c r="A103" s="31" t="n"/>
      <c r="B103" s="34" t="n"/>
      <c r="C103" s="31" t="n"/>
      <c r="D103" s="34" t="n"/>
      <c r="E103" s="34" t="n"/>
      <c r="F103" s="33" t="n"/>
      <c r="G103" s="34" t="n"/>
      <c r="H103" s="36" t="n"/>
      <c r="I103" s="36" t="n"/>
      <c r="J103" s="36" t="n"/>
      <c r="K103" s="36" t="n"/>
      <c r="L103" s="31" t="n"/>
      <c r="M103" s="27">
        <f>IF(G103="","",IFERROR(INDEX(Config!$B$10:$B$15,MATCH(G103,Config!$A$10:$A$15,0)),0))</f>
        <v/>
      </c>
      <c r="N103" s="26">
        <f>IF(OR(G103="",F103=""),"",F103*M103)</f>
        <v/>
      </c>
      <c r="O103" s="29">
        <f>IF(OR(G103="",G103="Fechada",G103="Perdida",AND(H103="",I103="")),"",Config!$B$5-IF(I103="",H103,I103))</f>
        <v/>
      </c>
      <c r="P103" s="29">
        <f>IF(AND(G103="Fechada",K103&lt;&gt;"",H103&lt;&gt;""),K103-H103,"")</f>
        <v/>
      </c>
      <c r="Q103" s="25">
        <f>IF(G103="","",IF(G103="Fechada","Fechada",IF(G103="Perdida","Perdida",IF(AND(J103&lt;&gt;"",J103&lt;Config!$B$5),"Previsão vencida",IF(AND(O103&lt;&gt;"",O103&gt;Config!$B$7),"Parada","Ativa")))))</f>
        <v/>
      </c>
      <c r="R103" s="37">
        <f>IF(OR(G103="",Q103="Fechada",Q103="Perdida"),0,IF(Q103="Previsão vencida",3,IF(Q103="Parada",2,1))*1E+15+MIN(N(O103),500)*1E+12+MIN(ROUND(N(F103)*100,0),99999999)*1E+4+(304+1-ROW()))</f>
        <v>0</v>
      </c>
    </row>
    <row r="104">
      <c r="A104" s="31" t="n"/>
      <c r="B104" s="34" t="n"/>
      <c r="C104" s="31" t="n"/>
      <c r="D104" s="34" t="n"/>
      <c r="E104" s="34" t="n"/>
      <c r="F104" s="33" t="n"/>
      <c r="G104" s="34" t="n"/>
      <c r="H104" s="36" t="n"/>
      <c r="I104" s="36" t="n"/>
      <c r="J104" s="36" t="n"/>
      <c r="K104" s="36" t="n"/>
      <c r="L104" s="31" t="n"/>
      <c r="M104" s="27">
        <f>IF(G104="","",IFERROR(INDEX(Config!$B$10:$B$15,MATCH(G104,Config!$A$10:$A$15,0)),0))</f>
        <v/>
      </c>
      <c r="N104" s="26">
        <f>IF(OR(G104="",F104=""),"",F104*M104)</f>
        <v/>
      </c>
      <c r="O104" s="29">
        <f>IF(OR(G104="",G104="Fechada",G104="Perdida",AND(H104="",I104="")),"",Config!$B$5-IF(I104="",H104,I104))</f>
        <v/>
      </c>
      <c r="P104" s="29">
        <f>IF(AND(G104="Fechada",K104&lt;&gt;"",H104&lt;&gt;""),K104-H104,"")</f>
        <v/>
      </c>
      <c r="Q104" s="25">
        <f>IF(G104="","",IF(G104="Fechada","Fechada",IF(G104="Perdida","Perdida",IF(AND(J104&lt;&gt;"",J104&lt;Config!$B$5),"Previsão vencida",IF(AND(O104&lt;&gt;"",O104&gt;Config!$B$7),"Parada","Ativa")))))</f>
        <v/>
      </c>
      <c r="R104" s="37">
        <f>IF(OR(G104="",Q104="Fechada",Q104="Perdida"),0,IF(Q104="Previsão vencida",3,IF(Q104="Parada",2,1))*1E+15+MIN(N(O104),500)*1E+12+MIN(ROUND(N(F104)*100,0),99999999)*1E+4+(304+1-ROW()))</f>
        <v>0</v>
      </c>
    </row>
    <row r="105">
      <c r="A105" s="31" t="n"/>
      <c r="B105" s="34" t="n"/>
      <c r="C105" s="31" t="n"/>
      <c r="D105" s="34" t="n"/>
      <c r="E105" s="34" t="n"/>
      <c r="F105" s="33" t="n"/>
      <c r="G105" s="34" t="n"/>
      <c r="H105" s="36" t="n"/>
      <c r="I105" s="36" t="n"/>
      <c r="J105" s="36" t="n"/>
      <c r="K105" s="36" t="n"/>
      <c r="L105" s="31" t="n"/>
      <c r="M105" s="27">
        <f>IF(G105="","",IFERROR(INDEX(Config!$B$10:$B$15,MATCH(G105,Config!$A$10:$A$15,0)),0))</f>
        <v/>
      </c>
      <c r="N105" s="26">
        <f>IF(OR(G105="",F105=""),"",F105*M105)</f>
        <v/>
      </c>
      <c r="O105" s="29">
        <f>IF(OR(G105="",G105="Fechada",G105="Perdida",AND(H105="",I105="")),"",Config!$B$5-IF(I105="",H105,I105))</f>
        <v/>
      </c>
      <c r="P105" s="29">
        <f>IF(AND(G105="Fechada",K105&lt;&gt;"",H105&lt;&gt;""),K105-H105,"")</f>
        <v/>
      </c>
      <c r="Q105" s="25">
        <f>IF(G105="","",IF(G105="Fechada","Fechada",IF(G105="Perdida","Perdida",IF(AND(J105&lt;&gt;"",J105&lt;Config!$B$5),"Previsão vencida",IF(AND(O105&lt;&gt;"",O105&gt;Config!$B$7),"Parada","Ativa")))))</f>
        <v/>
      </c>
      <c r="R105" s="37">
        <f>IF(OR(G105="",Q105="Fechada",Q105="Perdida"),0,IF(Q105="Previsão vencida",3,IF(Q105="Parada",2,1))*1E+15+MIN(N(O105),500)*1E+12+MIN(ROUND(N(F105)*100,0),99999999)*1E+4+(304+1-ROW()))</f>
        <v>0</v>
      </c>
    </row>
    <row r="106">
      <c r="A106" s="31" t="n"/>
      <c r="B106" s="34" t="n"/>
      <c r="C106" s="31" t="n"/>
      <c r="D106" s="34" t="n"/>
      <c r="E106" s="34" t="n"/>
      <c r="F106" s="33" t="n"/>
      <c r="G106" s="34" t="n"/>
      <c r="H106" s="36" t="n"/>
      <c r="I106" s="36" t="n"/>
      <c r="J106" s="36" t="n"/>
      <c r="K106" s="36" t="n"/>
      <c r="L106" s="31" t="n"/>
      <c r="M106" s="27">
        <f>IF(G106="","",IFERROR(INDEX(Config!$B$10:$B$15,MATCH(G106,Config!$A$10:$A$15,0)),0))</f>
        <v/>
      </c>
      <c r="N106" s="26">
        <f>IF(OR(G106="",F106=""),"",F106*M106)</f>
        <v/>
      </c>
      <c r="O106" s="29">
        <f>IF(OR(G106="",G106="Fechada",G106="Perdida",AND(H106="",I106="")),"",Config!$B$5-IF(I106="",H106,I106))</f>
        <v/>
      </c>
      <c r="P106" s="29">
        <f>IF(AND(G106="Fechada",K106&lt;&gt;"",H106&lt;&gt;""),K106-H106,"")</f>
        <v/>
      </c>
      <c r="Q106" s="25">
        <f>IF(G106="","",IF(G106="Fechada","Fechada",IF(G106="Perdida","Perdida",IF(AND(J106&lt;&gt;"",J106&lt;Config!$B$5),"Previsão vencida",IF(AND(O106&lt;&gt;"",O106&gt;Config!$B$7),"Parada","Ativa")))))</f>
        <v/>
      </c>
      <c r="R106" s="37">
        <f>IF(OR(G106="",Q106="Fechada",Q106="Perdida"),0,IF(Q106="Previsão vencida",3,IF(Q106="Parada",2,1))*1E+15+MIN(N(O106),500)*1E+12+MIN(ROUND(N(F106)*100,0),99999999)*1E+4+(304+1-ROW()))</f>
        <v>0</v>
      </c>
    </row>
    <row r="107">
      <c r="A107" s="31" t="n"/>
      <c r="B107" s="34" t="n"/>
      <c r="C107" s="31" t="n"/>
      <c r="D107" s="34" t="n"/>
      <c r="E107" s="34" t="n"/>
      <c r="F107" s="33" t="n"/>
      <c r="G107" s="34" t="n"/>
      <c r="H107" s="36" t="n"/>
      <c r="I107" s="36" t="n"/>
      <c r="J107" s="36" t="n"/>
      <c r="K107" s="36" t="n"/>
      <c r="L107" s="31" t="n"/>
      <c r="M107" s="27">
        <f>IF(G107="","",IFERROR(INDEX(Config!$B$10:$B$15,MATCH(G107,Config!$A$10:$A$15,0)),0))</f>
        <v/>
      </c>
      <c r="N107" s="26">
        <f>IF(OR(G107="",F107=""),"",F107*M107)</f>
        <v/>
      </c>
      <c r="O107" s="29">
        <f>IF(OR(G107="",G107="Fechada",G107="Perdida",AND(H107="",I107="")),"",Config!$B$5-IF(I107="",H107,I107))</f>
        <v/>
      </c>
      <c r="P107" s="29">
        <f>IF(AND(G107="Fechada",K107&lt;&gt;"",H107&lt;&gt;""),K107-H107,"")</f>
        <v/>
      </c>
      <c r="Q107" s="25">
        <f>IF(G107="","",IF(G107="Fechada","Fechada",IF(G107="Perdida","Perdida",IF(AND(J107&lt;&gt;"",J107&lt;Config!$B$5),"Previsão vencida",IF(AND(O107&lt;&gt;"",O107&gt;Config!$B$7),"Parada","Ativa")))))</f>
        <v/>
      </c>
      <c r="R107" s="37">
        <f>IF(OR(G107="",Q107="Fechada",Q107="Perdida"),0,IF(Q107="Previsão vencida",3,IF(Q107="Parada",2,1))*1E+15+MIN(N(O107),500)*1E+12+MIN(ROUND(N(F107)*100,0),99999999)*1E+4+(304+1-ROW()))</f>
        <v>0</v>
      </c>
    </row>
    <row r="108">
      <c r="A108" s="31" t="n"/>
      <c r="B108" s="34" t="n"/>
      <c r="C108" s="31" t="n"/>
      <c r="D108" s="34" t="n"/>
      <c r="E108" s="34" t="n"/>
      <c r="F108" s="33" t="n"/>
      <c r="G108" s="34" t="n"/>
      <c r="H108" s="36" t="n"/>
      <c r="I108" s="36" t="n"/>
      <c r="J108" s="36" t="n"/>
      <c r="K108" s="36" t="n"/>
      <c r="L108" s="31" t="n"/>
      <c r="M108" s="27">
        <f>IF(G108="","",IFERROR(INDEX(Config!$B$10:$B$15,MATCH(G108,Config!$A$10:$A$15,0)),0))</f>
        <v/>
      </c>
      <c r="N108" s="26">
        <f>IF(OR(G108="",F108=""),"",F108*M108)</f>
        <v/>
      </c>
      <c r="O108" s="29">
        <f>IF(OR(G108="",G108="Fechada",G108="Perdida",AND(H108="",I108="")),"",Config!$B$5-IF(I108="",H108,I108))</f>
        <v/>
      </c>
      <c r="P108" s="29">
        <f>IF(AND(G108="Fechada",K108&lt;&gt;"",H108&lt;&gt;""),K108-H108,"")</f>
        <v/>
      </c>
      <c r="Q108" s="25">
        <f>IF(G108="","",IF(G108="Fechada","Fechada",IF(G108="Perdida","Perdida",IF(AND(J108&lt;&gt;"",J108&lt;Config!$B$5),"Previsão vencida",IF(AND(O108&lt;&gt;"",O108&gt;Config!$B$7),"Parada","Ativa")))))</f>
        <v/>
      </c>
      <c r="R108" s="37">
        <f>IF(OR(G108="",Q108="Fechada",Q108="Perdida"),0,IF(Q108="Previsão vencida",3,IF(Q108="Parada",2,1))*1E+15+MIN(N(O108),500)*1E+12+MIN(ROUND(N(F108)*100,0),99999999)*1E+4+(304+1-ROW()))</f>
        <v>0</v>
      </c>
    </row>
    <row r="109">
      <c r="A109" s="31" t="n"/>
      <c r="B109" s="34" t="n"/>
      <c r="C109" s="31" t="n"/>
      <c r="D109" s="34" t="n"/>
      <c r="E109" s="34" t="n"/>
      <c r="F109" s="33" t="n"/>
      <c r="G109" s="34" t="n"/>
      <c r="H109" s="36" t="n"/>
      <c r="I109" s="36" t="n"/>
      <c r="J109" s="36" t="n"/>
      <c r="K109" s="36" t="n"/>
      <c r="L109" s="31" t="n"/>
      <c r="M109" s="27">
        <f>IF(G109="","",IFERROR(INDEX(Config!$B$10:$B$15,MATCH(G109,Config!$A$10:$A$15,0)),0))</f>
        <v/>
      </c>
      <c r="N109" s="26">
        <f>IF(OR(G109="",F109=""),"",F109*M109)</f>
        <v/>
      </c>
      <c r="O109" s="29">
        <f>IF(OR(G109="",G109="Fechada",G109="Perdida",AND(H109="",I109="")),"",Config!$B$5-IF(I109="",H109,I109))</f>
        <v/>
      </c>
      <c r="P109" s="29">
        <f>IF(AND(G109="Fechada",K109&lt;&gt;"",H109&lt;&gt;""),K109-H109,"")</f>
        <v/>
      </c>
      <c r="Q109" s="25">
        <f>IF(G109="","",IF(G109="Fechada","Fechada",IF(G109="Perdida","Perdida",IF(AND(J109&lt;&gt;"",J109&lt;Config!$B$5),"Previsão vencida",IF(AND(O109&lt;&gt;"",O109&gt;Config!$B$7),"Parada","Ativa")))))</f>
        <v/>
      </c>
      <c r="R109" s="37">
        <f>IF(OR(G109="",Q109="Fechada",Q109="Perdida"),0,IF(Q109="Previsão vencida",3,IF(Q109="Parada",2,1))*1E+15+MIN(N(O109),500)*1E+12+MIN(ROUND(N(F109)*100,0),99999999)*1E+4+(304+1-ROW()))</f>
        <v>0</v>
      </c>
    </row>
    <row r="110">
      <c r="A110" s="31" t="n"/>
      <c r="B110" s="34" t="n"/>
      <c r="C110" s="31" t="n"/>
      <c r="D110" s="34" t="n"/>
      <c r="E110" s="34" t="n"/>
      <c r="F110" s="33" t="n"/>
      <c r="G110" s="34" t="n"/>
      <c r="H110" s="36" t="n"/>
      <c r="I110" s="36" t="n"/>
      <c r="J110" s="36" t="n"/>
      <c r="K110" s="36" t="n"/>
      <c r="L110" s="31" t="n"/>
      <c r="M110" s="27">
        <f>IF(G110="","",IFERROR(INDEX(Config!$B$10:$B$15,MATCH(G110,Config!$A$10:$A$15,0)),0))</f>
        <v/>
      </c>
      <c r="N110" s="26">
        <f>IF(OR(G110="",F110=""),"",F110*M110)</f>
        <v/>
      </c>
      <c r="O110" s="29">
        <f>IF(OR(G110="",G110="Fechada",G110="Perdida",AND(H110="",I110="")),"",Config!$B$5-IF(I110="",H110,I110))</f>
        <v/>
      </c>
      <c r="P110" s="29">
        <f>IF(AND(G110="Fechada",K110&lt;&gt;"",H110&lt;&gt;""),K110-H110,"")</f>
        <v/>
      </c>
      <c r="Q110" s="25">
        <f>IF(G110="","",IF(G110="Fechada","Fechada",IF(G110="Perdida","Perdida",IF(AND(J110&lt;&gt;"",J110&lt;Config!$B$5),"Previsão vencida",IF(AND(O110&lt;&gt;"",O110&gt;Config!$B$7),"Parada","Ativa")))))</f>
        <v/>
      </c>
      <c r="R110" s="37">
        <f>IF(OR(G110="",Q110="Fechada",Q110="Perdida"),0,IF(Q110="Previsão vencida",3,IF(Q110="Parada",2,1))*1E+15+MIN(N(O110),500)*1E+12+MIN(ROUND(N(F110)*100,0),99999999)*1E+4+(304+1-ROW()))</f>
        <v>0</v>
      </c>
    </row>
    <row r="111">
      <c r="A111" s="31" t="n"/>
      <c r="B111" s="34" t="n"/>
      <c r="C111" s="31" t="n"/>
      <c r="D111" s="34" t="n"/>
      <c r="E111" s="34" t="n"/>
      <c r="F111" s="33" t="n"/>
      <c r="G111" s="34" t="n"/>
      <c r="H111" s="36" t="n"/>
      <c r="I111" s="36" t="n"/>
      <c r="J111" s="36" t="n"/>
      <c r="K111" s="36" t="n"/>
      <c r="L111" s="31" t="n"/>
      <c r="M111" s="27">
        <f>IF(G111="","",IFERROR(INDEX(Config!$B$10:$B$15,MATCH(G111,Config!$A$10:$A$15,0)),0))</f>
        <v/>
      </c>
      <c r="N111" s="26">
        <f>IF(OR(G111="",F111=""),"",F111*M111)</f>
        <v/>
      </c>
      <c r="O111" s="29">
        <f>IF(OR(G111="",G111="Fechada",G111="Perdida",AND(H111="",I111="")),"",Config!$B$5-IF(I111="",H111,I111))</f>
        <v/>
      </c>
      <c r="P111" s="29">
        <f>IF(AND(G111="Fechada",K111&lt;&gt;"",H111&lt;&gt;""),K111-H111,"")</f>
        <v/>
      </c>
      <c r="Q111" s="25">
        <f>IF(G111="","",IF(G111="Fechada","Fechada",IF(G111="Perdida","Perdida",IF(AND(J111&lt;&gt;"",J111&lt;Config!$B$5),"Previsão vencida",IF(AND(O111&lt;&gt;"",O111&gt;Config!$B$7),"Parada","Ativa")))))</f>
        <v/>
      </c>
      <c r="R111" s="37">
        <f>IF(OR(G111="",Q111="Fechada",Q111="Perdida"),0,IF(Q111="Previsão vencida",3,IF(Q111="Parada",2,1))*1E+15+MIN(N(O111),500)*1E+12+MIN(ROUND(N(F111)*100,0),99999999)*1E+4+(304+1-ROW()))</f>
        <v>0</v>
      </c>
    </row>
    <row r="112">
      <c r="A112" s="31" t="n"/>
      <c r="B112" s="34" t="n"/>
      <c r="C112" s="31" t="n"/>
      <c r="D112" s="34" t="n"/>
      <c r="E112" s="34" t="n"/>
      <c r="F112" s="33" t="n"/>
      <c r="G112" s="34" t="n"/>
      <c r="H112" s="36" t="n"/>
      <c r="I112" s="36" t="n"/>
      <c r="J112" s="36" t="n"/>
      <c r="K112" s="36" t="n"/>
      <c r="L112" s="31" t="n"/>
      <c r="M112" s="27">
        <f>IF(G112="","",IFERROR(INDEX(Config!$B$10:$B$15,MATCH(G112,Config!$A$10:$A$15,0)),0))</f>
        <v/>
      </c>
      <c r="N112" s="26">
        <f>IF(OR(G112="",F112=""),"",F112*M112)</f>
        <v/>
      </c>
      <c r="O112" s="29">
        <f>IF(OR(G112="",G112="Fechada",G112="Perdida",AND(H112="",I112="")),"",Config!$B$5-IF(I112="",H112,I112))</f>
        <v/>
      </c>
      <c r="P112" s="29">
        <f>IF(AND(G112="Fechada",K112&lt;&gt;"",H112&lt;&gt;""),K112-H112,"")</f>
        <v/>
      </c>
      <c r="Q112" s="25">
        <f>IF(G112="","",IF(G112="Fechada","Fechada",IF(G112="Perdida","Perdida",IF(AND(J112&lt;&gt;"",J112&lt;Config!$B$5),"Previsão vencida",IF(AND(O112&lt;&gt;"",O112&gt;Config!$B$7),"Parada","Ativa")))))</f>
        <v/>
      </c>
      <c r="R112" s="37">
        <f>IF(OR(G112="",Q112="Fechada",Q112="Perdida"),0,IF(Q112="Previsão vencida",3,IF(Q112="Parada",2,1))*1E+15+MIN(N(O112),500)*1E+12+MIN(ROUND(N(F112)*100,0),99999999)*1E+4+(304+1-ROW()))</f>
        <v>0</v>
      </c>
    </row>
    <row r="113">
      <c r="A113" s="31" t="n"/>
      <c r="B113" s="34" t="n"/>
      <c r="C113" s="31" t="n"/>
      <c r="D113" s="34" t="n"/>
      <c r="E113" s="34" t="n"/>
      <c r="F113" s="33" t="n"/>
      <c r="G113" s="34" t="n"/>
      <c r="H113" s="36" t="n"/>
      <c r="I113" s="36" t="n"/>
      <c r="J113" s="36" t="n"/>
      <c r="K113" s="36" t="n"/>
      <c r="L113" s="31" t="n"/>
      <c r="M113" s="27">
        <f>IF(G113="","",IFERROR(INDEX(Config!$B$10:$B$15,MATCH(G113,Config!$A$10:$A$15,0)),0))</f>
        <v/>
      </c>
      <c r="N113" s="26">
        <f>IF(OR(G113="",F113=""),"",F113*M113)</f>
        <v/>
      </c>
      <c r="O113" s="29">
        <f>IF(OR(G113="",G113="Fechada",G113="Perdida",AND(H113="",I113="")),"",Config!$B$5-IF(I113="",H113,I113))</f>
        <v/>
      </c>
      <c r="P113" s="29">
        <f>IF(AND(G113="Fechada",K113&lt;&gt;"",H113&lt;&gt;""),K113-H113,"")</f>
        <v/>
      </c>
      <c r="Q113" s="25">
        <f>IF(G113="","",IF(G113="Fechada","Fechada",IF(G113="Perdida","Perdida",IF(AND(J113&lt;&gt;"",J113&lt;Config!$B$5),"Previsão vencida",IF(AND(O113&lt;&gt;"",O113&gt;Config!$B$7),"Parada","Ativa")))))</f>
        <v/>
      </c>
      <c r="R113" s="37">
        <f>IF(OR(G113="",Q113="Fechada",Q113="Perdida"),0,IF(Q113="Previsão vencida",3,IF(Q113="Parada",2,1))*1E+15+MIN(N(O113),500)*1E+12+MIN(ROUND(N(F113)*100,0),99999999)*1E+4+(304+1-ROW()))</f>
        <v>0</v>
      </c>
    </row>
    <row r="114">
      <c r="A114" s="31" t="n"/>
      <c r="B114" s="34" t="n"/>
      <c r="C114" s="31" t="n"/>
      <c r="D114" s="34" t="n"/>
      <c r="E114" s="34" t="n"/>
      <c r="F114" s="33" t="n"/>
      <c r="G114" s="34" t="n"/>
      <c r="H114" s="36" t="n"/>
      <c r="I114" s="36" t="n"/>
      <c r="J114" s="36" t="n"/>
      <c r="K114" s="36" t="n"/>
      <c r="L114" s="31" t="n"/>
      <c r="M114" s="27">
        <f>IF(G114="","",IFERROR(INDEX(Config!$B$10:$B$15,MATCH(G114,Config!$A$10:$A$15,0)),0))</f>
        <v/>
      </c>
      <c r="N114" s="26">
        <f>IF(OR(G114="",F114=""),"",F114*M114)</f>
        <v/>
      </c>
      <c r="O114" s="29">
        <f>IF(OR(G114="",G114="Fechada",G114="Perdida",AND(H114="",I114="")),"",Config!$B$5-IF(I114="",H114,I114))</f>
        <v/>
      </c>
      <c r="P114" s="29">
        <f>IF(AND(G114="Fechada",K114&lt;&gt;"",H114&lt;&gt;""),K114-H114,"")</f>
        <v/>
      </c>
      <c r="Q114" s="25">
        <f>IF(G114="","",IF(G114="Fechada","Fechada",IF(G114="Perdida","Perdida",IF(AND(J114&lt;&gt;"",J114&lt;Config!$B$5),"Previsão vencida",IF(AND(O114&lt;&gt;"",O114&gt;Config!$B$7),"Parada","Ativa")))))</f>
        <v/>
      </c>
      <c r="R114" s="37">
        <f>IF(OR(G114="",Q114="Fechada",Q114="Perdida"),0,IF(Q114="Previsão vencida",3,IF(Q114="Parada",2,1))*1E+15+MIN(N(O114),500)*1E+12+MIN(ROUND(N(F114)*100,0),99999999)*1E+4+(304+1-ROW()))</f>
        <v>0</v>
      </c>
    </row>
    <row r="115">
      <c r="A115" s="31" t="n"/>
      <c r="B115" s="34" t="n"/>
      <c r="C115" s="31" t="n"/>
      <c r="D115" s="34" t="n"/>
      <c r="E115" s="34" t="n"/>
      <c r="F115" s="33" t="n"/>
      <c r="G115" s="34" t="n"/>
      <c r="H115" s="36" t="n"/>
      <c r="I115" s="36" t="n"/>
      <c r="J115" s="36" t="n"/>
      <c r="K115" s="36" t="n"/>
      <c r="L115" s="31" t="n"/>
      <c r="M115" s="27">
        <f>IF(G115="","",IFERROR(INDEX(Config!$B$10:$B$15,MATCH(G115,Config!$A$10:$A$15,0)),0))</f>
        <v/>
      </c>
      <c r="N115" s="26">
        <f>IF(OR(G115="",F115=""),"",F115*M115)</f>
        <v/>
      </c>
      <c r="O115" s="29">
        <f>IF(OR(G115="",G115="Fechada",G115="Perdida",AND(H115="",I115="")),"",Config!$B$5-IF(I115="",H115,I115))</f>
        <v/>
      </c>
      <c r="P115" s="29">
        <f>IF(AND(G115="Fechada",K115&lt;&gt;"",H115&lt;&gt;""),K115-H115,"")</f>
        <v/>
      </c>
      <c r="Q115" s="25">
        <f>IF(G115="","",IF(G115="Fechada","Fechada",IF(G115="Perdida","Perdida",IF(AND(J115&lt;&gt;"",J115&lt;Config!$B$5),"Previsão vencida",IF(AND(O115&lt;&gt;"",O115&gt;Config!$B$7),"Parada","Ativa")))))</f>
        <v/>
      </c>
      <c r="R115" s="37">
        <f>IF(OR(G115="",Q115="Fechada",Q115="Perdida"),0,IF(Q115="Previsão vencida",3,IF(Q115="Parada",2,1))*1E+15+MIN(N(O115),500)*1E+12+MIN(ROUND(N(F115)*100,0),99999999)*1E+4+(304+1-ROW()))</f>
        <v>0</v>
      </c>
    </row>
    <row r="116">
      <c r="A116" s="31" t="n"/>
      <c r="B116" s="34" t="n"/>
      <c r="C116" s="31" t="n"/>
      <c r="D116" s="34" t="n"/>
      <c r="E116" s="34" t="n"/>
      <c r="F116" s="33" t="n"/>
      <c r="G116" s="34" t="n"/>
      <c r="H116" s="36" t="n"/>
      <c r="I116" s="36" t="n"/>
      <c r="J116" s="36" t="n"/>
      <c r="K116" s="36" t="n"/>
      <c r="L116" s="31" t="n"/>
      <c r="M116" s="27">
        <f>IF(G116="","",IFERROR(INDEX(Config!$B$10:$B$15,MATCH(G116,Config!$A$10:$A$15,0)),0))</f>
        <v/>
      </c>
      <c r="N116" s="26">
        <f>IF(OR(G116="",F116=""),"",F116*M116)</f>
        <v/>
      </c>
      <c r="O116" s="29">
        <f>IF(OR(G116="",G116="Fechada",G116="Perdida",AND(H116="",I116="")),"",Config!$B$5-IF(I116="",H116,I116))</f>
        <v/>
      </c>
      <c r="P116" s="29">
        <f>IF(AND(G116="Fechada",K116&lt;&gt;"",H116&lt;&gt;""),K116-H116,"")</f>
        <v/>
      </c>
      <c r="Q116" s="25">
        <f>IF(G116="","",IF(G116="Fechada","Fechada",IF(G116="Perdida","Perdida",IF(AND(J116&lt;&gt;"",J116&lt;Config!$B$5),"Previsão vencida",IF(AND(O116&lt;&gt;"",O116&gt;Config!$B$7),"Parada","Ativa")))))</f>
        <v/>
      </c>
      <c r="R116" s="37">
        <f>IF(OR(G116="",Q116="Fechada",Q116="Perdida"),0,IF(Q116="Previsão vencida",3,IF(Q116="Parada",2,1))*1E+15+MIN(N(O116),500)*1E+12+MIN(ROUND(N(F116)*100,0),99999999)*1E+4+(304+1-ROW()))</f>
        <v>0</v>
      </c>
    </row>
    <row r="117">
      <c r="A117" s="31" t="n"/>
      <c r="B117" s="34" t="n"/>
      <c r="C117" s="31" t="n"/>
      <c r="D117" s="34" t="n"/>
      <c r="E117" s="34" t="n"/>
      <c r="F117" s="33" t="n"/>
      <c r="G117" s="34" t="n"/>
      <c r="H117" s="36" t="n"/>
      <c r="I117" s="36" t="n"/>
      <c r="J117" s="36" t="n"/>
      <c r="K117" s="36" t="n"/>
      <c r="L117" s="31" t="n"/>
      <c r="M117" s="27">
        <f>IF(G117="","",IFERROR(INDEX(Config!$B$10:$B$15,MATCH(G117,Config!$A$10:$A$15,0)),0))</f>
        <v/>
      </c>
      <c r="N117" s="26">
        <f>IF(OR(G117="",F117=""),"",F117*M117)</f>
        <v/>
      </c>
      <c r="O117" s="29">
        <f>IF(OR(G117="",G117="Fechada",G117="Perdida",AND(H117="",I117="")),"",Config!$B$5-IF(I117="",H117,I117))</f>
        <v/>
      </c>
      <c r="P117" s="29">
        <f>IF(AND(G117="Fechada",K117&lt;&gt;"",H117&lt;&gt;""),K117-H117,"")</f>
        <v/>
      </c>
      <c r="Q117" s="25">
        <f>IF(G117="","",IF(G117="Fechada","Fechada",IF(G117="Perdida","Perdida",IF(AND(J117&lt;&gt;"",J117&lt;Config!$B$5),"Previsão vencida",IF(AND(O117&lt;&gt;"",O117&gt;Config!$B$7),"Parada","Ativa")))))</f>
        <v/>
      </c>
      <c r="R117" s="37">
        <f>IF(OR(G117="",Q117="Fechada",Q117="Perdida"),0,IF(Q117="Previsão vencida",3,IF(Q117="Parada",2,1))*1E+15+MIN(N(O117),500)*1E+12+MIN(ROUND(N(F117)*100,0),99999999)*1E+4+(304+1-ROW()))</f>
        <v>0</v>
      </c>
    </row>
    <row r="118">
      <c r="A118" s="31" t="n"/>
      <c r="B118" s="34" t="n"/>
      <c r="C118" s="31" t="n"/>
      <c r="D118" s="34" t="n"/>
      <c r="E118" s="34" t="n"/>
      <c r="F118" s="33" t="n"/>
      <c r="G118" s="34" t="n"/>
      <c r="H118" s="36" t="n"/>
      <c r="I118" s="36" t="n"/>
      <c r="J118" s="36" t="n"/>
      <c r="K118" s="36" t="n"/>
      <c r="L118" s="31" t="n"/>
      <c r="M118" s="27">
        <f>IF(G118="","",IFERROR(INDEX(Config!$B$10:$B$15,MATCH(G118,Config!$A$10:$A$15,0)),0))</f>
        <v/>
      </c>
      <c r="N118" s="26">
        <f>IF(OR(G118="",F118=""),"",F118*M118)</f>
        <v/>
      </c>
      <c r="O118" s="29">
        <f>IF(OR(G118="",G118="Fechada",G118="Perdida",AND(H118="",I118="")),"",Config!$B$5-IF(I118="",H118,I118))</f>
        <v/>
      </c>
      <c r="P118" s="29">
        <f>IF(AND(G118="Fechada",K118&lt;&gt;"",H118&lt;&gt;""),K118-H118,"")</f>
        <v/>
      </c>
      <c r="Q118" s="25">
        <f>IF(G118="","",IF(G118="Fechada","Fechada",IF(G118="Perdida","Perdida",IF(AND(J118&lt;&gt;"",J118&lt;Config!$B$5),"Previsão vencida",IF(AND(O118&lt;&gt;"",O118&gt;Config!$B$7),"Parada","Ativa")))))</f>
        <v/>
      </c>
      <c r="R118" s="37">
        <f>IF(OR(G118="",Q118="Fechada",Q118="Perdida"),0,IF(Q118="Previsão vencida",3,IF(Q118="Parada",2,1))*1E+15+MIN(N(O118),500)*1E+12+MIN(ROUND(N(F118)*100,0),99999999)*1E+4+(304+1-ROW()))</f>
        <v>0</v>
      </c>
    </row>
    <row r="119">
      <c r="A119" s="31" t="n"/>
      <c r="B119" s="34" t="n"/>
      <c r="C119" s="31" t="n"/>
      <c r="D119" s="34" t="n"/>
      <c r="E119" s="34" t="n"/>
      <c r="F119" s="33" t="n"/>
      <c r="G119" s="34" t="n"/>
      <c r="H119" s="36" t="n"/>
      <c r="I119" s="36" t="n"/>
      <c r="J119" s="36" t="n"/>
      <c r="K119" s="36" t="n"/>
      <c r="L119" s="31" t="n"/>
      <c r="M119" s="27">
        <f>IF(G119="","",IFERROR(INDEX(Config!$B$10:$B$15,MATCH(G119,Config!$A$10:$A$15,0)),0))</f>
        <v/>
      </c>
      <c r="N119" s="26">
        <f>IF(OR(G119="",F119=""),"",F119*M119)</f>
        <v/>
      </c>
      <c r="O119" s="29">
        <f>IF(OR(G119="",G119="Fechada",G119="Perdida",AND(H119="",I119="")),"",Config!$B$5-IF(I119="",H119,I119))</f>
        <v/>
      </c>
      <c r="P119" s="29">
        <f>IF(AND(G119="Fechada",K119&lt;&gt;"",H119&lt;&gt;""),K119-H119,"")</f>
        <v/>
      </c>
      <c r="Q119" s="25">
        <f>IF(G119="","",IF(G119="Fechada","Fechada",IF(G119="Perdida","Perdida",IF(AND(J119&lt;&gt;"",J119&lt;Config!$B$5),"Previsão vencida",IF(AND(O119&lt;&gt;"",O119&gt;Config!$B$7),"Parada","Ativa")))))</f>
        <v/>
      </c>
      <c r="R119" s="37">
        <f>IF(OR(G119="",Q119="Fechada",Q119="Perdida"),0,IF(Q119="Previsão vencida",3,IF(Q119="Parada",2,1))*1E+15+MIN(N(O119),500)*1E+12+MIN(ROUND(N(F119)*100,0),99999999)*1E+4+(304+1-ROW()))</f>
        <v>0</v>
      </c>
    </row>
    <row r="120">
      <c r="A120" s="31" t="n"/>
      <c r="B120" s="34" t="n"/>
      <c r="C120" s="31" t="n"/>
      <c r="D120" s="34" t="n"/>
      <c r="E120" s="34" t="n"/>
      <c r="F120" s="33" t="n"/>
      <c r="G120" s="34" t="n"/>
      <c r="H120" s="36" t="n"/>
      <c r="I120" s="36" t="n"/>
      <c r="J120" s="36" t="n"/>
      <c r="K120" s="36" t="n"/>
      <c r="L120" s="31" t="n"/>
      <c r="M120" s="27">
        <f>IF(G120="","",IFERROR(INDEX(Config!$B$10:$B$15,MATCH(G120,Config!$A$10:$A$15,0)),0))</f>
        <v/>
      </c>
      <c r="N120" s="26">
        <f>IF(OR(G120="",F120=""),"",F120*M120)</f>
        <v/>
      </c>
      <c r="O120" s="29">
        <f>IF(OR(G120="",G120="Fechada",G120="Perdida",AND(H120="",I120="")),"",Config!$B$5-IF(I120="",H120,I120))</f>
        <v/>
      </c>
      <c r="P120" s="29">
        <f>IF(AND(G120="Fechada",K120&lt;&gt;"",H120&lt;&gt;""),K120-H120,"")</f>
        <v/>
      </c>
      <c r="Q120" s="25">
        <f>IF(G120="","",IF(G120="Fechada","Fechada",IF(G120="Perdida","Perdida",IF(AND(J120&lt;&gt;"",J120&lt;Config!$B$5),"Previsão vencida",IF(AND(O120&lt;&gt;"",O120&gt;Config!$B$7),"Parada","Ativa")))))</f>
        <v/>
      </c>
      <c r="R120" s="37">
        <f>IF(OR(G120="",Q120="Fechada",Q120="Perdida"),0,IF(Q120="Previsão vencida",3,IF(Q120="Parada",2,1))*1E+15+MIN(N(O120),500)*1E+12+MIN(ROUND(N(F120)*100,0),99999999)*1E+4+(304+1-ROW()))</f>
        <v>0</v>
      </c>
    </row>
    <row r="121">
      <c r="A121" s="31" t="n"/>
      <c r="B121" s="34" t="n"/>
      <c r="C121" s="31" t="n"/>
      <c r="D121" s="34" t="n"/>
      <c r="E121" s="34" t="n"/>
      <c r="F121" s="33" t="n"/>
      <c r="G121" s="34" t="n"/>
      <c r="H121" s="36" t="n"/>
      <c r="I121" s="36" t="n"/>
      <c r="J121" s="36" t="n"/>
      <c r="K121" s="36" t="n"/>
      <c r="L121" s="31" t="n"/>
      <c r="M121" s="27">
        <f>IF(G121="","",IFERROR(INDEX(Config!$B$10:$B$15,MATCH(G121,Config!$A$10:$A$15,0)),0))</f>
        <v/>
      </c>
      <c r="N121" s="26">
        <f>IF(OR(G121="",F121=""),"",F121*M121)</f>
        <v/>
      </c>
      <c r="O121" s="29">
        <f>IF(OR(G121="",G121="Fechada",G121="Perdida",AND(H121="",I121="")),"",Config!$B$5-IF(I121="",H121,I121))</f>
        <v/>
      </c>
      <c r="P121" s="29">
        <f>IF(AND(G121="Fechada",K121&lt;&gt;"",H121&lt;&gt;""),K121-H121,"")</f>
        <v/>
      </c>
      <c r="Q121" s="25">
        <f>IF(G121="","",IF(G121="Fechada","Fechada",IF(G121="Perdida","Perdida",IF(AND(J121&lt;&gt;"",J121&lt;Config!$B$5),"Previsão vencida",IF(AND(O121&lt;&gt;"",O121&gt;Config!$B$7),"Parada","Ativa")))))</f>
        <v/>
      </c>
      <c r="R121" s="37">
        <f>IF(OR(G121="",Q121="Fechada",Q121="Perdida"),0,IF(Q121="Previsão vencida",3,IF(Q121="Parada",2,1))*1E+15+MIN(N(O121),500)*1E+12+MIN(ROUND(N(F121)*100,0),99999999)*1E+4+(304+1-ROW()))</f>
        <v>0</v>
      </c>
    </row>
    <row r="122">
      <c r="A122" s="31" t="n"/>
      <c r="B122" s="34" t="n"/>
      <c r="C122" s="31" t="n"/>
      <c r="D122" s="34" t="n"/>
      <c r="E122" s="34" t="n"/>
      <c r="F122" s="33" t="n"/>
      <c r="G122" s="34" t="n"/>
      <c r="H122" s="36" t="n"/>
      <c r="I122" s="36" t="n"/>
      <c r="J122" s="36" t="n"/>
      <c r="K122" s="36" t="n"/>
      <c r="L122" s="31" t="n"/>
      <c r="M122" s="27">
        <f>IF(G122="","",IFERROR(INDEX(Config!$B$10:$B$15,MATCH(G122,Config!$A$10:$A$15,0)),0))</f>
        <v/>
      </c>
      <c r="N122" s="26">
        <f>IF(OR(G122="",F122=""),"",F122*M122)</f>
        <v/>
      </c>
      <c r="O122" s="29">
        <f>IF(OR(G122="",G122="Fechada",G122="Perdida",AND(H122="",I122="")),"",Config!$B$5-IF(I122="",H122,I122))</f>
        <v/>
      </c>
      <c r="P122" s="29">
        <f>IF(AND(G122="Fechada",K122&lt;&gt;"",H122&lt;&gt;""),K122-H122,"")</f>
        <v/>
      </c>
      <c r="Q122" s="25">
        <f>IF(G122="","",IF(G122="Fechada","Fechada",IF(G122="Perdida","Perdida",IF(AND(J122&lt;&gt;"",J122&lt;Config!$B$5),"Previsão vencida",IF(AND(O122&lt;&gt;"",O122&gt;Config!$B$7),"Parada","Ativa")))))</f>
        <v/>
      </c>
      <c r="R122" s="37">
        <f>IF(OR(G122="",Q122="Fechada",Q122="Perdida"),0,IF(Q122="Previsão vencida",3,IF(Q122="Parada",2,1))*1E+15+MIN(N(O122),500)*1E+12+MIN(ROUND(N(F122)*100,0),99999999)*1E+4+(304+1-ROW()))</f>
        <v>0</v>
      </c>
    </row>
    <row r="123">
      <c r="A123" s="31" t="n"/>
      <c r="B123" s="34" t="n"/>
      <c r="C123" s="31" t="n"/>
      <c r="D123" s="34" t="n"/>
      <c r="E123" s="34" t="n"/>
      <c r="F123" s="33" t="n"/>
      <c r="G123" s="34" t="n"/>
      <c r="H123" s="36" t="n"/>
      <c r="I123" s="36" t="n"/>
      <c r="J123" s="36" t="n"/>
      <c r="K123" s="36" t="n"/>
      <c r="L123" s="31" t="n"/>
      <c r="M123" s="27">
        <f>IF(G123="","",IFERROR(INDEX(Config!$B$10:$B$15,MATCH(G123,Config!$A$10:$A$15,0)),0))</f>
        <v/>
      </c>
      <c r="N123" s="26">
        <f>IF(OR(G123="",F123=""),"",F123*M123)</f>
        <v/>
      </c>
      <c r="O123" s="29">
        <f>IF(OR(G123="",G123="Fechada",G123="Perdida",AND(H123="",I123="")),"",Config!$B$5-IF(I123="",H123,I123))</f>
        <v/>
      </c>
      <c r="P123" s="29">
        <f>IF(AND(G123="Fechada",K123&lt;&gt;"",H123&lt;&gt;""),K123-H123,"")</f>
        <v/>
      </c>
      <c r="Q123" s="25">
        <f>IF(G123="","",IF(G123="Fechada","Fechada",IF(G123="Perdida","Perdida",IF(AND(J123&lt;&gt;"",J123&lt;Config!$B$5),"Previsão vencida",IF(AND(O123&lt;&gt;"",O123&gt;Config!$B$7),"Parada","Ativa")))))</f>
        <v/>
      </c>
      <c r="R123" s="37">
        <f>IF(OR(G123="",Q123="Fechada",Q123="Perdida"),0,IF(Q123="Previsão vencida",3,IF(Q123="Parada",2,1))*1E+15+MIN(N(O123),500)*1E+12+MIN(ROUND(N(F123)*100,0),99999999)*1E+4+(304+1-ROW()))</f>
        <v>0</v>
      </c>
    </row>
    <row r="124">
      <c r="A124" s="31" t="n"/>
      <c r="B124" s="34" t="n"/>
      <c r="C124" s="31" t="n"/>
      <c r="D124" s="34" t="n"/>
      <c r="E124" s="34" t="n"/>
      <c r="F124" s="33" t="n"/>
      <c r="G124" s="34" t="n"/>
      <c r="H124" s="36" t="n"/>
      <c r="I124" s="36" t="n"/>
      <c r="J124" s="36" t="n"/>
      <c r="K124" s="36" t="n"/>
      <c r="L124" s="31" t="n"/>
      <c r="M124" s="27">
        <f>IF(G124="","",IFERROR(INDEX(Config!$B$10:$B$15,MATCH(G124,Config!$A$10:$A$15,0)),0))</f>
        <v/>
      </c>
      <c r="N124" s="26">
        <f>IF(OR(G124="",F124=""),"",F124*M124)</f>
        <v/>
      </c>
      <c r="O124" s="29">
        <f>IF(OR(G124="",G124="Fechada",G124="Perdida",AND(H124="",I124="")),"",Config!$B$5-IF(I124="",H124,I124))</f>
        <v/>
      </c>
      <c r="P124" s="29">
        <f>IF(AND(G124="Fechada",K124&lt;&gt;"",H124&lt;&gt;""),K124-H124,"")</f>
        <v/>
      </c>
      <c r="Q124" s="25">
        <f>IF(G124="","",IF(G124="Fechada","Fechada",IF(G124="Perdida","Perdida",IF(AND(J124&lt;&gt;"",J124&lt;Config!$B$5),"Previsão vencida",IF(AND(O124&lt;&gt;"",O124&gt;Config!$B$7),"Parada","Ativa")))))</f>
        <v/>
      </c>
      <c r="R124" s="37">
        <f>IF(OR(G124="",Q124="Fechada",Q124="Perdida"),0,IF(Q124="Previsão vencida",3,IF(Q124="Parada",2,1))*1E+15+MIN(N(O124),500)*1E+12+MIN(ROUND(N(F124)*100,0),99999999)*1E+4+(304+1-ROW()))</f>
        <v>0</v>
      </c>
    </row>
    <row r="125">
      <c r="A125" s="31" t="n"/>
      <c r="B125" s="34" t="n"/>
      <c r="C125" s="31" t="n"/>
      <c r="D125" s="34" t="n"/>
      <c r="E125" s="34" t="n"/>
      <c r="F125" s="33" t="n"/>
      <c r="G125" s="34" t="n"/>
      <c r="H125" s="36" t="n"/>
      <c r="I125" s="36" t="n"/>
      <c r="J125" s="36" t="n"/>
      <c r="K125" s="36" t="n"/>
      <c r="L125" s="31" t="n"/>
      <c r="M125" s="27">
        <f>IF(G125="","",IFERROR(INDEX(Config!$B$10:$B$15,MATCH(G125,Config!$A$10:$A$15,0)),0))</f>
        <v/>
      </c>
      <c r="N125" s="26">
        <f>IF(OR(G125="",F125=""),"",F125*M125)</f>
        <v/>
      </c>
      <c r="O125" s="29">
        <f>IF(OR(G125="",G125="Fechada",G125="Perdida",AND(H125="",I125="")),"",Config!$B$5-IF(I125="",H125,I125))</f>
        <v/>
      </c>
      <c r="P125" s="29">
        <f>IF(AND(G125="Fechada",K125&lt;&gt;"",H125&lt;&gt;""),K125-H125,"")</f>
        <v/>
      </c>
      <c r="Q125" s="25">
        <f>IF(G125="","",IF(G125="Fechada","Fechada",IF(G125="Perdida","Perdida",IF(AND(J125&lt;&gt;"",J125&lt;Config!$B$5),"Previsão vencida",IF(AND(O125&lt;&gt;"",O125&gt;Config!$B$7),"Parada","Ativa")))))</f>
        <v/>
      </c>
      <c r="R125" s="37">
        <f>IF(OR(G125="",Q125="Fechada",Q125="Perdida"),0,IF(Q125="Previsão vencida",3,IF(Q125="Parada",2,1))*1E+15+MIN(N(O125),500)*1E+12+MIN(ROUND(N(F125)*100,0),99999999)*1E+4+(304+1-ROW()))</f>
        <v>0</v>
      </c>
    </row>
    <row r="126">
      <c r="A126" s="31" t="n"/>
      <c r="B126" s="34" t="n"/>
      <c r="C126" s="31" t="n"/>
      <c r="D126" s="34" t="n"/>
      <c r="E126" s="34" t="n"/>
      <c r="F126" s="33" t="n"/>
      <c r="G126" s="34" t="n"/>
      <c r="H126" s="36" t="n"/>
      <c r="I126" s="36" t="n"/>
      <c r="J126" s="36" t="n"/>
      <c r="K126" s="36" t="n"/>
      <c r="L126" s="31" t="n"/>
      <c r="M126" s="27">
        <f>IF(G126="","",IFERROR(INDEX(Config!$B$10:$B$15,MATCH(G126,Config!$A$10:$A$15,0)),0))</f>
        <v/>
      </c>
      <c r="N126" s="26">
        <f>IF(OR(G126="",F126=""),"",F126*M126)</f>
        <v/>
      </c>
      <c r="O126" s="29">
        <f>IF(OR(G126="",G126="Fechada",G126="Perdida",AND(H126="",I126="")),"",Config!$B$5-IF(I126="",H126,I126))</f>
        <v/>
      </c>
      <c r="P126" s="29">
        <f>IF(AND(G126="Fechada",K126&lt;&gt;"",H126&lt;&gt;""),K126-H126,"")</f>
        <v/>
      </c>
      <c r="Q126" s="25">
        <f>IF(G126="","",IF(G126="Fechada","Fechada",IF(G126="Perdida","Perdida",IF(AND(J126&lt;&gt;"",J126&lt;Config!$B$5),"Previsão vencida",IF(AND(O126&lt;&gt;"",O126&gt;Config!$B$7),"Parada","Ativa")))))</f>
        <v/>
      </c>
      <c r="R126" s="37">
        <f>IF(OR(G126="",Q126="Fechada",Q126="Perdida"),0,IF(Q126="Previsão vencida",3,IF(Q126="Parada",2,1))*1E+15+MIN(N(O126),500)*1E+12+MIN(ROUND(N(F126)*100,0),99999999)*1E+4+(304+1-ROW()))</f>
        <v>0</v>
      </c>
    </row>
    <row r="127">
      <c r="A127" s="31" t="n"/>
      <c r="B127" s="34" t="n"/>
      <c r="C127" s="31" t="n"/>
      <c r="D127" s="34" t="n"/>
      <c r="E127" s="34" t="n"/>
      <c r="F127" s="33" t="n"/>
      <c r="G127" s="34" t="n"/>
      <c r="H127" s="36" t="n"/>
      <c r="I127" s="36" t="n"/>
      <c r="J127" s="36" t="n"/>
      <c r="K127" s="36" t="n"/>
      <c r="L127" s="31" t="n"/>
      <c r="M127" s="27">
        <f>IF(G127="","",IFERROR(INDEX(Config!$B$10:$B$15,MATCH(G127,Config!$A$10:$A$15,0)),0))</f>
        <v/>
      </c>
      <c r="N127" s="26">
        <f>IF(OR(G127="",F127=""),"",F127*M127)</f>
        <v/>
      </c>
      <c r="O127" s="29">
        <f>IF(OR(G127="",G127="Fechada",G127="Perdida",AND(H127="",I127="")),"",Config!$B$5-IF(I127="",H127,I127))</f>
        <v/>
      </c>
      <c r="P127" s="29">
        <f>IF(AND(G127="Fechada",K127&lt;&gt;"",H127&lt;&gt;""),K127-H127,"")</f>
        <v/>
      </c>
      <c r="Q127" s="25">
        <f>IF(G127="","",IF(G127="Fechada","Fechada",IF(G127="Perdida","Perdida",IF(AND(J127&lt;&gt;"",J127&lt;Config!$B$5),"Previsão vencida",IF(AND(O127&lt;&gt;"",O127&gt;Config!$B$7),"Parada","Ativa")))))</f>
        <v/>
      </c>
      <c r="R127" s="37">
        <f>IF(OR(G127="",Q127="Fechada",Q127="Perdida"),0,IF(Q127="Previsão vencida",3,IF(Q127="Parada",2,1))*1E+15+MIN(N(O127),500)*1E+12+MIN(ROUND(N(F127)*100,0),99999999)*1E+4+(304+1-ROW()))</f>
        <v>0</v>
      </c>
    </row>
    <row r="128">
      <c r="A128" s="31" t="n"/>
      <c r="B128" s="34" t="n"/>
      <c r="C128" s="31" t="n"/>
      <c r="D128" s="34" t="n"/>
      <c r="E128" s="34" t="n"/>
      <c r="F128" s="33" t="n"/>
      <c r="G128" s="34" t="n"/>
      <c r="H128" s="36" t="n"/>
      <c r="I128" s="36" t="n"/>
      <c r="J128" s="36" t="n"/>
      <c r="K128" s="36" t="n"/>
      <c r="L128" s="31" t="n"/>
      <c r="M128" s="27">
        <f>IF(G128="","",IFERROR(INDEX(Config!$B$10:$B$15,MATCH(G128,Config!$A$10:$A$15,0)),0))</f>
        <v/>
      </c>
      <c r="N128" s="26">
        <f>IF(OR(G128="",F128=""),"",F128*M128)</f>
        <v/>
      </c>
      <c r="O128" s="29">
        <f>IF(OR(G128="",G128="Fechada",G128="Perdida",AND(H128="",I128="")),"",Config!$B$5-IF(I128="",H128,I128))</f>
        <v/>
      </c>
      <c r="P128" s="29">
        <f>IF(AND(G128="Fechada",K128&lt;&gt;"",H128&lt;&gt;""),K128-H128,"")</f>
        <v/>
      </c>
      <c r="Q128" s="25">
        <f>IF(G128="","",IF(G128="Fechada","Fechada",IF(G128="Perdida","Perdida",IF(AND(J128&lt;&gt;"",J128&lt;Config!$B$5),"Previsão vencida",IF(AND(O128&lt;&gt;"",O128&gt;Config!$B$7),"Parada","Ativa")))))</f>
        <v/>
      </c>
      <c r="R128" s="37">
        <f>IF(OR(G128="",Q128="Fechada",Q128="Perdida"),0,IF(Q128="Previsão vencida",3,IF(Q128="Parada",2,1))*1E+15+MIN(N(O128),500)*1E+12+MIN(ROUND(N(F128)*100,0),99999999)*1E+4+(304+1-ROW()))</f>
        <v>0</v>
      </c>
    </row>
    <row r="129">
      <c r="A129" s="31" t="n"/>
      <c r="B129" s="34" t="n"/>
      <c r="C129" s="31" t="n"/>
      <c r="D129" s="34" t="n"/>
      <c r="E129" s="34" t="n"/>
      <c r="F129" s="33" t="n"/>
      <c r="G129" s="34" t="n"/>
      <c r="H129" s="36" t="n"/>
      <c r="I129" s="36" t="n"/>
      <c r="J129" s="36" t="n"/>
      <c r="K129" s="36" t="n"/>
      <c r="L129" s="31" t="n"/>
      <c r="M129" s="27">
        <f>IF(G129="","",IFERROR(INDEX(Config!$B$10:$B$15,MATCH(G129,Config!$A$10:$A$15,0)),0))</f>
        <v/>
      </c>
      <c r="N129" s="26">
        <f>IF(OR(G129="",F129=""),"",F129*M129)</f>
        <v/>
      </c>
      <c r="O129" s="29">
        <f>IF(OR(G129="",G129="Fechada",G129="Perdida",AND(H129="",I129="")),"",Config!$B$5-IF(I129="",H129,I129))</f>
        <v/>
      </c>
      <c r="P129" s="29">
        <f>IF(AND(G129="Fechada",K129&lt;&gt;"",H129&lt;&gt;""),K129-H129,"")</f>
        <v/>
      </c>
      <c r="Q129" s="25">
        <f>IF(G129="","",IF(G129="Fechada","Fechada",IF(G129="Perdida","Perdida",IF(AND(J129&lt;&gt;"",J129&lt;Config!$B$5),"Previsão vencida",IF(AND(O129&lt;&gt;"",O129&gt;Config!$B$7),"Parada","Ativa")))))</f>
        <v/>
      </c>
      <c r="R129" s="37">
        <f>IF(OR(G129="",Q129="Fechada",Q129="Perdida"),0,IF(Q129="Previsão vencida",3,IF(Q129="Parada",2,1))*1E+15+MIN(N(O129),500)*1E+12+MIN(ROUND(N(F129)*100,0),99999999)*1E+4+(304+1-ROW()))</f>
        <v>0</v>
      </c>
    </row>
    <row r="130">
      <c r="A130" s="31" t="n"/>
      <c r="B130" s="34" t="n"/>
      <c r="C130" s="31" t="n"/>
      <c r="D130" s="34" t="n"/>
      <c r="E130" s="34" t="n"/>
      <c r="F130" s="33" t="n"/>
      <c r="G130" s="34" t="n"/>
      <c r="H130" s="36" t="n"/>
      <c r="I130" s="36" t="n"/>
      <c r="J130" s="36" t="n"/>
      <c r="K130" s="36" t="n"/>
      <c r="L130" s="31" t="n"/>
      <c r="M130" s="27">
        <f>IF(G130="","",IFERROR(INDEX(Config!$B$10:$B$15,MATCH(G130,Config!$A$10:$A$15,0)),0))</f>
        <v/>
      </c>
      <c r="N130" s="26">
        <f>IF(OR(G130="",F130=""),"",F130*M130)</f>
        <v/>
      </c>
      <c r="O130" s="29">
        <f>IF(OR(G130="",G130="Fechada",G130="Perdida",AND(H130="",I130="")),"",Config!$B$5-IF(I130="",H130,I130))</f>
        <v/>
      </c>
      <c r="P130" s="29">
        <f>IF(AND(G130="Fechada",K130&lt;&gt;"",H130&lt;&gt;""),K130-H130,"")</f>
        <v/>
      </c>
      <c r="Q130" s="25">
        <f>IF(G130="","",IF(G130="Fechada","Fechada",IF(G130="Perdida","Perdida",IF(AND(J130&lt;&gt;"",J130&lt;Config!$B$5),"Previsão vencida",IF(AND(O130&lt;&gt;"",O130&gt;Config!$B$7),"Parada","Ativa")))))</f>
        <v/>
      </c>
      <c r="R130" s="37">
        <f>IF(OR(G130="",Q130="Fechada",Q130="Perdida"),0,IF(Q130="Previsão vencida",3,IF(Q130="Parada",2,1))*1E+15+MIN(N(O130),500)*1E+12+MIN(ROUND(N(F130)*100,0),99999999)*1E+4+(304+1-ROW()))</f>
        <v>0</v>
      </c>
    </row>
    <row r="131">
      <c r="A131" s="31" t="n"/>
      <c r="B131" s="34" t="n"/>
      <c r="C131" s="31" t="n"/>
      <c r="D131" s="34" t="n"/>
      <c r="E131" s="34" t="n"/>
      <c r="F131" s="33" t="n"/>
      <c r="G131" s="34" t="n"/>
      <c r="H131" s="36" t="n"/>
      <c r="I131" s="36" t="n"/>
      <c r="J131" s="36" t="n"/>
      <c r="K131" s="36" t="n"/>
      <c r="L131" s="31" t="n"/>
      <c r="M131" s="27">
        <f>IF(G131="","",IFERROR(INDEX(Config!$B$10:$B$15,MATCH(G131,Config!$A$10:$A$15,0)),0))</f>
        <v/>
      </c>
      <c r="N131" s="26">
        <f>IF(OR(G131="",F131=""),"",F131*M131)</f>
        <v/>
      </c>
      <c r="O131" s="29">
        <f>IF(OR(G131="",G131="Fechada",G131="Perdida",AND(H131="",I131="")),"",Config!$B$5-IF(I131="",H131,I131))</f>
        <v/>
      </c>
      <c r="P131" s="29">
        <f>IF(AND(G131="Fechada",K131&lt;&gt;"",H131&lt;&gt;""),K131-H131,"")</f>
        <v/>
      </c>
      <c r="Q131" s="25">
        <f>IF(G131="","",IF(G131="Fechada","Fechada",IF(G131="Perdida","Perdida",IF(AND(J131&lt;&gt;"",J131&lt;Config!$B$5),"Previsão vencida",IF(AND(O131&lt;&gt;"",O131&gt;Config!$B$7),"Parada","Ativa")))))</f>
        <v/>
      </c>
      <c r="R131" s="37">
        <f>IF(OR(G131="",Q131="Fechada",Q131="Perdida"),0,IF(Q131="Previsão vencida",3,IF(Q131="Parada",2,1))*1E+15+MIN(N(O131),500)*1E+12+MIN(ROUND(N(F131)*100,0),99999999)*1E+4+(304+1-ROW()))</f>
        <v>0</v>
      </c>
    </row>
    <row r="132">
      <c r="A132" s="31" t="n"/>
      <c r="B132" s="34" t="n"/>
      <c r="C132" s="31" t="n"/>
      <c r="D132" s="34" t="n"/>
      <c r="E132" s="34" t="n"/>
      <c r="F132" s="33" t="n"/>
      <c r="G132" s="34" t="n"/>
      <c r="H132" s="36" t="n"/>
      <c r="I132" s="36" t="n"/>
      <c r="J132" s="36" t="n"/>
      <c r="K132" s="36" t="n"/>
      <c r="L132" s="31" t="n"/>
      <c r="M132" s="27">
        <f>IF(G132="","",IFERROR(INDEX(Config!$B$10:$B$15,MATCH(G132,Config!$A$10:$A$15,0)),0))</f>
        <v/>
      </c>
      <c r="N132" s="26">
        <f>IF(OR(G132="",F132=""),"",F132*M132)</f>
        <v/>
      </c>
      <c r="O132" s="29">
        <f>IF(OR(G132="",G132="Fechada",G132="Perdida",AND(H132="",I132="")),"",Config!$B$5-IF(I132="",H132,I132))</f>
        <v/>
      </c>
      <c r="P132" s="29">
        <f>IF(AND(G132="Fechada",K132&lt;&gt;"",H132&lt;&gt;""),K132-H132,"")</f>
        <v/>
      </c>
      <c r="Q132" s="25">
        <f>IF(G132="","",IF(G132="Fechada","Fechada",IF(G132="Perdida","Perdida",IF(AND(J132&lt;&gt;"",J132&lt;Config!$B$5),"Previsão vencida",IF(AND(O132&lt;&gt;"",O132&gt;Config!$B$7),"Parada","Ativa")))))</f>
        <v/>
      </c>
      <c r="R132" s="37">
        <f>IF(OR(G132="",Q132="Fechada",Q132="Perdida"),0,IF(Q132="Previsão vencida",3,IF(Q132="Parada",2,1))*1E+15+MIN(N(O132),500)*1E+12+MIN(ROUND(N(F132)*100,0),99999999)*1E+4+(304+1-ROW()))</f>
        <v>0</v>
      </c>
    </row>
    <row r="133">
      <c r="A133" s="31" t="n"/>
      <c r="B133" s="34" t="n"/>
      <c r="C133" s="31" t="n"/>
      <c r="D133" s="34" t="n"/>
      <c r="E133" s="34" t="n"/>
      <c r="F133" s="33" t="n"/>
      <c r="G133" s="34" t="n"/>
      <c r="H133" s="36" t="n"/>
      <c r="I133" s="36" t="n"/>
      <c r="J133" s="36" t="n"/>
      <c r="K133" s="36" t="n"/>
      <c r="L133" s="31" t="n"/>
      <c r="M133" s="27">
        <f>IF(G133="","",IFERROR(INDEX(Config!$B$10:$B$15,MATCH(G133,Config!$A$10:$A$15,0)),0))</f>
        <v/>
      </c>
      <c r="N133" s="26">
        <f>IF(OR(G133="",F133=""),"",F133*M133)</f>
        <v/>
      </c>
      <c r="O133" s="29">
        <f>IF(OR(G133="",G133="Fechada",G133="Perdida",AND(H133="",I133="")),"",Config!$B$5-IF(I133="",H133,I133))</f>
        <v/>
      </c>
      <c r="P133" s="29">
        <f>IF(AND(G133="Fechada",K133&lt;&gt;"",H133&lt;&gt;""),K133-H133,"")</f>
        <v/>
      </c>
      <c r="Q133" s="25">
        <f>IF(G133="","",IF(G133="Fechada","Fechada",IF(G133="Perdida","Perdida",IF(AND(J133&lt;&gt;"",J133&lt;Config!$B$5),"Previsão vencida",IF(AND(O133&lt;&gt;"",O133&gt;Config!$B$7),"Parada","Ativa")))))</f>
        <v/>
      </c>
      <c r="R133" s="37">
        <f>IF(OR(G133="",Q133="Fechada",Q133="Perdida"),0,IF(Q133="Previsão vencida",3,IF(Q133="Parada",2,1))*1E+15+MIN(N(O133),500)*1E+12+MIN(ROUND(N(F133)*100,0),99999999)*1E+4+(304+1-ROW()))</f>
        <v>0</v>
      </c>
    </row>
    <row r="134">
      <c r="A134" s="31" t="n"/>
      <c r="B134" s="34" t="n"/>
      <c r="C134" s="31" t="n"/>
      <c r="D134" s="34" t="n"/>
      <c r="E134" s="34" t="n"/>
      <c r="F134" s="33" t="n"/>
      <c r="G134" s="34" t="n"/>
      <c r="H134" s="36" t="n"/>
      <c r="I134" s="36" t="n"/>
      <c r="J134" s="36" t="n"/>
      <c r="K134" s="36" t="n"/>
      <c r="L134" s="31" t="n"/>
      <c r="M134" s="27">
        <f>IF(G134="","",IFERROR(INDEX(Config!$B$10:$B$15,MATCH(G134,Config!$A$10:$A$15,0)),0))</f>
        <v/>
      </c>
      <c r="N134" s="26">
        <f>IF(OR(G134="",F134=""),"",F134*M134)</f>
        <v/>
      </c>
      <c r="O134" s="29">
        <f>IF(OR(G134="",G134="Fechada",G134="Perdida",AND(H134="",I134="")),"",Config!$B$5-IF(I134="",H134,I134))</f>
        <v/>
      </c>
      <c r="P134" s="29">
        <f>IF(AND(G134="Fechada",K134&lt;&gt;"",H134&lt;&gt;""),K134-H134,"")</f>
        <v/>
      </c>
      <c r="Q134" s="25">
        <f>IF(G134="","",IF(G134="Fechada","Fechada",IF(G134="Perdida","Perdida",IF(AND(J134&lt;&gt;"",J134&lt;Config!$B$5),"Previsão vencida",IF(AND(O134&lt;&gt;"",O134&gt;Config!$B$7),"Parada","Ativa")))))</f>
        <v/>
      </c>
      <c r="R134" s="37">
        <f>IF(OR(G134="",Q134="Fechada",Q134="Perdida"),0,IF(Q134="Previsão vencida",3,IF(Q134="Parada",2,1))*1E+15+MIN(N(O134),500)*1E+12+MIN(ROUND(N(F134)*100,0),99999999)*1E+4+(304+1-ROW()))</f>
        <v>0</v>
      </c>
    </row>
    <row r="135">
      <c r="A135" s="31" t="n"/>
      <c r="B135" s="34" t="n"/>
      <c r="C135" s="31" t="n"/>
      <c r="D135" s="34" t="n"/>
      <c r="E135" s="34" t="n"/>
      <c r="F135" s="33" t="n"/>
      <c r="G135" s="34" t="n"/>
      <c r="H135" s="36" t="n"/>
      <c r="I135" s="36" t="n"/>
      <c r="J135" s="36" t="n"/>
      <c r="K135" s="36" t="n"/>
      <c r="L135" s="31" t="n"/>
      <c r="M135" s="27">
        <f>IF(G135="","",IFERROR(INDEX(Config!$B$10:$B$15,MATCH(G135,Config!$A$10:$A$15,0)),0))</f>
        <v/>
      </c>
      <c r="N135" s="26">
        <f>IF(OR(G135="",F135=""),"",F135*M135)</f>
        <v/>
      </c>
      <c r="O135" s="29">
        <f>IF(OR(G135="",G135="Fechada",G135="Perdida",AND(H135="",I135="")),"",Config!$B$5-IF(I135="",H135,I135))</f>
        <v/>
      </c>
      <c r="P135" s="29">
        <f>IF(AND(G135="Fechada",K135&lt;&gt;"",H135&lt;&gt;""),K135-H135,"")</f>
        <v/>
      </c>
      <c r="Q135" s="25">
        <f>IF(G135="","",IF(G135="Fechada","Fechada",IF(G135="Perdida","Perdida",IF(AND(J135&lt;&gt;"",J135&lt;Config!$B$5),"Previsão vencida",IF(AND(O135&lt;&gt;"",O135&gt;Config!$B$7),"Parada","Ativa")))))</f>
        <v/>
      </c>
      <c r="R135" s="37">
        <f>IF(OR(G135="",Q135="Fechada",Q135="Perdida"),0,IF(Q135="Previsão vencida",3,IF(Q135="Parada",2,1))*1E+15+MIN(N(O135),500)*1E+12+MIN(ROUND(N(F135)*100,0),99999999)*1E+4+(304+1-ROW()))</f>
        <v>0</v>
      </c>
    </row>
    <row r="136">
      <c r="A136" s="31" t="n"/>
      <c r="B136" s="34" t="n"/>
      <c r="C136" s="31" t="n"/>
      <c r="D136" s="34" t="n"/>
      <c r="E136" s="34" t="n"/>
      <c r="F136" s="33" t="n"/>
      <c r="G136" s="34" t="n"/>
      <c r="H136" s="36" t="n"/>
      <c r="I136" s="36" t="n"/>
      <c r="J136" s="36" t="n"/>
      <c r="K136" s="36" t="n"/>
      <c r="L136" s="31" t="n"/>
      <c r="M136" s="27">
        <f>IF(G136="","",IFERROR(INDEX(Config!$B$10:$B$15,MATCH(G136,Config!$A$10:$A$15,0)),0))</f>
        <v/>
      </c>
      <c r="N136" s="26">
        <f>IF(OR(G136="",F136=""),"",F136*M136)</f>
        <v/>
      </c>
      <c r="O136" s="29">
        <f>IF(OR(G136="",G136="Fechada",G136="Perdida",AND(H136="",I136="")),"",Config!$B$5-IF(I136="",H136,I136))</f>
        <v/>
      </c>
      <c r="P136" s="29">
        <f>IF(AND(G136="Fechada",K136&lt;&gt;"",H136&lt;&gt;""),K136-H136,"")</f>
        <v/>
      </c>
      <c r="Q136" s="25">
        <f>IF(G136="","",IF(G136="Fechada","Fechada",IF(G136="Perdida","Perdida",IF(AND(J136&lt;&gt;"",J136&lt;Config!$B$5),"Previsão vencida",IF(AND(O136&lt;&gt;"",O136&gt;Config!$B$7),"Parada","Ativa")))))</f>
        <v/>
      </c>
      <c r="R136" s="37">
        <f>IF(OR(G136="",Q136="Fechada",Q136="Perdida"),0,IF(Q136="Previsão vencida",3,IF(Q136="Parada",2,1))*1E+15+MIN(N(O136),500)*1E+12+MIN(ROUND(N(F136)*100,0),99999999)*1E+4+(304+1-ROW()))</f>
        <v>0</v>
      </c>
    </row>
    <row r="137">
      <c r="A137" s="31" t="n"/>
      <c r="B137" s="34" t="n"/>
      <c r="C137" s="31" t="n"/>
      <c r="D137" s="34" t="n"/>
      <c r="E137" s="34" t="n"/>
      <c r="F137" s="33" t="n"/>
      <c r="G137" s="34" t="n"/>
      <c r="H137" s="36" t="n"/>
      <c r="I137" s="36" t="n"/>
      <c r="J137" s="36" t="n"/>
      <c r="K137" s="36" t="n"/>
      <c r="L137" s="31" t="n"/>
      <c r="M137" s="27">
        <f>IF(G137="","",IFERROR(INDEX(Config!$B$10:$B$15,MATCH(G137,Config!$A$10:$A$15,0)),0))</f>
        <v/>
      </c>
      <c r="N137" s="26">
        <f>IF(OR(G137="",F137=""),"",F137*M137)</f>
        <v/>
      </c>
      <c r="O137" s="29">
        <f>IF(OR(G137="",G137="Fechada",G137="Perdida",AND(H137="",I137="")),"",Config!$B$5-IF(I137="",H137,I137))</f>
        <v/>
      </c>
      <c r="P137" s="29">
        <f>IF(AND(G137="Fechada",K137&lt;&gt;"",H137&lt;&gt;""),K137-H137,"")</f>
        <v/>
      </c>
      <c r="Q137" s="25">
        <f>IF(G137="","",IF(G137="Fechada","Fechada",IF(G137="Perdida","Perdida",IF(AND(J137&lt;&gt;"",J137&lt;Config!$B$5),"Previsão vencida",IF(AND(O137&lt;&gt;"",O137&gt;Config!$B$7),"Parada","Ativa")))))</f>
        <v/>
      </c>
      <c r="R137" s="37">
        <f>IF(OR(G137="",Q137="Fechada",Q137="Perdida"),0,IF(Q137="Previsão vencida",3,IF(Q137="Parada",2,1))*1E+15+MIN(N(O137),500)*1E+12+MIN(ROUND(N(F137)*100,0),99999999)*1E+4+(304+1-ROW()))</f>
        <v>0</v>
      </c>
    </row>
    <row r="138">
      <c r="A138" s="31" t="n"/>
      <c r="B138" s="34" t="n"/>
      <c r="C138" s="31" t="n"/>
      <c r="D138" s="34" t="n"/>
      <c r="E138" s="34" t="n"/>
      <c r="F138" s="33" t="n"/>
      <c r="G138" s="34" t="n"/>
      <c r="H138" s="36" t="n"/>
      <c r="I138" s="36" t="n"/>
      <c r="J138" s="36" t="n"/>
      <c r="K138" s="36" t="n"/>
      <c r="L138" s="31" t="n"/>
      <c r="M138" s="27">
        <f>IF(G138="","",IFERROR(INDEX(Config!$B$10:$B$15,MATCH(G138,Config!$A$10:$A$15,0)),0))</f>
        <v/>
      </c>
      <c r="N138" s="26">
        <f>IF(OR(G138="",F138=""),"",F138*M138)</f>
        <v/>
      </c>
      <c r="O138" s="29">
        <f>IF(OR(G138="",G138="Fechada",G138="Perdida",AND(H138="",I138="")),"",Config!$B$5-IF(I138="",H138,I138))</f>
        <v/>
      </c>
      <c r="P138" s="29">
        <f>IF(AND(G138="Fechada",K138&lt;&gt;"",H138&lt;&gt;""),K138-H138,"")</f>
        <v/>
      </c>
      <c r="Q138" s="25">
        <f>IF(G138="","",IF(G138="Fechada","Fechada",IF(G138="Perdida","Perdida",IF(AND(J138&lt;&gt;"",J138&lt;Config!$B$5),"Previsão vencida",IF(AND(O138&lt;&gt;"",O138&gt;Config!$B$7),"Parada","Ativa")))))</f>
        <v/>
      </c>
      <c r="R138" s="37">
        <f>IF(OR(G138="",Q138="Fechada",Q138="Perdida"),0,IF(Q138="Previsão vencida",3,IF(Q138="Parada",2,1))*1E+15+MIN(N(O138),500)*1E+12+MIN(ROUND(N(F138)*100,0),99999999)*1E+4+(304+1-ROW()))</f>
        <v>0</v>
      </c>
    </row>
    <row r="139">
      <c r="A139" s="31" t="n"/>
      <c r="B139" s="34" t="n"/>
      <c r="C139" s="31" t="n"/>
      <c r="D139" s="34" t="n"/>
      <c r="E139" s="34" t="n"/>
      <c r="F139" s="33" t="n"/>
      <c r="G139" s="34" t="n"/>
      <c r="H139" s="36" t="n"/>
      <c r="I139" s="36" t="n"/>
      <c r="J139" s="36" t="n"/>
      <c r="K139" s="36" t="n"/>
      <c r="L139" s="31" t="n"/>
      <c r="M139" s="27">
        <f>IF(G139="","",IFERROR(INDEX(Config!$B$10:$B$15,MATCH(G139,Config!$A$10:$A$15,0)),0))</f>
        <v/>
      </c>
      <c r="N139" s="26">
        <f>IF(OR(G139="",F139=""),"",F139*M139)</f>
        <v/>
      </c>
      <c r="O139" s="29">
        <f>IF(OR(G139="",G139="Fechada",G139="Perdida",AND(H139="",I139="")),"",Config!$B$5-IF(I139="",H139,I139))</f>
        <v/>
      </c>
      <c r="P139" s="29">
        <f>IF(AND(G139="Fechada",K139&lt;&gt;"",H139&lt;&gt;""),K139-H139,"")</f>
        <v/>
      </c>
      <c r="Q139" s="25">
        <f>IF(G139="","",IF(G139="Fechada","Fechada",IF(G139="Perdida","Perdida",IF(AND(J139&lt;&gt;"",J139&lt;Config!$B$5),"Previsão vencida",IF(AND(O139&lt;&gt;"",O139&gt;Config!$B$7),"Parada","Ativa")))))</f>
        <v/>
      </c>
      <c r="R139" s="37">
        <f>IF(OR(G139="",Q139="Fechada",Q139="Perdida"),0,IF(Q139="Previsão vencida",3,IF(Q139="Parada",2,1))*1E+15+MIN(N(O139),500)*1E+12+MIN(ROUND(N(F139)*100,0),99999999)*1E+4+(304+1-ROW()))</f>
        <v>0</v>
      </c>
    </row>
    <row r="140">
      <c r="A140" s="31" t="n"/>
      <c r="B140" s="34" t="n"/>
      <c r="C140" s="31" t="n"/>
      <c r="D140" s="34" t="n"/>
      <c r="E140" s="34" t="n"/>
      <c r="F140" s="33" t="n"/>
      <c r="G140" s="34" t="n"/>
      <c r="H140" s="36" t="n"/>
      <c r="I140" s="36" t="n"/>
      <c r="J140" s="36" t="n"/>
      <c r="K140" s="36" t="n"/>
      <c r="L140" s="31" t="n"/>
      <c r="M140" s="27">
        <f>IF(G140="","",IFERROR(INDEX(Config!$B$10:$B$15,MATCH(G140,Config!$A$10:$A$15,0)),0))</f>
        <v/>
      </c>
      <c r="N140" s="26">
        <f>IF(OR(G140="",F140=""),"",F140*M140)</f>
        <v/>
      </c>
      <c r="O140" s="29">
        <f>IF(OR(G140="",G140="Fechada",G140="Perdida",AND(H140="",I140="")),"",Config!$B$5-IF(I140="",H140,I140))</f>
        <v/>
      </c>
      <c r="P140" s="29">
        <f>IF(AND(G140="Fechada",K140&lt;&gt;"",H140&lt;&gt;""),K140-H140,"")</f>
        <v/>
      </c>
      <c r="Q140" s="25">
        <f>IF(G140="","",IF(G140="Fechada","Fechada",IF(G140="Perdida","Perdida",IF(AND(J140&lt;&gt;"",J140&lt;Config!$B$5),"Previsão vencida",IF(AND(O140&lt;&gt;"",O140&gt;Config!$B$7),"Parada","Ativa")))))</f>
        <v/>
      </c>
      <c r="R140" s="37">
        <f>IF(OR(G140="",Q140="Fechada",Q140="Perdida"),0,IF(Q140="Previsão vencida",3,IF(Q140="Parada",2,1))*1E+15+MIN(N(O140),500)*1E+12+MIN(ROUND(N(F140)*100,0),99999999)*1E+4+(304+1-ROW()))</f>
        <v>0</v>
      </c>
    </row>
    <row r="141">
      <c r="A141" s="31" t="n"/>
      <c r="B141" s="34" t="n"/>
      <c r="C141" s="31" t="n"/>
      <c r="D141" s="34" t="n"/>
      <c r="E141" s="34" t="n"/>
      <c r="F141" s="33" t="n"/>
      <c r="G141" s="34" t="n"/>
      <c r="H141" s="36" t="n"/>
      <c r="I141" s="36" t="n"/>
      <c r="J141" s="36" t="n"/>
      <c r="K141" s="36" t="n"/>
      <c r="L141" s="31" t="n"/>
      <c r="M141" s="27">
        <f>IF(G141="","",IFERROR(INDEX(Config!$B$10:$B$15,MATCH(G141,Config!$A$10:$A$15,0)),0))</f>
        <v/>
      </c>
      <c r="N141" s="26">
        <f>IF(OR(G141="",F141=""),"",F141*M141)</f>
        <v/>
      </c>
      <c r="O141" s="29">
        <f>IF(OR(G141="",G141="Fechada",G141="Perdida",AND(H141="",I141="")),"",Config!$B$5-IF(I141="",H141,I141))</f>
        <v/>
      </c>
      <c r="P141" s="29">
        <f>IF(AND(G141="Fechada",K141&lt;&gt;"",H141&lt;&gt;""),K141-H141,"")</f>
        <v/>
      </c>
      <c r="Q141" s="25">
        <f>IF(G141="","",IF(G141="Fechada","Fechada",IF(G141="Perdida","Perdida",IF(AND(J141&lt;&gt;"",J141&lt;Config!$B$5),"Previsão vencida",IF(AND(O141&lt;&gt;"",O141&gt;Config!$B$7),"Parada","Ativa")))))</f>
        <v/>
      </c>
      <c r="R141" s="37">
        <f>IF(OR(G141="",Q141="Fechada",Q141="Perdida"),0,IF(Q141="Previsão vencida",3,IF(Q141="Parada",2,1))*1E+15+MIN(N(O141),500)*1E+12+MIN(ROUND(N(F141)*100,0),99999999)*1E+4+(304+1-ROW()))</f>
        <v>0</v>
      </c>
    </row>
    <row r="142">
      <c r="A142" s="31" t="n"/>
      <c r="B142" s="34" t="n"/>
      <c r="C142" s="31" t="n"/>
      <c r="D142" s="34" t="n"/>
      <c r="E142" s="34" t="n"/>
      <c r="F142" s="33" t="n"/>
      <c r="G142" s="34" t="n"/>
      <c r="H142" s="36" t="n"/>
      <c r="I142" s="36" t="n"/>
      <c r="J142" s="36" t="n"/>
      <c r="K142" s="36" t="n"/>
      <c r="L142" s="31" t="n"/>
      <c r="M142" s="27">
        <f>IF(G142="","",IFERROR(INDEX(Config!$B$10:$B$15,MATCH(G142,Config!$A$10:$A$15,0)),0))</f>
        <v/>
      </c>
      <c r="N142" s="26">
        <f>IF(OR(G142="",F142=""),"",F142*M142)</f>
        <v/>
      </c>
      <c r="O142" s="29">
        <f>IF(OR(G142="",G142="Fechada",G142="Perdida",AND(H142="",I142="")),"",Config!$B$5-IF(I142="",H142,I142))</f>
        <v/>
      </c>
      <c r="P142" s="29">
        <f>IF(AND(G142="Fechada",K142&lt;&gt;"",H142&lt;&gt;""),K142-H142,"")</f>
        <v/>
      </c>
      <c r="Q142" s="25">
        <f>IF(G142="","",IF(G142="Fechada","Fechada",IF(G142="Perdida","Perdida",IF(AND(J142&lt;&gt;"",J142&lt;Config!$B$5),"Previsão vencida",IF(AND(O142&lt;&gt;"",O142&gt;Config!$B$7),"Parada","Ativa")))))</f>
        <v/>
      </c>
      <c r="R142" s="37">
        <f>IF(OR(G142="",Q142="Fechada",Q142="Perdida"),0,IF(Q142="Previsão vencida",3,IF(Q142="Parada",2,1))*1E+15+MIN(N(O142),500)*1E+12+MIN(ROUND(N(F142)*100,0),99999999)*1E+4+(304+1-ROW()))</f>
        <v>0</v>
      </c>
    </row>
    <row r="143">
      <c r="A143" s="31" t="n"/>
      <c r="B143" s="34" t="n"/>
      <c r="C143" s="31" t="n"/>
      <c r="D143" s="34" t="n"/>
      <c r="E143" s="34" t="n"/>
      <c r="F143" s="33" t="n"/>
      <c r="G143" s="34" t="n"/>
      <c r="H143" s="36" t="n"/>
      <c r="I143" s="36" t="n"/>
      <c r="J143" s="36" t="n"/>
      <c r="K143" s="36" t="n"/>
      <c r="L143" s="31" t="n"/>
      <c r="M143" s="27">
        <f>IF(G143="","",IFERROR(INDEX(Config!$B$10:$B$15,MATCH(G143,Config!$A$10:$A$15,0)),0))</f>
        <v/>
      </c>
      <c r="N143" s="26">
        <f>IF(OR(G143="",F143=""),"",F143*M143)</f>
        <v/>
      </c>
      <c r="O143" s="29">
        <f>IF(OR(G143="",G143="Fechada",G143="Perdida",AND(H143="",I143="")),"",Config!$B$5-IF(I143="",H143,I143))</f>
        <v/>
      </c>
      <c r="P143" s="29">
        <f>IF(AND(G143="Fechada",K143&lt;&gt;"",H143&lt;&gt;""),K143-H143,"")</f>
        <v/>
      </c>
      <c r="Q143" s="25">
        <f>IF(G143="","",IF(G143="Fechada","Fechada",IF(G143="Perdida","Perdida",IF(AND(J143&lt;&gt;"",J143&lt;Config!$B$5),"Previsão vencida",IF(AND(O143&lt;&gt;"",O143&gt;Config!$B$7),"Parada","Ativa")))))</f>
        <v/>
      </c>
      <c r="R143" s="37">
        <f>IF(OR(G143="",Q143="Fechada",Q143="Perdida"),0,IF(Q143="Previsão vencida",3,IF(Q143="Parada",2,1))*1E+15+MIN(N(O143),500)*1E+12+MIN(ROUND(N(F143)*100,0),99999999)*1E+4+(304+1-ROW()))</f>
        <v>0</v>
      </c>
    </row>
    <row r="144">
      <c r="A144" s="31" t="n"/>
      <c r="B144" s="34" t="n"/>
      <c r="C144" s="31" t="n"/>
      <c r="D144" s="34" t="n"/>
      <c r="E144" s="34" t="n"/>
      <c r="F144" s="33" t="n"/>
      <c r="G144" s="34" t="n"/>
      <c r="H144" s="36" t="n"/>
      <c r="I144" s="36" t="n"/>
      <c r="J144" s="36" t="n"/>
      <c r="K144" s="36" t="n"/>
      <c r="L144" s="31" t="n"/>
      <c r="M144" s="27">
        <f>IF(G144="","",IFERROR(INDEX(Config!$B$10:$B$15,MATCH(G144,Config!$A$10:$A$15,0)),0))</f>
        <v/>
      </c>
      <c r="N144" s="26">
        <f>IF(OR(G144="",F144=""),"",F144*M144)</f>
        <v/>
      </c>
      <c r="O144" s="29">
        <f>IF(OR(G144="",G144="Fechada",G144="Perdida",AND(H144="",I144="")),"",Config!$B$5-IF(I144="",H144,I144))</f>
        <v/>
      </c>
      <c r="P144" s="29">
        <f>IF(AND(G144="Fechada",K144&lt;&gt;"",H144&lt;&gt;""),K144-H144,"")</f>
        <v/>
      </c>
      <c r="Q144" s="25">
        <f>IF(G144="","",IF(G144="Fechada","Fechada",IF(G144="Perdida","Perdida",IF(AND(J144&lt;&gt;"",J144&lt;Config!$B$5),"Previsão vencida",IF(AND(O144&lt;&gt;"",O144&gt;Config!$B$7),"Parada","Ativa")))))</f>
        <v/>
      </c>
      <c r="R144" s="37">
        <f>IF(OR(G144="",Q144="Fechada",Q144="Perdida"),0,IF(Q144="Previsão vencida",3,IF(Q144="Parada",2,1))*1E+15+MIN(N(O144),500)*1E+12+MIN(ROUND(N(F144)*100,0),99999999)*1E+4+(304+1-ROW()))</f>
        <v>0</v>
      </c>
    </row>
    <row r="145">
      <c r="A145" s="31" t="n"/>
      <c r="B145" s="34" t="n"/>
      <c r="C145" s="31" t="n"/>
      <c r="D145" s="34" t="n"/>
      <c r="E145" s="34" t="n"/>
      <c r="F145" s="33" t="n"/>
      <c r="G145" s="34" t="n"/>
      <c r="H145" s="36" t="n"/>
      <c r="I145" s="36" t="n"/>
      <c r="J145" s="36" t="n"/>
      <c r="K145" s="36" t="n"/>
      <c r="L145" s="31" t="n"/>
      <c r="M145" s="27">
        <f>IF(G145="","",IFERROR(INDEX(Config!$B$10:$B$15,MATCH(G145,Config!$A$10:$A$15,0)),0))</f>
        <v/>
      </c>
      <c r="N145" s="26">
        <f>IF(OR(G145="",F145=""),"",F145*M145)</f>
        <v/>
      </c>
      <c r="O145" s="29">
        <f>IF(OR(G145="",G145="Fechada",G145="Perdida",AND(H145="",I145="")),"",Config!$B$5-IF(I145="",H145,I145))</f>
        <v/>
      </c>
      <c r="P145" s="29">
        <f>IF(AND(G145="Fechada",K145&lt;&gt;"",H145&lt;&gt;""),K145-H145,"")</f>
        <v/>
      </c>
      <c r="Q145" s="25">
        <f>IF(G145="","",IF(G145="Fechada","Fechada",IF(G145="Perdida","Perdida",IF(AND(J145&lt;&gt;"",J145&lt;Config!$B$5),"Previsão vencida",IF(AND(O145&lt;&gt;"",O145&gt;Config!$B$7),"Parada","Ativa")))))</f>
        <v/>
      </c>
      <c r="R145" s="37">
        <f>IF(OR(G145="",Q145="Fechada",Q145="Perdida"),0,IF(Q145="Previsão vencida",3,IF(Q145="Parada",2,1))*1E+15+MIN(N(O145),500)*1E+12+MIN(ROUND(N(F145)*100,0),99999999)*1E+4+(304+1-ROW()))</f>
        <v>0</v>
      </c>
    </row>
    <row r="146">
      <c r="A146" s="31" t="n"/>
      <c r="B146" s="34" t="n"/>
      <c r="C146" s="31" t="n"/>
      <c r="D146" s="34" t="n"/>
      <c r="E146" s="34" t="n"/>
      <c r="F146" s="33" t="n"/>
      <c r="G146" s="34" t="n"/>
      <c r="H146" s="36" t="n"/>
      <c r="I146" s="36" t="n"/>
      <c r="J146" s="36" t="n"/>
      <c r="K146" s="36" t="n"/>
      <c r="L146" s="31" t="n"/>
      <c r="M146" s="27">
        <f>IF(G146="","",IFERROR(INDEX(Config!$B$10:$B$15,MATCH(G146,Config!$A$10:$A$15,0)),0))</f>
        <v/>
      </c>
      <c r="N146" s="26">
        <f>IF(OR(G146="",F146=""),"",F146*M146)</f>
        <v/>
      </c>
      <c r="O146" s="29">
        <f>IF(OR(G146="",G146="Fechada",G146="Perdida",AND(H146="",I146="")),"",Config!$B$5-IF(I146="",H146,I146))</f>
        <v/>
      </c>
      <c r="P146" s="29">
        <f>IF(AND(G146="Fechada",K146&lt;&gt;"",H146&lt;&gt;""),K146-H146,"")</f>
        <v/>
      </c>
      <c r="Q146" s="25">
        <f>IF(G146="","",IF(G146="Fechada","Fechada",IF(G146="Perdida","Perdida",IF(AND(J146&lt;&gt;"",J146&lt;Config!$B$5),"Previsão vencida",IF(AND(O146&lt;&gt;"",O146&gt;Config!$B$7),"Parada","Ativa")))))</f>
        <v/>
      </c>
      <c r="R146" s="37">
        <f>IF(OR(G146="",Q146="Fechada",Q146="Perdida"),0,IF(Q146="Previsão vencida",3,IF(Q146="Parada",2,1))*1E+15+MIN(N(O146),500)*1E+12+MIN(ROUND(N(F146)*100,0),99999999)*1E+4+(304+1-ROW()))</f>
        <v>0</v>
      </c>
    </row>
    <row r="147">
      <c r="A147" s="31" t="n"/>
      <c r="B147" s="34" t="n"/>
      <c r="C147" s="31" t="n"/>
      <c r="D147" s="34" t="n"/>
      <c r="E147" s="34" t="n"/>
      <c r="F147" s="33" t="n"/>
      <c r="G147" s="34" t="n"/>
      <c r="H147" s="36" t="n"/>
      <c r="I147" s="36" t="n"/>
      <c r="J147" s="36" t="n"/>
      <c r="K147" s="36" t="n"/>
      <c r="L147" s="31" t="n"/>
      <c r="M147" s="27">
        <f>IF(G147="","",IFERROR(INDEX(Config!$B$10:$B$15,MATCH(G147,Config!$A$10:$A$15,0)),0))</f>
        <v/>
      </c>
      <c r="N147" s="26">
        <f>IF(OR(G147="",F147=""),"",F147*M147)</f>
        <v/>
      </c>
      <c r="O147" s="29">
        <f>IF(OR(G147="",G147="Fechada",G147="Perdida",AND(H147="",I147="")),"",Config!$B$5-IF(I147="",H147,I147))</f>
        <v/>
      </c>
      <c r="P147" s="29">
        <f>IF(AND(G147="Fechada",K147&lt;&gt;"",H147&lt;&gt;""),K147-H147,"")</f>
        <v/>
      </c>
      <c r="Q147" s="25">
        <f>IF(G147="","",IF(G147="Fechada","Fechada",IF(G147="Perdida","Perdida",IF(AND(J147&lt;&gt;"",J147&lt;Config!$B$5),"Previsão vencida",IF(AND(O147&lt;&gt;"",O147&gt;Config!$B$7),"Parada","Ativa")))))</f>
        <v/>
      </c>
      <c r="R147" s="37">
        <f>IF(OR(G147="",Q147="Fechada",Q147="Perdida"),0,IF(Q147="Previsão vencida",3,IF(Q147="Parada",2,1))*1E+15+MIN(N(O147),500)*1E+12+MIN(ROUND(N(F147)*100,0),99999999)*1E+4+(304+1-ROW()))</f>
        <v>0</v>
      </c>
    </row>
    <row r="148">
      <c r="A148" s="31" t="n"/>
      <c r="B148" s="34" t="n"/>
      <c r="C148" s="31" t="n"/>
      <c r="D148" s="34" t="n"/>
      <c r="E148" s="34" t="n"/>
      <c r="F148" s="33" t="n"/>
      <c r="G148" s="34" t="n"/>
      <c r="H148" s="36" t="n"/>
      <c r="I148" s="36" t="n"/>
      <c r="J148" s="36" t="n"/>
      <c r="K148" s="36" t="n"/>
      <c r="L148" s="31" t="n"/>
      <c r="M148" s="27">
        <f>IF(G148="","",IFERROR(INDEX(Config!$B$10:$B$15,MATCH(G148,Config!$A$10:$A$15,0)),0))</f>
        <v/>
      </c>
      <c r="N148" s="26">
        <f>IF(OR(G148="",F148=""),"",F148*M148)</f>
        <v/>
      </c>
      <c r="O148" s="29">
        <f>IF(OR(G148="",G148="Fechada",G148="Perdida",AND(H148="",I148="")),"",Config!$B$5-IF(I148="",H148,I148))</f>
        <v/>
      </c>
      <c r="P148" s="29">
        <f>IF(AND(G148="Fechada",K148&lt;&gt;"",H148&lt;&gt;""),K148-H148,"")</f>
        <v/>
      </c>
      <c r="Q148" s="25">
        <f>IF(G148="","",IF(G148="Fechada","Fechada",IF(G148="Perdida","Perdida",IF(AND(J148&lt;&gt;"",J148&lt;Config!$B$5),"Previsão vencida",IF(AND(O148&lt;&gt;"",O148&gt;Config!$B$7),"Parada","Ativa")))))</f>
        <v/>
      </c>
      <c r="R148" s="37">
        <f>IF(OR(G148="",Q148="Fechada",Q148="Perdida"),0,IF(Q148="Previsão vencida",3,IF(Q148="Parada",2,1))*1E+15+MIN(N(O148),500)*1E+12+MIN(ROUND(N(F148)*100,0),99999999)*1E+4+(304+1-ROW()))</f>
        <v>0</v>
      </c>
    </row>
    <row r="149">
      <c r="A149" s="31" t="n"/>
      <c r="B149" s="34" t="n"/>
      <c r="C149" s="31" t="n"/>
      <c r="D149" s="34" t="n"/>
      <c r="E149" s="34" t="n"/>
      <c r="F149" s="33" t="n"/>
      <c r="G149" s="34" t="n"/>
      <c r="H149" s="36" t="n"/>
      <c r="I149" s="36" t="n"/>
      <c r="J149" s="36" t="n"/>
      <c r="K149" s="36" t="n"/>
      <c r="L149" s="31" t="n"/>
      <c r="M149" s="27">
        <f>IF(G149="","",IFERROR(INDEX(Config!$B$10:$B$15,MATCH(G149,Config!$A$10:$A$15,0)),0))</f>
        <v/>
      </c>
      <c r="N149" s="26">
        <f>IF(OR(G149="",F149=""),"",F149*M149)</f>
        <v/>
      </c>
      <c r="O149" s="29">
        <f>IF(OR(G149="",G149="Fechada",G149="Perdida",AND(H149="",I149="")),"",Config!$B$5-IF(I149="",H149,I149))</f>
        <v/>
      </c>
      <c r="P149" s="29">
        <f>IF(AND(G149="Fechada",K149&lt;&gt;"",H149&lt;&gt;""),K149-H149,"")</f>
        <v/>
      </c>
      <c r="Q149" s="25">
        <f>IF(G149="","",IF(G149="Fechada","Fechada",IF(G149="Perdida","Perdida",IF(AND(J149&lt;&gt;"",J149&lt;Config!$B$5),"Previsão vencida",IF(AND(O149&lt;&gt;"",O149&gt;Config!$B$7),"Parada","Ativa")))))</f>
        <v/>
      </c>
      <c r="R149" s="37">
        <f>IF(OR(G149="",Q149="Fechada",Q149="Perdida"),0,IF(Q149="Previsão vencida",3,IF(Q149="Parada",2,1))*1E+15+MIN(N(O149),500)*1E+12+MIN(ROUND(N(F149)*100,0),99999999)*1E+4+(304+1-ROW()))</f>
        <v>0</v>
      </c>
    </row>
    <row r="150">
      <c r="A150" s="31" t="n"/>
      <c r="B150" s="34" t="n"/>
      <c r="C150" s="31" t="n"/>
      <c r="D150" s="34" t="n"/>
      <c r="E150" s="34" t="n"/>
      <c r="F150" s="33" t="n"/>
      <c r="G150" s="34" t="n"/>
      <c r="H150" s="36" t="n"/>
      <c r="I150" s="36" t="n"/>
      <c r="J150" s="36" t="n"/>
      <c r="K150" s="36" t="n"/>
      <c r="L150" s="31" t="n"/>
      <c r="M150" s="27">
        <f>IF(G150="","",IFERROR(INDEX(Config!$B$10:$B$15,MATCH(G150,Config!$A$10:$A$15,0)),0))</f>
        <v/>
      </c>
      <c r="N150" s="26">
        <f>IF(OR(G150="",F150=""),"",F150*M150)</f>
        <v/>
      </c>
      <c r="O150" s="29">
        <f>IF(OR(G150="",G150="Fechada",G150="Perdida",AND(H150="",I150="")),"",Config!$B$5-IF(I150="",H150,I150))</f>
        <v/>
      </c>
      <c r="P150" s="29">
        <f>IF(AND(G150="Fechada",K150&lt;&gt;"",H150&lt;&gt;""),K150-H150,"")</f>
        <v/>
      </c>
      <c r="Q150" s="25">
        <f>IF(G150="","",IF(G150="Fechada","Fechada",IF(G150="Perdida","Perdida",IF(AND(J150&lt;&gt;"",J150&lt;Config!$B$5),"Previsão vencida",IF(AND(O150&lt;&gt;"",O150&gt;Config!$B$7),"Parada","Ativa")))))</f>
        <v/>
      </c>
      <c r="R150" s="37">
        <f>IF(OR(G150="",Q150="Fechada",Q150="Perdida"),0,IF(Q150="Previsão vencida",3,IF(Q150="Parada",2,1))*1E+15+MIN(N(O150),500)*1E+12+MIN(ROUND(N(F150)*100,0),99999999)*1E+4+(304+1-ROW()))</f>
        <v>0</v>
      </c>
    </row>
    <row r="151">
      <c r="A151" s="31" t="n"/>
      <c r="B151" s="34" t="n"/>
      <c r="C151" s="31" t="n"/>
      <c r="D151" s="34" t="n"/>
      <c r="E151" s="34" t="n"/>
      <c r="F151" s="33" t="n"/>
      <c r="G151" s="34" t="n"/>
      <c r="H151" s="36" t="n"/>
      <c r="I151" s="36" t="n"/>
      <c r="J151" s="36" t="n"/>
      <c r="K151" s="36" t="n"/>
      <c r="L151" s="31" t="n"/>
      <c r="M151" s="27">
        <f>IF(G151="","",IFERROR(INDEX(Config!$B$10:$B$15,MATCH(G151,Config!$A$10:$A$15,0)),0))</f>
        <v/>
      </c>
      <c r="N151" s="26">
        <f>IF(OR(G151="",F151=""),"",F151*M151)</f>
        <v/>
      </c>
      <c r="O151" s="29">
        <f>IF(OR(G151="",G151="Fechada",G151="Perdida",AND(H151="",I151="")),"",Config!$B$5-IF(I151="",H151,I151))</f>
        <v/>
      </c>
      <c r="P151" s="29">
        <f>IF(AND(G151="Fechada",K151&lt;&gt;"",H151&lt;&gt;""),K151-H151,"")</f>
        <v/>
      </c>
      <c r="Q151" s="25">
        <f>IF(G151="","",IF(G151="Fechada","Fechada",IF(G151="Perdida","Perdida",IF(AND(J151&lt;&gt;"",J151&lt;Config!$B$5),"Previsão vencida",IF(AND(O151&lt;&gt;"",O151&gt;Config!$B$7),"Parada","Ativa")))))</f>
        <v/>
      </c>
      <c r="R151" s="37">
        <f>IF(OR(G151="",Q151="Fechada",Q151="Perdida"),0,IF(Q151="Previsão vencida",3,IF(Q151="Parada",2,1))*1E+15+MIN(N(O151),500)*1E+12+MIN(ROUND(N(F151)*100,0),99999999)*1E+4+(304+1-ROW()))</f>
        <v>0</v>
      </c>
    </row>
    <row r="152">
      <c r="A152" s="31" t="n"/>
      <c r="B152" s="34" t="n"/>
      <c r="C152" s="31" t="n"/>
      <c r="D152" s="34" t="n"/>
      <c r="E152" s="34" t="n"/>
      <c r="F152" s="33" t="n"/>
      <c r="G152" s="34" t="n"/>
      <c r="H152" s="36" t="n"/>
      <c r="I152" s="36" t="n"/>
      <c r="J152" s="36" t="n"/>
      <c r="K152" s="36" t="n"/>
      <c r="L152" s="31" t="n"/>
      <c r="M152" s="27">
        <f>IF(G152="","",IFERROR(INDEX(Config!$B$10:$B$15,MATCH(G152,Config!$A$10:$A$15,0)),0))</f>
        <v/>
      </c>
      <c r="N152" s="26">
        <f>IF(OR(G152="",F152=""),"",F152*M152)</f>
        <v/>
      </c>
      <c r="O152" s="29">
        <f>IF(OR(G152="",G152="Fechada",G152="Perdida",AND(H152="",I152="")),"",Config!$B$5-IF(I152="",H152,I152))</f>
        <v/>
      </c>
      <c r="P152" s="29">
        <f>IF(AND(G152="Fechada",K152&lt;&gt;"",H152&lt;&gt;""),K152-H152,"")</f>
        <v/>
      </c>
      <c r="Q152" s="25">
        <f>IF(G152="","",IF(G152="Fechada","Fechada",IF(G152="Perdida","Perdida",IF(AND(J152&lt;&gt;"",J152&lt;Config!$B$5),"Previsão vencida",IF(AND(O152&lt;&gt;"",O152&gt;Config!$B$7),"Parada","Ativa")))))</f>
        <v/>
      </c>
      <c r="R152" s="37">
        <f>IF(OR(G152="",Q152="Fechada",Q152="Perdida"),0,IF(Q152="Previsão vencida",3,IF(Q152="Parada",2,1))*1E+15+MIN(N(O152),500)*1E+12+MIN(ROUND(N(F152)*100,0),99999999)*1E+4+(304+1-ROW()))</f>
        <v>0</v>
      </c>
    </row>
    <row r="153">
      <c r="A153" s="31" t="n"/>
      <c r="B153" s="34" t="n"/>
      <c r="C153" s="31" t="n"/>
      <c r="D153" s="34" t="n"/>
      <c r="E153" s="34" t="n"/>
      <c r="F153" s="33" t="n"/>
      <c r="G153" s="34" t="n"/>
      <c r="H153" s="36" t="n"/>
      <c r="I153" s="36" t="n"/>
      <c r="J153" s="36" t="n"/>
      <c r="K153" s="36" t="n"/>
      <c r="L153" s="31" t="n"/>
      <c r="M153" s="27">
        <f>IF(G153="","",IFERROR(INDEX(Config!$B$10:$B$15,MATCH(G153,Config!$A$10:$A$15,0)),0))</f>
        <v/>
      </c>
      <c r="N153" s="26">
        <f>IF(OR(G153="",F153=""),"",F153*M153)</f>
        <v/>
      </c>
      <c r="O153" s="29">
        <f>IF(OR(G153="",G153="Fechada",G153="Perdida",AND(H153="",I153="")),"",Config!$B$5-IF(I153="",H153,I153))</f>
        <v/>
      </c>
      <c r="P153" s="29">
        <f>IF(AND(G153="Fechada",K153&lt;&gt;"",H153&lt;&gt;""),K153-H153,"")</f>
        <v/>
      </c>
      <c r="Q153" s="25">
        <f>IF(G153="","",IF(G153="Fechada","Fechada",IF(G153="Perdida","Perdida",IF(AND(J153&lt;&gt;"",J153&lt;Config!$B$5),"Previsão vencida",IF(AND(O153&lt;&gt;"",O153&gt;Config!$B$7),"Parada","Ativa")))))</f>
        <v/>
      </c>
      <c r="R153" s="37">
        <f>IF(OR(G153="",Q153="Fechada",Q153="Perdida"),0,IF(Q153="Previsão vencida",3,IF(Q153="Parada",2,1))*1E+15+MIN(N(O153),500)*1E+12+MIN(ROUND(N(F153)*100,0),99999999)*1E+4+(304+1-ROW()))</f>
        <v>0</v>
      </c>
    </row>
    <row r="154">
      <c r="A154" s="31" t="n"/>
      <c r="B154" s="34" t="n"/>
      <c r="C154" s="31" t="n"/>
      <c r="D154" s="34" t="n"/>
      <c r="E154" s="34" t="n"/>
      <c r="F154" s="33" t="n"/>
      <c r="G154" s="34" t="n"/>
      <c r="H154" s="36" t="n"/>
      <c r="I154" s="36" t="n"/>
      <c r="J154" s="36" t="n"/>
      <c r="K154" s="36" t="n"/>
      <c r="L154" s="31" t="n"/>
      <c r="M154" s="27">
        <f>IF(G154="","",IFERROR(INDEX(Config!$B$10:$B$15,MATCH(G154,Config!$A$10:$A$15,0)),0))</f>
        <v/>
      </c>
      <c r="N154" s="26">
        <f>IF(OR(G154="",F154=""),"",F154*M154)</f>
        <v/>
      </c>
      <c r="O154" s="29">
        <f>IF(OR(G154="",G154="Fechada",G154="Perdida",AND(H154="",I154="")),"",Config!$B$5-IF(I154="",H154,I154))</f>
        <v/>
      </c>
      <c r="P154" s="29">
        <f>IF(AND(G154="Fechada",K154&lt;&gt;"",H154&lt;&gt;""),K154-H154,"")</f>
        <v/>
      </c>
      <c r="Q154" s="25">
        <f>IF(G154="","",IF(G154="Fechada","Fechada",IF(G154="Perdida","Perdida",IF(AND(J154&lt;&gt;"",J154&lt;Config!$B$5),"Previsão vencida",IF(AND(O154&lt;&gt;"",O154&gt;Config!$B$7),"Parada","Ativa")))))</f>
        <v/>
      </c>
      <c r="R154" s="37">
        <f>IF(OR(G154="",Q154="Fechada",Q154="Perdida"),0,IF(Q154="Previsão vencida",3,IF(Q154="Parada",2,1))*1E+15+MIN(N(O154),500)*1E+12+MIN(ROUND(N(F154)*100,0),99999999)*1E+4+(304+1-ROW()))</f>
        <v>0</v>
      </c>
    </row>
    <row r="155">
      <c r="A155" s="31" t="n"/>
      <c r="B155" s="34" t="n"/>
      <c r="C155" s="31" t="n"/>
      <c r="D155" s="34" t="n"/>
      <c r="E155" s="34" t="n"/>
      <c r="F155" s="33" t="n"/>
      <c r="G155" s="34" t="n"/>
      <c r="H155" s="36" t="n"/>
      <c r="I155" s="36" t="n"/>
      <c r="J155" s="36" t="n"/>
      <c r="K155" s="36" t="n"/>
      <c r="L155" s="31" t="n"/>
      <c r="M155" s="27">
        <f>IF(G155="","",IFERROR(INDEX(Config!$B$10:$B$15,MATCH(G155,Config!$A$10:$A$15,0)),0))</f>
        <v/>
      </c>
      <c r="N155" s="26">
        <f>IF(OR(G155="",F155=""),"",F155*M155)</f>
        <v/>
      </c>
      <c r="O155" s="29">
        <f>IF(OR(G155="",G155="Fechada",G155="Perdida",AND(H155="",I155="")),"",Config!$B$5-IF(I155="",H155,I155))</f>
        <v/>
      </c>
      <c r="P155" s="29">
        <f>IF(AND(G155="Fechada",K155&lt;&gt;"",H155&lt;&gt;""),K155-H155,"")</f>
        <v/>
      </c>
      <c r="Q155" s="25">
        <f>IF(G155="","",IF(G155="Fechada","Fechada",IF(G155="Perdida","Perdida",IF(AND(J155&lt;&gt;"",J155&lt;Config!$B$5),"Previsão vencida",IF(AND(O155&lt;&gt;"",O155&gt;Config!$B$7),"Parada","Ativa")))))</f>
        <v/>
      </c>
      <c r="R155" s="37">
        <f>IF(OR(G155="",Q155="Fechada",Q155="Perdida"),0,IF(Q155="Previsão vencida",3,IF(Q155="Parada",2,1))*1E+15+MIN(N(O155),500)*1E+12+MIN(ROUND(N(F155)*100,0),99999999)*1E+4+(304+1-ROW()))</f>
        <v>0</v>
      </c>
    </row>
    <row r="156">
      <c r="A156" s="31" t="n"/>
      <c r="B156" s="34" t="n"/>
      <c r="C156" s="31" t="n"/>
      <c r="D156" s="34" t="n"/>
      <c r="E156" s="34" t="n"/>
      <c r="F156" s="33" t="n"/>
      <c r="G156" s="34" t="n"/>
      <c r="H156" s="36" t="n"/>
      <c r="I156" s="36" t="n"/>
      <c r="J156" s="36" t="n"/>
      <c r="K156" s="36" t="n"/>
      <c r="L156" s="31" t="n"/>
      <c r="M156" s="27">
        <f>IF(G156="","",IFERROR(INDEX(Config!$B$10:$B$15,MATCH(G156,Config!$A$10:$A$15,0)),0))</f>
        <v/>
      </c>
      <c r="N156" s="26">
        <f>IF(OR(G156="",F156=""),"",F156*M156)</f>
        <v/>
      </c>
      <c r="O156" s="29">
        <f>IF(OR(G156="",G156="Fechada",G156="Perdida",AND(H156="",I156="")),"",Config!$B$5-IF(I156="",H156,I156))</f>
        <v/>
      </c>
      <c r="P156" s="29">
        <f>IF(AND(G156="Fechada",K156&lt;&gt;"",H156&lt;&gt;""),K156-H156,"")</f>
        <v/>
      </c>
      <c r="Q156" s="25">
        <f>IF(G156="","",IF(G156="Fechada","Fechada",IF(G156="Perdida","Perdida",IF(AND(J156&lt;&gt;"",J156&lt;Config!$B$5),"Previsão vencida",IF(AND(O156&lt;&gt;"",O156&gt;Config!$B$7),"Parada","Ativa")))))</f>
        <v/>
      </c>
      <c r="R156" s="37">
        <f>IF(OR(G156="",Q156="Fechada",Q156="Perdida"),0,IF(Q156="Previsão vencida",3,IF(Q156="Parada",2,1))*1E+15+MIN(N(O156),500)*1E+12+MIN(ROUND(N(F156)*100,0),99999999)*1E+4+(304+1-ROW()))</f>
        <v>0</v>
      </c>
    </row>
    <row r="157">
      <c r="A157" s="31" t="n"/>
      <c r="B157" s="34" t="n"/>
      <c r="C157" s="31" t="n"/>
      <c r="D157" s="34" t="n"/>
      <c r="E157" s="34" t="n"/>
      <c r="F157" s="33" t="n"/>
      <c r="G157" s="34" t="n"/>
      <c r="H157" s="36" t="n"/>
      <c r="I157" s="36" t="n"/>
      <c r="J157" s="36" t="n"/>
      <c r="K157" s="36" t="n"/>
      <c r="L157" s="31" t="n"/>
      <c r="M157" s="27">
        <f>IF(G157="","",IFERROR(INDEX(Config!$B$10:$B$15,MATCH(G157,Config!$A$10:$A$15,0)),0))</f>
        <v/>
      </c>
      <c r="N157" s="26">
        <f>IF(OR(G157="",F157=""),"",F157*M157)</f>
        <v/>
      </c>
      <c r="O157" s="29">
        <f>IF(OR(G157="",G157="Fechada",G157="Perdida",AND(H157="",I157="")),"",Config!$B$5-IF(I157="",H157,I157))</f>
        <v/>
      </c>
      <c r="P157" s="29">
        <f>IF(AND(G157="Fechada",K157&lt;&gt;"",H157&lt;&gt;""),K157-H157,"")</f>
        <v/>
      </c>
      <c r="Q157" s="25">
        <f>IF(G157="","",IF(G157="Fechada","Fechada",IF(G157="Perdida","Perdida",IF(AND(J157&lt;&gt;"",J157&lt;Config!$B$5),"Previsão vencida",IF(AND(O157&lt;&gt;"",O157&gt;Config!$B$7),"Parada","Ativa")))))</f>
        <v/>
      </c>
      <c r="R157" s="37">
        <f>IF(OR(G157="",Q157="Fechada",Q157="Perdida"),0,IF(Q157="Previsão vencida",3,IF(Q157="Parada",2,1))*1E+15+MIN(N(O157),500)*1E+12+MIN(ROUND(N(F157)*100,0),99999999)*1E+4+(304+1-ROW()))</f>
        <v>0</v>
      </c>
    </row>
    <row r="158">
      <c r="A158" s="31" t="n"/>
      <c r="B158" s="34" t="n"/>
      <c r="C158" s="31" t="n"/>
      <c r="D158" s="34" t="n"/>
      <c r="E158" s="34" t="n"/>
      <c r="F158" s="33" t="n"/>
      <c r="G158" s="34" t="n"/>
      <c r="H158" s="36" t="n"/>
      <c r="I158" s="36" t="n"/>
      <c r="J158" s="36" t="n"/>
      <c r="K158" s="36" t="n"/>
      <c r="L158" s="31" t="n"/>
      <c r="M158" s="27">
        <f>IF(G158="","",IFERROR(INDEX(Config!$B$10:$B$15,MATCH(G158,Config!$A$10:$A$15,0)),0))</f>
        <v/>
      </c>
      <c r="N158" s="26">
        <f>IF(OR(G158="",F158=""),"",F158*M158)</f>
        <v/>
      </c>
      <c r="O158" s="29">
        <f>IF(OR(G158="",G158="Fechada",G158="Perdida",AND(H158="",I158="")),"",Config!$B$5-IF(I158="",H158,I158))</f>
        <v/>
      </c>
      <c r="P158" s="29">
        <f>IF(AND(G158="Fechada",K158&lt;&gt;"",H158&lt;&gt;""),K158-H158,"")</f>
        <v/>
      </c>
      <c r="Q158" s="25">
        <f>IF(G158="","",IF(G158="Fechada","Fechada",IF(G158="Perdida","Perdida",IF(AND(J158&lt;&gt;"",J158&lt;Config!$B$5),"Previsão vencida",IF(AND(O158&lt;&gt;"",O158&gt;Config!$B$7),"Parada","Ativa")))))</f>
        <v/>
      </c>
      <c r="R158" s="37">
        <f>IF(OR(G158="",Q158="Fechada",Q158="Perdida"),0,IF(Q158="Previsão vencida",3,IF(Q158="Parada",2,1))*1E+15+MIN(N(O158),500)*1E+12+MIN(ROUND(N(F158)*100,0),99999999)*1E+4+(304+1-ROW()))</f>
        <v>0</v>
      </c>
    </row>
    <row r="159">
      <c r="A159" s="31" t="n"/>
      <c r="B159" s="34" t="n"/>
      <c r="C159" s="31" t="n"/>
      <c r="D159" s="34" t="n"/>
      <c r="E159" s="34" t="n"/>
      <c r="F159" s="33" t="n"/>
      <c r="G159" s="34" t="n"/>
      <c r="H159" s="36" t="n"/>
      <c r="I159" s="36" t="n"/>
      <c r="J159" s="36" t="n"/>
      <c r="K159" s="36" t="n"/>
      <c r="L159" s="31" t="n"/>
      <c r="M159" s="27">
        <f>IF(G159="","",IFERROR(INDEX(Config!$B$10:$B$15,MATCH(G159,Config!$A$10:$A$15,0)),0))</f>
        <v/>
      </c>
      <c r="N159" s="26">
        <f>IF(OR(G159="",F159=""),"",F159*M159)</f>
        <v/>
      </c>
      <c r="O159" s="29">
        <f>IF(OR(G159="",G159="Fechada",G159="Perdida",AND(H159="",I159="")),"",Config!$B$5-IF(I159="",H159,I159))</f>
        <v/>
      </c>
      <c r="P159" s="29">
        <f>IF(AND(G159="Fechada",K159&lt;&gt;"",H159&lt;&gt;""),K159-H159,"")</f>
        <v/>
      </c>
      <c r="Q159" s="25">
        <f>IF(G159="","",IF(G159="Fechada","Fechada",IF(G159="Perdida","Perdida",IF(AND(J159&lt;&gt;"",J159&lt;Config!$B$5),"Previsão vencida",IF(AND(O159&lt;&gt;"",O159&gt;Config!$B$7),"Parada","Ativa")))))</f>
        <v/>
      </c>
      <c r="R159" s="37">
        <f>IF(OR(G159="",Q159="Fechada",Q159="Perdida"),0,IF(Q159="Previsão vencida",3,IF(Q159="Parada",2,1))*1E+15+MIN(N(O159),500)*1E+12+MIN(ROUND(N(F159)*100,0),99999999)*1E+4+(304+1-ROW()))</f>
        <v>0</v>
      </c>
    </row>
    <row r="160">
      <c r="A160" s="31" t="n"/>
      <c r="B160" s="34" t="n"/>
      <c r="C160" s="31" t="n"/>
      <c r="D160" s="34" t="n"/>
      <c r="E160" s="34" t="n"/>
      <c r="F160" s="33" t="n"/>
      <c r="G160" s="34" t="n"/>
      <c r="H160" s="36" t="n"/>
      <c r="I160" s="36" t="n"/>
      <c r="J160" s="36" t="n"/>
      <c r="K160" s="36" t="n"/>
      <c r="L160" s="31" t="n"/>
      <c r="M160" s="27">
        <f>IF(G160="","",IFERROR(INDEX(Config!$B$10:$B$15,MATCH(G160,Config!$A$10:$A$15,0)),0))</f>
        <v/>
      </c>
      <c r="N160" s="26">
        <f>IF(OR(G160="",F160=""),"",F160*M160)</f>
        <v/>
      </c>
      <c r="O160" s="29">
        <f>IF(OR(G160="",G160="Fechada",G160="Perdida",AND(H160="",I160="")),"",Config!$B$5-IF(I160="",H160,I160))</f>
        <v/>
      </c>
      <c r="P160" s="29">
        <f>IF(AND(G160="Fechada",K160&lt;&gt;"",H160&lt;&gt;""),K160-H160,"")</f>
        <v/>
      </c>
      <c r="Q160" s="25">
        <f>IF(G160="","",IF(G160="Fechada","Fechada",IF(G160="Perdida","Perdida",IF(AND(J160&lt;&gt;"",J160&lt;Config!$B$5),"Previsão vencida",IF(AND(O160&lt;&gt;"",O160&gt;Config!$B$7),"Parada","Ativa")))))</f>
        <v/>
      </c>
      <c r="R160" s="37">
        <f>IF(OR(G160="",Q160="Fechada",Q160="Perdida"),0,IF(Q160="Previsão vencida",3,IF(Q160="Parada",2,1))*1E+15+MIN(N(O160),500)*1E+12+MIN(ROUND(N(F160)*100,0),99999999)*1E+4+(304+1-ROW()))</f>
        <v>0</v>
      </c>
    </row>
    <row r="161">
      <c r="A161" s="31" t="n"/>
      <c r="B161" s="34" t="n"/>
      <c r="C161" s="31" t="n"/>
      <c r="D161" s="34" t="n"/>
      <c r="E161" s="34" t="n"/>
      <c r="F161" s="33" t="n"/>
      <c r="G161" s="34" t="n"/>
      <c r="H161" s="36" t="n"/>
      <c r="I161" s="36" t="n"/>
      <c r="J161" s="36" t="n"/>
      <c r="K161" s="36" t="n"/>
      <c r="L161" s="31" t="n"/>
      <c r="M161" s="27">
        <f>IF(G161="","",IFERROR(INDEX(Config!$B$10:$B$15,MATCH(G161,Config!$A$10:$A$15,0)),0))</f>
        <v/>
      </c>
      <c r="N161" s="26">
        <f>IF(OR(G161="",F161=""),"",F161*M161)</f>
        <v/>
      </c>
      <c r="O161" s="29">
        <f>IF(OR(G161="",G161="Fechada",G161="Perdida",AND(H161="",I161="")),"",Config!$B$5-IF(I161="",H161,I161))</f>
        <v/>
      </c>
      <c r="P161" s="29">
        <f>IF(AND(G161="Fechada",K161&lt;&gt;"",H161&lt;&gt;""),K161-H161,"")</f>
        <v/>
      </c>
      <c r="Q161" s="25">
        <f>IF(G161="","",IF(G161="Fechada","Fechada",IF(G161="Perdida","Perdida",IF(AND(J161&lt;&gt;"",J161&lt;Config!$B$5),"Previsão vencida",IF(AND(O161&lt;&gt;"",O161&gt;Config!$B$7),"Parada","Ativa")))))</f>
        <v/>
      </c>
      <c r="R161" s="37">
        <f>IF(OR(G161="",Q161="Fechada",Q161="Perdida"),0,IF(Q161="Previsão vencida",3,IF(Q161="Parada",2,1))*1E+15+MIN(N(O161),500)*1E+12+MIN(ROUND(N(F161)*100,0),99999999)*1E+4+(304+1-ROW()))</f>
        <v>0</v>
      </c>
    </row>
    <row r="162">
      <c r="A162" s="31" t="n"/>
      <c r="B162" s="34" t="n"/>
      <c r="C162" s="31" t="n"/>
      <c r="D162" s="34" t="n"/>
      <c r="E162" s="34" t="n"/>
      <c r="F162" s="33" t="n"/>
      <c r="G162" s="34" t="n"/>
      <c r="H162" s="36" t="n"/>
      <c r="I162" s="36" t="n"/>
      <c r="J162" s="36" t="n"/>
      <c r="K162" s="36" t="n"/>
      <c r="L162" s="31" t="n"/>
      <c r="M162" s="27">
        <f>IF(G162="","",IFERROR(INDEX(Config!$B$10:$B$15,MATCH(G162,Config!$A$10:$A$15,0)),0))</f>
        <v/>
      </c>
      <c r="N162" s="26">
        <f>IF(OR(G162="",F162=""),"",F162*M162)</f>
        <v/>
      </c>
      <c r="O162" s="29">
        <f>IF(OR(G162="",G162="Fechada",G162="Perdida",AND(H162="",I162="")),"",Config!$B$5-IF(I162="",H162,I162))</f>
        <v/>
      </c>
      <c r="P162" s="29">
        <f>IF(AND(G162="Fechada",K162&lt;&gt;"",H162&lt;&gt;""),K162-H162,"")</f>
        <v/>
      </c>
      <c r="Q162" s="25">
        <f>IF(G162="","",IF(G162="Fechada","Fechada",IF(G162="Perdida","Perdida",IF(AND(J162&lt;&gt;"",J162&lt;Config!$B$5),"Previsão vencida",IF(AND(O162&lt;&gt;"",O162&gt;Config!$B$7),"Parada","Ativa")))))</f>
        <v/>
      </c>
      <c r="R162" s="37">
        <f>IF(OR(G162="",Q162="Fechada",Q162="Perdida"),0,IF(Q162="Previsão vencida",3,IF(Q162="Parada",2,1))*1E+15+MIN(N(O162),500)*1E+12+MIN(ROUND(N(F162)*100,0),99999999)*1E+4+(304+1-ROW()))</f>
        <v>0</v>
      </c>
    </row>
    <row r="163">
      <c r="A163" s="31" t="n"/>
      <c r="B163" s="34" t="n"/>
      <c r="C163" s="31" t="n"/>
      <c r="D163" s="34" t="n"/>
      <c r="E163" s="34" t="n"/>
      <c r="F163" s="33" t="n"/>
      <c r="G163" s="34" t="n"/>
      <c r="H163" s="36" t="n"/>
      <c r="I163" s="36" t="n"/>
      <c r="J163" s="36" t="n"/>
      <c r="K163" s="36" t="n"/>
      <c r="L163" s="31" t="n"/>
      <c r="M163" s="27">
        <f>IF(G163="","",IFERROR(INDEX(Config!$B$10:$B$15,MATCH(G163,Config!$A$10:$A$15,0)),0))</f>
        <v/>
      </c>
      <c r="N163" s="26">
        <f>IF(OR(G163="",F163=""),"",F163*M163)</f>
        <v/>
      </c>
      <c r="O163" s="29">
        <f>IF(OR(G163="",G163="Fechada",G163="Perdida",AND(H163="",I163="")),"",Config!$B$5-IF(I163="",H163,I163))</f>
        <v/>
      </c>
      <c r="P163" s="29">
        <f>IF(AND(G163="Fechada",K163&lt;&gt;"",H163&lt;&gt;""),K163-H163,"")</f>
        <v/>
      </c>
      <c r="Q163" s="25">
        <f>IF(G163="","",IF(G163="Fechada","Fechada",IF(G163="Perdida","Perdida",IF(AND(J163&lt;&gt;"",J163&lt;Config!$B$5),"Previsão vencida",IF(AND(O163&lt;&gt;"",O163&gt;Config!$B$7),"Parada","Ativa")))))</f>
        <v/>
      </c>
      <c r="R163" s="37">
        <f>IF(OR(G163="",Q163="Fechada",Q163="Perdida"),0,IF(Q163="Previsão vencida",3,IF(Q163="Parada",2,1))*1E+15+MIN(N(O163),500)*1E+12+MIN(ROUND(N(F163)*100,0),99999999)*1E+4+(304+1-ROW()))</f>
        <v>0</v>
      </c>
    </row>
    <row r="164">
      <c r="A164" s="31" t="n"/>
      <c r="B164" s="34" t="n"/>
      <c r="C164" s="31" t="n"/>
      <c r="D164" s="34" t="n"/>
      <c r="E164" s="34" t="n"/>
      <c r="F164" s="33" t="n"/>
      <c r="G164" s="34" t="n"/>
      <c r="H164" s="36" t="n"/>
      <c r="I164" s="36" t="n"/>
      <c r="J164" s="36" t="n"/>
      <c r="K164" s="36" t="n"/>
      <c r="L164" s="31" t="n"/>
      <c r="M164" s="27">
        <f>IF(G164="","",IFERROR(INDEX(Config!$B$10:$B$15,MATCH(G164,Config!$A$10:$A$15,0)),0))</f>
        <v/>
      </c>
      <c r="N164" s="26">
        <f>IF(OR(G164="",F164=""),"",F164*M164)</f>
        <v/>
      </c>
      <c r="O164" s="29">
        <f>IF(OR(G164="",G164="Fechada",G164="Perdida",AND(H164="",I164="")),"",Config!$B$5-IF(I164="",H164,I164))</f>
        <v/>
      </c>
      <c r="P164" s="29">
        <f>IF(AND(G164="Fechada",K164&lt;&gt;"",H164&lt;&gt;""),K164-H164,"")</f>
        <v/>
      </c>
      <c r="Q164" s="25">
        <f>IF(G164="","",IF(G164="Fechada","Fechada",IF(G164="Perdida","Perdida",IF(AND(J164&lt;&gt;"",J164&lt;Config!$B$5),"Previsão vencida",IF(AND(O164&lt;&gt;"",O164&gt;Config!$B$7),"Parada","Ativa")))))</f>
        <v/>
      </c>
      <c r="R164" s="37">
        <f>IF(OR(G164="",Q164="Fechada",Q164="Perdida"),0,IF(Q164="Previsão vencida",3,IF(Q164="Parada",2,1))*1E+15+MIN(N(O164),500)*1E+12+MIN(ROUND(N(F164)*100,0),99999999)*1E+4+(304+1-ROW()))</f>
        <v>0</v>
      </c>
    </row>
    <row r="165">
      <c r="A165" s="31" t="n"/>
      <c r="B165" s="34" t="n"/>
      <c r="C165" s="31" t="n"/>
      <c r="D165" s="34" t="n"/>
      <c r="E165" s="34" t="n"/>
      <c r="F165" s="33" t="n"/>
      <c r="G165" s="34" t="n"/>
      <c r="H165" s="36" t="n"/>
      <c r="I165" s="36" t="n"/>
      <c r="J165" s="36" t="n"/>
      <c r="K165" s="36" t="n"/>
      <c r="L165" s="31" t="n"/>
      <c r="M165" s="27">
        <f>IF(G165="","",IFERROR(INDEX(Config!$B$10:$B$15,MATCH(G165,Config!$A$10:$A$15,0)),0))</f>
        <v/>
      </c>
      <c r="N165" s="26">
        <f>IF(OR(G165="",F165=""),"",F165*M165)</f>
        <v/>
      </c>
      <c r="O165" s="29">
        <f>IF(OR(G165="",G165="Fechada",G165="Perdida",AND(H165="",I165="")),"",Config!$B$5-IF(I165="",H165,I165))</f>
        <v/>
      </c>
      <c r="P165" s="29">
        <f>IF(AND(G165="Fechada",K165&lt;&gt;"",H165&lt;&gt;""),K165-H165,"")</f>
        <v/>
      </c>
      <c r="Q165" s="25">
        <f>IF(G165="","",IF(G165="Fechada","Fechada",IF(G165="Perdida","Perdida",IF(AND(J165&lt;&gt;"",J165&lt;Config!$B$5),"Previsão vencida",IF(AND(O165&lt;&gt;"",O165&gt;Config!$B$7),"Parada","Ativa")))))</f>
        <v/>
      </c>
      <c r="R165" s="37">
        <f>IF(OR(G165="",Q165="Fechada",Q165="Perdida"),0,IF(Q165="Previsão vencida",3,IF(Q165="Parada",2,1))*1E+15+MIN(N(O165),500)*1E+12+MIN(ROUND(N(F165)*100,0),99999999)*1E+4+(304+1-ROW()))</f>
        <v>0</v>
      </c>
    </row>
    <row r="166">
      <c r="A166" s="31" t="n"/>
      <c r="B166" s="34" t="n"/>
      <c r="C166" s="31" t="n"/>
      <c r="D166" s="34" t="n"/>
      <c r="E166" s="34" t="n"/>
      <c r="F166" s="33" t="n"/>
      <c r="G166" s="34" t="n"/>
      <c r="H166" s="36" t="n"/>
      <c r="I166" s="36" t="n"/>
      <c r="J166" s="36" t="n"/>
      <c r="K166" s="36" t="n"/>
      <c r="L166" s="31" t="n"/>
      <c r="M166" s="27">
        <f>IF(G166="","",IFERROR(INDEX(Config!$B$10:$B$15,MATCH(G166,Config!$A$10:$A$15,0)),0))</f>
        <v/>
      </c>
      <c r="N166" s="26">
        <f>IF(OR(G166="",F166=""),"",F166*M166)</f>
        <v/>
      </c>
      <c r="O166" s="29">
        <f>IF(OR(G166="",G166="Fechada",G166="Perdida",AND(H166="",I166="")),"",Config!$B$5-IF(I166="",H166,I166))</f>
        <v/>
      </c>
      <c r="P166" s="29">
        <f>IF(AND(G166="Fechada",K166&lt;&gt;"",H166&lt;&gt;""),K166-H166,"")</f>
        <v/>
      </c>
      <c r="Q166" s="25">
        <f>IF(G166="","",IF(G166="Fechada","Fechada",IF(G166="Perdida","Perdida",IF(AND(J166&lt;&gt;"",J166&lt;Config!$B$5),"Previsão vencida",IF(AND(O166&lt;&gt;"",O166&gt;Config!$B$7),"Parada","Ativa")))))</f>
        <v/>
      </c>
      <c r="R166" s="37">
        <f>IF(OR(G166="",Q166="Fechada",Q166="Perdida"),0,IF(Q166="Previsão vencida",3,IF(Q166="Parada",2,1))*1E+15+MIN(N(O166),500)*1E+12+MIN(ROUND(N(F166)*100,0),99999999)*1E+4+(304+1-ROW()))</f>
        <v>0</v>
      </c>
    </row>
    <row r="167">
      <c r="A167" s="31" t="n"/>
      <c r="B167" s="34" t="n"/>
      <c r="C167" s="31" t="n"/>
      <c r="D167" s="34" t="n"/>
      <c r="E167" s="34" t="n"/>
      <c r="F167" s="33" t="n"/>
      <c r="G167" s="34" t="n"/>
      <c r="H167" s="36" t="n"/>
      <c r="I167" s="36" t="n"/>
      <c r="J167" s="36" t="n"/>
      <c r="K167" s="36" t="n"/>
      <c r="L167" s="31" t="n"/>
      <c r="M167" s="27">
        <f>IF(G167="","",IFERROR(INDEX(Config!$B$10:$B$15,MATCH(G167,Config!$A$10:$A$15,0)),0))</f>
        <v/>
      </c>
      <c r="N167" s="26">
        <f>IF(OR(G167="",F167=""),"",F167*M167)</f>
        <v/>
      </c>
      <c r="O167" s="29">
        <f>IF(OR(G167="",G167="Fechada",G167="Perdida",AND(H167="",I167="")),"",Config!$B$5-IF(I167="",H167,I167))</f>
        <v/>
      </c>
      <c r="P167" s="29">
        <f>IF(AND(G167="Fechada",K167&lt;&gt;"",H167&lt;&gt;""),K167-H167,"")</f>
        <v/>
      </c>
      <c r="Q167" s="25">
        <f>IF(G167="","",IF(G167="Fechada","Fechada",IF(G167="Perdida","Perdida",IF(AND(J167&lt;&gt;"",J167&lt;Config!$B$5),"Previsão vencida",IF(AND(O167&lt;&gt;"",O167&gt;Config!$B$7),"Parada","Ativa")))))</f>
        <v/>
      </c>
      <c r="R167" s="37">
        <f>IF(OR(G167="",Q167="Fechada",Q167="Perdida"),0,IF(Q167="Previsão vencida",3,IF(Q167="Parada",2,1))*1E+15+MIN(N(O167),500)*1E+12+MIN(ROUND(N(F167)*100,0),99999999)*1E+4+(304+1-ROW()))</f>
        <v>0</v>
      </c>
    </row>
    <row r="168">
      <c r="A168" s="31" t="n"/>
      <c r="B168" s="34" t="n"/>
      <c r="C168" s="31" t="n"/>
      <c r="D168" s="34" t="n"/>
      <c r="E168" s="34" t="n"/>
      <c r="F168" s="33" t="n"/>
      <c r="G168" s="34" t="n"/>
      <c r="H168" s="36" t="n"/>
      <c r="I168" s="36" t="n"/>
      <c r="J168" s="36" t="n"/>
      <c r="K168" s="36" t="n"/>
      <c r="L168" s="31" t="n"/>
      <c r="M168" s="27">
        <f>IF(G168="","",IFERROR(INDEX(Config!$B$10:$B$15,MATCH(G168,Config!$A$10:$A$15,0)),0))</f>
        <v/>
      </c>
      <c r="N168" s="26">
        <f>IF(OR(G168="",F168=""),"",F168*M168)</f>
        <v/>
      </c>
      <c r="O168" s="29">
        <f>IF(OR(G168="",G168="Fechada",G168="Perdida",AND(H168="",I168="")),"",Config!$B$5-IF(I168="",H168,I168))</f>
        <v/>
      </c>
      <c r="P168" s="29">
        <f>IF(AND(G168="Fechada",K168&lt;&gt;"",H168&lt;&gt;""),K168-H168,"")</f>
        <v/>
      </c>
      <c r="Q168" s="25">
        <f>IF(G168="","",IF(G168="Fechada","Fechada",IF(G168="Perdida","Perdida",IF(AND(J168&lt;&gt;"",J168&lt;Config!$B$5),"Previsão vencida",IF(AND(O168&lt;&gt;"",O168&gt;Config!$B$7),"Parada","Ativa")))))</f>
        <v/>
      </c>
      <c r="R168" s="37">
        <f>IF(OR(G168="",Q168="Fechada",Q168="Perdida"),0,IF(Q168="Previsão vencida",3,IF(Q168="Parada",2,1))*1E+15+MIN(N(O168),500)*1E+12+MIN(ROUND(N(F168)*100,0),99999999)*1E+4+(304+1-ROW()))</f>
        <v>0</v>
      </c>
    </row>
    <row r="169">
      <c r="A169" s="31" t="n"/>
      <c r="B169" s="34" t="n"/>
      <c r="C169" s="31" t="n"/>
      <c r="D169" s="34" t="n"/>
      <c r="E169" s="34" t="n"/>
      <c r="F169" s="33" t="n"/>
      <c r="G169" s="34" t="n"/>
      <c r="H169" s="36" t="n"/>
      <c r="I169" s="36" t="n"/>
      <c r="J169" s="36" t="n"/>
      <c r="K169" s="36" t="n"/>
      <c r="L169" s="31" t="n"/>
      <c r="M169" s="27">
        <f>IF(G169="","",IFERROR(INDEX(Config!$B$10:$B$15,MATCH(G169,Config!$A$10:$A$15,0)),0))</f>
        <v/>
      </c>
      <c r="N169" s="26">
        <f>IF(OR(G169="",F169=""),"",F169*M169)</f>
        <v/>
      </c>
      <c r="O169" s="29">
        <f>IF(OR(G169="",G169="Fechada",G169="Perdida",AND(H169="",I169="")),"",Config!$B$5-IF(I169="",H169,I169))</f>
        <v/>
      </c>
      <c r="P169" s="29">
        <f>IF(AND(G169="Fechada",K169&lt;&gt;"",H169&lt;&gt;""),K169-H169,"")</f>
        <v/>
      </c>
      <c r="Q169" s="25">
        <f>IF(G169="","",IF(G169="Fechada","Fechada",IF(G169="Perdida","Perdida",IF(AND(J169&lt;&gt;"",J169&lt;Config!$B$5),"Previsão vencida",IF(AND(O169&lt;&gt;"",O169&gt;Config!$B$7),"Parada","Ativa")))))</f>
        <v/>
      </c>
      <c r="R169" s="37">
        <f>IF(OR(G169="",Q169="Fechada",Q169="Perdida"),0,IF(Q169="Previsão vencida",3,IF(Q169="Parada",2,1))*1E+15+MIN(N(O169),500)*1E+12+MIN(ROUND(N(F169)*100,0),99999999)*1E+4+(304+1-ROW()))</f>
        <v>0</v>
      </c>
    </row>
    <row r="170">
      <c r="A170" s="31" t="n"/>
      <c r="B170" s="34" t="n"/>
      <c r="C170" s="31" t="n"/>
      <c r="D170" s="34" t="n"/>
      <c r="E170" s="34" t="n"/>
      <c r="F170" s="33" t="n"/>
      <c r="G170" s="34" t="n"/>
      <c r="H170" s="36" t="n"/>
      <c r="I170" s="36" t="n"/>
      <c r="J170" s="36" t="n"/>
      <c r="K170" s="36" t="n"/>
      <c r="L170" s="31" t="n"/>
      <c r="M170" s="27">
        <f>IF(G170="","",IFERROR(INDEX(Config!$B$10:$B$15,MATCH(G170,Config!$A$10:$A$15,0)),0))</f>
        <v/>
      </c>
      <c r="N170" s="26">
        <f>IF(OR(G170="",F170=""),"",F170*M170)</f>
        <v/>
      </c>
      <c r="O170" s="29">
        <f>IF(OR(G170="",G170="Fechada",G170="Perdida",AND(H170="",I170="")),"",Config!$B$5-IF(I170="",H170,I170))</f>
        <v/>
      </c>
      <c r="P170" s="29">
        <f>IF(AND(G170="Fechada",K170&lt;&gt;"",H170&lt;&gt;""),K170-H170,"")</f>
        <v/>
      </c>
      <c r="Q170" s="25">
        <f>IF(G170="","",IF(G170="Fechada","Fechada",IF(G170="Perdida","Perdida",IF(AND(J170&lt;&gt;"",J170&lt;Config!$B$5),"Previsão vencida",IF(AND(O170&lt;&gt;"",O170&gt;Config!$B$7),"Parada","Ativa")))))</f>
        <v/>
      </c>
      <c r="R170" s="37">
        <f>IF(OR(G170="",Q170="Fechada",Q170="Perdida"),0,IF(Q170="Previsão vencida",3,IF(Q170="Parada",2,1))*1E+15+MIN(N(O170),500)*1E+12+MIN(ROUND(N(F170)*100,0),99999999)*1E+4+(304+1-ROW()))</f>
        <v>0</v>
      </c>
    </row>
    <row r="171">
      <c r="A171" s="31" t="n"/>
      <c r="B171" s="34" t="n"/>
      <c r="C171" s="31" t="n"/>
      <c r="D171" s="34" t="n"/>
      <c r="E171" s="34" t="n"/>
      <c r="F171" s="33" t="n"/>
      <c r="G171" s="34" t="n"/>
      <c r="H171" s="36" t="n"/>
      <c r="I171" s="36" t="n"/>
      <c r="J171" s="36" t="n"/>
      <c r="K171" s="36" t="n"/>
      <c r="L171" s="31" t="n"/>
      <c r="M171" s="27">
        <f>IF(G171="","",IFERROR(INDEX(Config!$B$10:$B$15,MATCH(G171,Config!$A$10:$A$15,0)),0))</f>
        <v/>
      </c>
      <c r="N171" s="26">
        <f>IF(OR(G171="",F171=""),"",F171*M171)</f>
        <v/>
      </c>
      <c r="O171" s="29">
        <f>IF(OR(G171="",G171="Fechada",G171="Perdida",AND(H171="",I171="")),"",Config!$B$5-IF(I171="",H171,I171))</f>
        <v/>
      </c>
      <c r="P171" s="29">
        <f>IF(AND(G171="Fechada",K171&lt;&gt;"",H171&lt;&gt;""),K171-H171,"")</f>
        <v/>
      </c>
      <c r="Q171" s="25">
        <f>IF(G171="","",IF(G171="Fechada","Fechada",IF(G171="Perdida","Perdida",IF(AND(J171&lt;&gt;"",J171&lt;Config!$B$5),"Previsão vencida",IF(AND(O171&lt;&gt;"",O171&gt;Config!$B$7),"Parada","Ativa")))))</f>
        <v/>
      </c>
      <c r="R171" s="37">
        <f>IF(OR(G171="",Q171="Fechada",Q171="Perdida"),0,IF(Q171="Previsão vencida",3,IF(Q171="Parada",2,1))*1E+15+MIN(N(O171),500)*1E+12+MIN(ROUND(N(F171)*100,0),99999999)*1E+4+(304+1-ROW()))</f>
        <v>0</v>
      </c>
    </row>
    <row r="172">
      <c r="A172" s="31" t="n"/>
      <c r="B172" s="34" t="n"/>
      <c r="C172" s="31" t="n"/>
      <c r="D172" s="34" t="n"/>
      <c r="E172" s="34" t="n"/>
      <c r="F172" s="33" t="n"/>
      <c r="G172" s="34" t="n"/>
      <c r="H172" s="36" t="n"/>
      <c r="I172" s="36" t="n"/>
      <c r="J172" s="36" t="n"/>
      <c r="K172" s="36" t="n"/>
      <c r="L172" s="31" t="n"/>
      <c r="M172" s="27">
        <f>IF(G172="","",IFERROR(INDEX(Config!$B$10:$B$15,MATCH(G172,Config!$A$10:$A$15,0)),0))</f>
        <v/>
      </c>
      <c r="N172" s="26">
        <f>IF(OR(G172="",F172=""),"",F172*M172)</f>
        <v/>
      </c>
      <c r="O172" s="29">
        <f>IF(OR(G172="",G172="Fechada",G172="Perdida",AND(H172="",I172="")),"",Config!$B$5-IF(I172="",H172,I172))</f>
        <v/>
      </c>
      <c r="P172" s="29">
        <f>IF(AND(G172="Fechada",K172&lt;&gt;"",H172&lt;&gt;""),K172-H172,"")</f>
        <v/>
      </c>
      <c r="Q172" s="25">
        <f>IF(G172="","",IF(G172="Fechada","Fechada",IF(G172="Perdida","Perdida",IF(AND(J172&lt;&gt;"",J172&lt;Config!$B$5),"Previsão vencida",IF(AND(O172&lt;&gt;"",O172&gt;Config!$B$7),"Parada","Ativa")))))</f>
        <v/>
      </c>
      <c r="R172" s="37">
        <f>IF(OR(G172="",Q172="Fechada",Q172="Perdida"),0,IF(Q172="Previsão vencida",3,IF(Q172="Parada",2,1))*1E+15+MIN(N(O172),500)*1E+12+MIN(ROUND(N(F172)*100,0),99999999)*1E+4+(304+1-ROW()))</f>
        <v>0</v>
      </c>
    </row>
    <row r="173">
      <c r="A173" s="31" t="n"/>
      <c r="B173" s="34" t="n"/>
      <c r="C173" s="31" t="n"/>
      <c r="D173" s="34" t="n"/>
      <c r="E173" s="34" t="n"/>
      <c r="F173" s="33" t="n"/>
      <c r="G173" s="34" t="n"/>
      <c r="H173" s="36" t="n"/>
      <c r="I173" s="36" t="n"/>
      <c r="J173" s="36" t="n"/>
      <c r="K173" s="36" t="n"/>
      <c r="L173" s="31" t="n"/>
      <c r="M173" s="27">
        <f>IF(G173="","",IFERROR(INDEX(Config!$B$10:$B$15,MATCH(G173,Config!$A$10:$A$15,0)),0))</f>
        <v/>
      </c>
      <c r="N173" s="26">
        <f>IF(OR(G173="",F173=""),"",F173*M173)</f>
        <v/>
      </c>
      <c r="O173" s="29">
        <f>IF(OR(G173="",G173="Fechada",G173="Perdida",AND(H173="",I173="")),"",Config!$B$5-IF(I173="",H173,I173))</f>
        <v/>
      </c>
      <c r="P173" s="29">
        <f>IF(AND(G173="Fechada",K173&lt;&gt;"",H173&lt;&gt;""),K173-H173,"")</f>
        <v/>
      </c>
      <c r="Q173" s="25">
        <f>IF(G173="","",IF(G173="Fechada","Fechada",IF(G173="Perdida","Perdida",IF(AND(J173&lt;&gt;"",J173&lt;Config!$B$5),"Previsão vencida",IF(AND(O173&lt;&gt;"",O173&gt;Config!$B$7),"Parada","Ativa")))))</f>
        <v/>
      </c>
      <c r="R173" s="37">
        <f>IF(OR(G173="",Q173="Fechada",Q173="Perdida"),0,IF(Q173="Previsão vencida",3,IF(Q173="Parada",2,1))*1E+15+MIN(N(O173),500)*1E+12+MIN(ROUND(N(F173)*100,0),99999999)*1E+4+(304+1-ROW()))</f>
        <v>0</v>
      </c>
    </row>
    <row r="174">
      <c r="A174" s="31" t="n"/>
      <c r="B174" s="34" t="n"/>
      <c r="C174" s="31" t="n"/>
      <c r="D174" s="34" t="n"/>
      <c r="E174" s="34" t="n"/>
      <c r="F174" s="33" t="n"/>
      <c r="G174" s="34" t="n"/>
      <c r="H174" s="36" t="n"/>
      <c r="I174" s="36" t="n"/>
      <c r="J174" s="36" t="n"/>
      <c r="K174" s="36" t="n"/>
      <c r="L174" s="31" t="n"/>
      <c r="M174" s="27">
        <f>IF(G174="","",IFERROR(INDEX(Config!$B$10:$B$15,MATCH(G174,Config!$A$10:$A$15,0)),0))</f>
        <v/>
      </c>
      <c r="N174" s="26">
        <f>IF(OR(G174="",F174=""),"",F174*M174)</f>
        <v/>
      </c>
      <c r="O174" s="29">
        <f>IF(OR(G174="",G174="Fechada",G174="Perdida",AND(H174="",I174="")),"",Config!$B$5-IF(I174="",H174,I174))</f>
        <v/>
      </c>
      <c r="P174" s="29">
        <f>IF(AND(G174="Fechada",K174&lt;&gt;"",H174&lt;&gt;""),K174-H174,"")</f>
        <v/>
      </c>
      <c r="Q174" s="25">
        <f>IF(G174="","",IF(G174="Fechada","Fechada",IF(G174="Perdida","Perdida",IF(AND(J174&lt;&gt;"",J174&lt;Config!$B$5),"Previsão vencida",IF(AND(O174&lt;&gt;"",O174&gt;Config!$B$7),"Parada","Ativa")))))</f>
        <v/>
      </c>
      <c r="R174" s="37">
        <f>IF(OR(G174="",Q174="Fechada",Q174="Perdida"),0,IF(Q174="Previsão vencida",3,IF(Q174="Parada",2,1))*1E+15+MIN(N(O174),500)*1E+12+MIN(ROUND(N(F174)*100,0),99999999)*1E+4+(304+1-ROW()))</f>
        <v>0</v>
      </c>
    </row>
    <row r="175">
      <c r="A175" s="31" t="n"/>
      <c r="B175" s="34" t="n"/>
      <c r="C175" s="31" t="n"/>
      <c r="D175" s="34" t="n"/>
      <c r="E175" s="34" t="n"/>
      <c r="F175" s="33" t="n"/>
      <c r="G175" s="34" t="n"/>
      <c r="H175" s="36" t="n"/>
      <c r="I175" s="36" t="n"/>
      <c r="J175" s="36" t="n"/>
      <c r="K175" s="36" t="n"/>
      <c r="L175" s="31" t="n"/>
      <c r="M175" s="27">
        <f>IF(G175="","",IFERROR(INDEX(Config!$B$10:$B$15,MATCH(G175,Config!$A$10:$A$15,0)),0))</f>
        <v/>
      </c>
      <c r="N175" s="26">
        <f>IF(OR(G175="",F175=""),"",F175*M175)</f>
        <v/>
      </c>
      <c r="O175" s="29">
        <f>IF(OR(G175="",G175="Fechada",G175="Perdida",AND(H175="",I175="")),"",Config!$B$5-IF(I175="",H175,I175))</f>
        <v/>
      </c>
      <c r="P175" s="29">
        <f>IF(AND(G175="Fechada",K175&lt;&gt;"",H175&lt;&gt;""),K175-H175,"")</f>
        <v/>
      </c>
      <c r="Q175" s="25">
        <f>IF(G175="","",IF(G175="Fechada","Fechada",IF(G175="Perdida","Perdida",IF(AND(J175&lt;&gt;"",J175&lt;Config!$B$5),"Previsão vencida",IF(AND(O175&lt;&gt;"",O175&gt;Config!$B$7),"Parada","Ativa")))))</f>
        <v/>
      </c>
      <c r="R175" s="37">
        <f>IF(OR(G175="",Q175="Fechada",Q175="Perdida"),0,IF(Q175="Previsão vencida",3,IF(Q175="Parada",2,1))*1E+15+MIN(N(O175),500)*1E+12+MIN(ROUND(N(F175)*100,0),99999999)*1E+4+(304+1-ROW()))</f>
        <v>0</v>
      </c>
    </row>
    <row r="176">
      <c r="A176" s="31" t="n"/>
      <c r="B176" s="34" t="n"/>
      <c r="C176" s="31" t="n"/>
      <c r="D176" s="34" t="n"/>
      <c r="E176" s="34" t="n"/>
      <c r="F176" s="33" t="n"/>
      <c r="G176" s="34" t="n"/>
      <c r="H176" s="36" t="n"/>
      <c r="I176" s="36" t="n"/>
      <c r="J176" s="36" t="n"/>
      <c r="K176" s="36" t="n"/>
      <c r="L176" s="31" t="n"/>
      <c r="M176" s="27">
        <f>IF(G176="","",IFERROR(INDEX(Config!$B$10:$B$15,MATCH(G176,Config!$A$10:$A$15,0)),0))</f>
        <v/>
      </c>
      <c r="N176" s="26">
        <f>IF(OR(G176="",F176=""),"",F176*M176)</f>
        <v/>
      </c>
      <c r="O176" s="29">
        <f>IF(OR(G176="",G176="Fechada",G176="Perdida",AND(H176="",I176="")),"",Config!$B$5-IF(I176="",H176,I176))</f>
        <v/>
      </c>
      <c r="P176" s="29">
        <f>IF(AND(G176="Fechada",K176&lt;&gt;"",H176&lt;&gt;""),K176-H176,"")</f>
        <v/>
      </c>
      <c r="Q176" s="25">
        <f>IF(G176="","",IF(G176="Fechada","Fechada",IF(G176="Perdida","Perdida",IF(AND(J176&lt;&gt;"",J176&lt;Config!$B$5),"Previsão vencida",IF(AND(O176&lt;&gt;"",O176&gt;Config!$B$7),"Parada","Ativa")))))</f>
        <v/>
      </c>
      <c r="R176" s="37">
        <f>IF(OR(G176="",Q176="Fechada",Q176="Perdida"),0,IF(Q176="Previsão vencida",3,IF(Q176="Parada",2,1))*1E+15+MIN(N(O176),500)*1E+12+MIN(ROUND(N(F176)*100,0),99999999)*1E+4+(304+1-ROW()))</f>
        <v>0</v>
      </c>
    </row>
    <row r="177">
      <c r="A177" s="31" t="n"/>
      <c r="B177" s="34" t="n"/>
      <c r="C177" s="31" t="n"/>
      <c r="D177" s="34" t="n"/>
      <c r="E177" s="34" t="n"/>
      <c r="F177" s="33" t="n"/>
      <c r="G177" s="34" t="n"/>
      <c r="H177" s="36" t="n"/>
      <c r="I177" s="36" t="n"/>
      <c r="J177" s="36" t="n"/>
      <c r="K177" s="36" t="n"/>
      <c r="L177" s="31" t="n"/>
      <c r="M177" s="27">
        <f>IF(G177="","",IFERROR(INDEX(Config!$B$10:$B$15,MATCH(G177,Config!$A$10:$A$15,0)),0))</f>
        <v/>
      </c>
      <c r="N177" s="26">
        <f>IF(OR(G177="",F177=""),"",F177*M177)</f>
        <v/>
      </c>
      <c r="O177" s="29">
        <f>IF(OR(G177="",G177="Fechada",G177="Perdida",AND(H177="",I177="")),"",Config!$B$5-IF(I177="",H177,I177))</f>
        <v/>
      </c>
      <c r="P177" s="29">
        <f>IF(AND(G177="Fechada",K177&lt;&gt;"",H177&lt;&gt;""),K177-H177,"")</f>
        <v/>
      </c>
      <c r="Q177" s="25">
        <f>IF(G177="","",IF(G177="Fechada","Fechada",IF(G177="Perdida","Perdida",IF(AND(J177&lt;&gt;"",J177&lt;Config!$B$5),"Previsão vencida",IF(AND(O177&lt;&gt;"",O177&gt;Config!$B$7),"Parada","Ativa")))))</f>
        <v/>
      </c>
      <c r="R177" s="37">
        <f>IF(OR(G177="",Q177="Fechada",Q177="Perdida"),0,IF(Q177="Previsão vencida",3,IF(Q177="Parada",2,1))*1E+15+MIN(N(O177),500)*1E+12+MIN(ROUND(N(F177)*100,0),99999999)*1E+4+(304+1-ROW()))</f>
        <v>0</v>
      </c>
    </row>
    <row r="178">
      <c r="A178" s="31" t="n"/>
      <c r="B178" s="34" t="n"/>
      <c r="C178" s="31" t="n"/>
      <c r="D178" s="34" t="n"/>
      <c r="E178" s="34" t="n"/>
      <c r="F178" s="33" t="n"/>
      <c r="G178" s="34" t="n"/>
      <c r="H178" s="36" t="n"/>
      <c r="I178" s="36" t="n"/>
      <c r="J178" s="36" t="n"/>
      <c r="K178" s="36" t="n"/>
      <c r="L178" s="31" t="n"/>
      <c r="M178" s="27">
        <f>IF(G178="","",IFERROR(INDEX(Config!$B$10:$B$15,MATCH(G178,Config!$A$10:$A$15,0)),0))</f>
        <v/>
      </c>
      <c r="N178" s="26">
        <f>IF(OR(G178="",F178=""),"",F178*M178)</f>
        <v/>
      </c>
      <c r="O178" s="29">
        <f>IF(OR(G178="",G178="Fechada",G178="Perdida",AND(H178="",I178="")),"",Config!$B$5-IF(I178="",H178,I178))</f>
        <v/>
      </c>
      <c r="P178" s="29">
        <f>IF(AND(G178="Fechada",K178&lt;&gt;"",H178&lt;&gt;""),K178-H178,"")</f>
        <v/>
      </c>
      <c r="Q178" s="25">
        <f>IF(G178="","",IF(G178="Fechada","Fechada",IF(G178="Perdida","Perdida",IF(AND(J178&lt;&gt;"",J178&lt;Config!$B$5),"Previsão vencida",IF(AND(O178&lt;&gt;"",O178&gt;Config!$B$7),"Parada","Ativa")))))</f>
        <v/>
      </c>
      <c r="R178" s="37">
        <f>IF(OR(G178="",Q178="Fechada",Q178="Perdida"),0,IF(Q178="Previsão vencida",3,IF(Q178="Parada",2,1))*1E+15+MIN(N(O178),500)*1E+12+MIN(ROUND(N(F178)*100,0),99999999)*1E+4+(304+1-ROW()))</f>
        <v>0</v>
      </c>
    </row>
    <row r="179">
      <c r="A179" s="31" t="n"/>
      <c r="B179" s="34" t="n"/>
      <c r="C179" s="31" t="n"/>
      <c r="D179" s="34" t="n"/>
      <c r="E179" s="34" t="n"/>
      <c r="F179" s="33" t="n"/>
      <c r="G179" s="34" t="n"/>
      <c r="H179" s="36" t="n"/>
      <c r="I179" s="36" t="n"/>
      <c r="J179" s="36" t="n"/>
      <c r="K179" s="36" t="n"/>
      <c r="L179" s="31" t="n"/>
      <c r="M179" s="27">
        <f>IF(G179="","",IFERROR(INDEX(Config!$B$10:$B$15,MATCH(G179,Config!$A$10:$A$15,0)),0))</f>
        <v/>
      </c>
      <c r="N179" s="26">
        <f>IF(OR(G179="",F179=""),"",F179*M179)</f>
        <v/>
      </c>
      <c r="O179" s="29">
        <f>IF(OR(G179="",G179="Fechada",G179="Perdida",AND(H179="",I179="")),"",Config!$B$5-IF(I179="",H179,I179))</f>
        <v/>
      </c>
      <c r="P179" s="29">
        <f>IF(AND(G179="Fechada",K179&lt;&gt;"",H179&lt;&gt;""),K179-H179,"")</f>
        <v/>
      </c>
      <c r="Q179" s="25">
        <f>IF(G179="","",IF(G179="Fechada","Fechada",IF(G179="Perdida","Perdida",IF(AND(J179&lt;&gt;"",J179&lt;Config!$B$5),"Previsão vencida",IF(AND(O179&lt;&gt;"",O179&gt;Config!$B$7),"Parada","Ativa")))))</f>
        <v/>
      </c>
      <c r="R179" s="37">
        <f>IF(OR(G179="",Q179="Fechada",Q179="Perdida"),0,IF(Q179="Previsão vencida",3,IF(Q179="Parada",2,1))*1E+15+MIN(N(O179),500)*1E+12+MIN(ROUND(N(F179)*100,0),99999999)*1E+4+(304+1-ROW()))</f>
        <v>0</v>
      </c>
    </row>
    <row r="180">
      <c r="A180" s="31" t="n"/>
      <c r="B180" s="34" t="n"/>
      <c r="C180" s="31" t="n"/>
      <c r="D180" s="34" t="n"/>
      <c r="E180" s="34" t="n"/>
      <c r="F180" s="33" t="n"/>
      <c r="G180" s="34" t="n"/>
      <c r="H180" s="36" t="n"/>
      <c r="I180" s="36" t="n"/>
      <c r="J180" s="36" t="n"/>
      <c r="K180" s="36" t="n"/>
      <c r="L180" s="31" t="n"/>
      <c r="M180" s="27">
        <f>IF(G180="","",IFERROR(INDEX(Config!$B$10:$B$15,MATCH(G180,Config!$A$10:$A$15,0)),0))</f>
        <v/>
      </c>
      <c r="N180" s="26">
        <f>IF(OR(G180="",F180=""),"",F180*M180)</f>
        <v/>
      </c>
      <c r="O180" s="29">
        <f>IF(OR(G180="",G180="Fechada",G180="Perdida",AND(H180="",I180="")),"",Config!$B$5-IF(I180="",H180,I180))</f>
        <v/>
      </c>
      <c r="P180" s="29">
        <f>IF(AND(G180="Fechada",K180&lt;&gt;"",H180&lt;&gt;""),K180-H180,"")</f>
        <v/>
      </c>
      <c r="Q180" s="25">
        <f>IF(G180="","",IF(G180="Fechada","Fechada",IF(G180="Perdida","Perdida",IF(AND(J180&lt;&gt;"",J180&lt;Config!$B$5),"Previsão vencida",IF(AND(O180&lt;&gt;"",O180&gt;Config!$B$7),"Parada","Ativa")))))</f>
        <v/>
      </c>
      <c r="R180" s="37">
        <f>IF(OR(G180="",Q180="Fechada",Q180="Perdida"),0,IF(Q180="Previsão vencida",3,IF(Q180="Parada",2,1))*1E+15+MIN(N(O180),500)*1E+12+MIN(ROUND(N(F180)*100,0),99999999)*1E+4+(304+1-ROW()))</f>
        <v>0</v>
      </c>
    </row>
    <row r="181">
      <c r="A181" s="31" t="n"/>
      <c r="B181" s="34" t="n"/>
      <c r="C181" s="31" t="n"/>
      <c r="D181" s="34" t="n"/>
      <c r="E181" s="34" t="n"/>
      <c r="F181" s="33" t="n"/>
      <c r="G181" s="34" t="n"/>
      <c r="H181" s="36" t="n"/>
      <c r="I181" s="36" t="n"/>
      <c r="J181" s="36" t="n"/>
      <c r="K181" s="36" t="n"/>
      <c r="L181" s="31" t="n"/>
      <c r="M181" s="27">
        <f>IF(G181="","",IFERROR(INDEX(Config!$B$10:$B$15,MATCH(G181,Config!$A$10:$A$15,0)),0))</f>
        <v/>
      </c>
      <c r="N181" s="26">
        <f>IF(OR(G181="",F181=""),"",F181*M181)</f>
        <v/>
      </c>
      <c r="O181" s="29">
        <f>IF(OR(G181="",G181="Fechada",G181="Perdida",AND(H181="",I181="")),"",Config!$B$5-IF(I181="",H181,I181))</f>
        <v/>
      </c>
      <c r="P181" s="29">
        <f>IF(AND(G181="Fechada",K181&lt;&gt;"",H181&lt;&gt;""),K181-H181,"")</f>
        <v/>
      </c>
      <c r="Q181" s="25">
        <f>IF(G181="","",IF(G181="Fechada","Fechada",IF(G181="Perdida","Perdida",IF(AND(J181&lt;&gt;"",J181&lt;Config!$B$5),"Previsão vencida",IF(AND(O181&lt;&gt;"",O181&gt;Config!$B$7),"Parada","Ativa")))))</f>
        <v/>
      </c>
      <c r="R181" s="37">
        <f>IF(OR(G181="",Q181="Fechada",Q181="Perdida"),0,IF(Q181="Previsão vencida",3,IF(Q181="Parada",2,1))*1E+15+MIN(N(O181),500)*1E+12+MIN(ROUND(N(F181)*100,0),99999999)*1E+4+(304+1-ROW()))</f>
        <v>0</v>
      </c>
    </row>
    <row r="182">
      <c r="A182" s="31" t="n"/>
      <c r="B182" s="34" t="n"/>
      <c r="C182" s="31" t="n"/>
      <c r="D182" s="34" t="n"/>
      <c r="E182" s="34" t="n"/>
      <c r="F182" s="33" t="n"/>
      <c r="G182" s="34" t="n"/>
      <c r="H182" s="36" t="n"/>
      <c r="I182" s="36" t="n"/>
      <c r="J182" s="36" t="n"/>
      <c r="K182" s="36" t="n"/>
      <c r="L182" s="31" t="n"/>
      <c r="M182" s="27">
        <f>IF(G182="","",IFERROR(INDEX(Config!$B$10:$B$15,MATCH(G182,Config!$A$10:$A$15,0)),0))</f>
        <v/>
      </c>
      <c r="N182" s="26">
        <f>IF(OR(G182="",F182=""),"",F182*M182)</f>
        <v/>
      </c>
      <c r="O182" s="29">
        <f>IF(OR(G182="",G182="Fechada",G182="Perdida",AND(H182="",I182="")),"",Config!$B$5-IF(I182="",H182,I182))</f>
        <v/>
      </c>
      <c r="P182" s="29">
        <f>IF(AND(G182="Fechada",K182&lt;&gt;"",H182&lt;&gt;""),K182-H182,"")</f>
        <v/>
      </c>
      <c r="Q182" s="25">
        <f>IF(G182="","",IF(G182="Fechada","Fechada",IF(G182="Perdida","Perdida",IF(AND(J182&lt;&gt;"",J182&lt;Config!$B$5),"Previsão vencida",IF(AND(O182&lt;&gt;"",O182&gt;Config!$B$7),"Parada","Ativa")))))</f>
        <v/>
      </c>
      <c r="R182" s="37">
        <f>IF(OR(G182="",Q182="Fechada",Q182="Perdida"),0,IF(Q182="Previsão vencida",3,IF(Q182="Parada",2,1))*1E+15+MIN(N(O182),500)*1E+12+MIN(ROUND(N(F182)*100,0),99999999)*1E+4+(304+1-ROW()))</f>
        <v>0</v>
      </c>
    </row>
    <row r="183">
      <c r="A183" s="31" t="n"/>
      <c r="B183" s="34" t="n"/>
      <c r="C183" s="31" t="n"/>
      <c r="D183" s="34" t="n"/>
      <c r="E183" s="34" t="n"/>
      <c r="F183" s="33" t="n"/>
      <c r="G183" s="34" t="n"/>
      <c r="H183" s="36" t="n"/>
      <c r="I183" s="36" t="n"/>
      <c r="J183" s="36" t="n"/>
      <c r="K183" s="36" t="n"/>
      <c r="L183" s="31" t="n"/>
      <c r="M183" s="27">
        <f>IF(G183="","",IFERROR(INDEX(Config!$B$10:$B$15,MATCH(G183,Config!$A$10:$A$15,0)),0))</f>
        <v/>
      </c>
      <c r="N183" s="26">
        <f>IF(OR(G183="",F183=""),"",F183*M183)</f>
        <v/>
      </c>
      <c r="O183" s="29">
        <f>IF(OR(G183="",G183="Fechada",G183="Perdida",AND(H183="",I183="")),"",Config!$B$5-IF(I183="",H183,I183))</f>
        <v/>
      </c>
      <c r="P183" s="29">
        <f>IF(AND(G183="Fechada",K183&lt;&gt;"",H183&lt;&gt;""),K183-H183,"")</f>
        <v/>
      </c>
      <c r="Q183" s="25">
        <f>IF(G183="","",IF(G183="Fechada","Fechada",IF(G183="Perdida","Perdida",IF(AND(J183&lt;&gt;"",J183&lt;Config!$B$5),"Previsão vencida",IF(AND(O183&lt;&gt;"",O183&gt;Config!$B$7),"Parada","Ativa")))))</f>
        <v/>
      </c>
      <c r="R183" s="37">
        <f>IF(OR(G183="",Q183="Fechada",Q183="Perdida"),0,IF(Q183="Previsão vencida",3,IF(Q183="Parada",2,1))*1E+15+MIN(N(O183),500)*1E+12+MIN(ROUND(N(F183)*100,0),99999999)*1E+4+(304+1-ROW()))</f>
        <v>0</v>
      </c>
    </row>
    <row r="184">
      <c r="A184" s="31" t="n"/>
      <c r="B184" s="34" t="n"/>
      <c r="C184" s="31" t="n"/>
      <c r="D184" s="34" t="n"/>
      <c r="E184" s="34" t="n"/>
      <c r="F184" s="33" t="n"/>
      <c r="G184" s="34" t="n"/>
      <c r="H184" s="36" t="n"/>
      <c r="I184" s="36" t="n"/>
      <c r="J184" s="36" t="n"/>
      <c r="K184" s="36" t="n"/>
      <c r="L184" s="31" t="n"/>
      <c r="M184" s="27">
        <f>IF(G184="","",IFERROR(INDEX(Config!$B$10:$B$15,MATCH(G184,Config!$A$10:$A$15,0)),0))</f>
        <v/>
      </c>
      <c r="N184" s="26">
        <f>IF(OR(G184="",F184=""),"",F184*M184)</f>
        <v/>
      </c>
      <c r="O184" s="29">
        <f>IF(OR(G184="",G184="Fechada",G184="Perdida",AND(H184="",I184="")),"",Config!$B$5-IF(I184="",H184,I184))</f>
        <v/>
      </c>
      <c r="P184" s="29">
        <f>IF(AND(G184="Fechada",K184&lt;&gt;"",H184&lt;&gt;""),K184-H184,"")</f>
        <v/>
      </c>
      <c r="Q184" s="25">
        <f>IF(G184="","",IF(G184="Fechada","Fechada",IF(G184="Perdida","Perdida",IF(AND(J184&lt;&gt;"",J184&lt;Config!$B$5),"Previsão vencida",IF(AND(O184&lt;&gt;"",O184&gt;Config!$B$7),"Parada","Ativa")))))</f>
        <v/>
      </c>
      <c r="R184" s="37">
        <f>IF(OR(G184="",Q184="Fechada",Q184="Perdida"),0,IF(Q184="Previsão vencida",3,IF(Q184="Parada",2,1))*1E+15+MIN(N(O184),500)*1E+12+MIN(ROUND(N(F184)*100,0),99999999)*1E+4+(304+1-ROW()))</f>
        <v>0</v>
      </c>
    </row>
    <row r="185">
      <c r="A185" s="31" t="n"/>
      <c r="B185" s="34" t="n"/>
      <c r="C185" s="31" t="n"/>
      <c r="D185" s="34" t="n"/>
      <c r="E185" s="34" t="n"/>
      <c r="F185" s="33" t="n"/>
      <c r="G185" s="34" t="n"/>
      <c r="H185" s="36" t="n"/>
      <c r="I185" s="36" t="n"/>
      <c r="J185" s="36" t="n"/>
      <c r="K185" s="36" t="n"/>
      <c r="L185" s="31" t="n"/>
      <c r="M185" s="27">
        <f>IF(G185="","",IFERROR(INDEX(Config!$B$10:$B$15,MATCH(G185,Config!$A$10:$A$15,0)),0))</f>
        <v/>
      </c>
      <c r="N185" s="26">
        <f>IF(OR(G185="",F185=""),"",F185*M185)</f>
        <v/>
      </c>
      <c r="O185" s="29">
        <f>IF(OR(G185="",G185="Fechada",G185="Perdida",AND(H185="",I185="")),"",Config!$B$5-IF(I185="",H185,I185))</f>
        <v/>
      </c>
      <c r="P185" s="29">
        <f>IF(AND(G185="Fechada",K185&lt;&gt;"",H185&lt;&gt;""),K185-H185,"")</f>
        <v/>
      </c>
      <c r="Q185" s="25">
        <f>IF(G185="","",IF(G185="Fechada","Fechada",IF(G185="Perdida","Perdida",IF(AND(J185&lt;&gt;"",J185&lt;Config!$B$5),"Previsão vencida",IF(AND(O185&lt;&gt;"",O185&gt;Config!$B$7),"Parada","Ativa")))))</f>
        <v/>
      </c>
      <c r="R185" s="37">
        <f>IF(OR(G185="",Q185="Fechada",Q185="Perdida"),0,IF(Q185="Previsão vencida",3,IF(Q185="Parada",2,1))*1E+15+MIN(N(O185),500)*1E+12+MIN(ROUND(N(F185)*100,0),99999999)*1E+4+(304+1-ROW()))</f>
        <v>0</v>
      </c>
    </row>
    <row r="186">
      <c r="A186" s="31" t="n"/>
      <c r="B186" s="34" t="n"/>
      <c r="C186" s="31" t="n"/>
      <c r="D186" s="34" t="n"/>
      <c r="E186" s="34" t="n"/>
      <c r="F186" s="33" t="n"/>
      <c r="G186" s="34" t="n"/>
      <c r="H186" s="36" t="n"/>
      <c r="I186" s="36" t="n"/>
      <c r="J186" s="36" t="n"/>
      <c r="K186" s="36" t="n"/>
      <c r="L186" s="31" t="n"/>
      <c r="M186" s="27">
        <f>IF(G186="","",IFERROR(INDEX(Config!$B$10:$B$15,MATCH(G186,Config!$A$10:$A$15,0)),0))</f>
        <v/>
      </c>
      <c r="N186" s="26">
        <f>IF(OR(G186="",F186=""),"",F186*M186)</f>
        <v/>
      </c>
      <c r="O186" s="29">
        <f>IF(OR(G186="",G186="Fechada",G186="Perdida",AND(H186="",I186="")),"",Config!$B$5-IF(I186="",H186,I186))</f>
        <v/>
      </c>
      <c r="P186" s="29">
        <f>IF(AND(G186="Fechada",K186&lt;&gt;"",H186&lt;&gt;""),K186-H186,"")</f>
        <v/>
      </c>
      <c r="Q186" s="25">
        <f>IF(G186="","",IF(G186="Fechada","Fechada",IF(G186="Perdida","Perdida",IF(AND(J186&lt;&gt;"",J186&lt;Config!$B$5),"Previsão vencida",IF(AND(O186&lt;&gt;"",O186&gt;Config!$B$7),"Parada","Ativa")))))</f>
        <v/>
      </c>
      <c r="R186" s="37">
        <f>IF(OR(G186="",Q186="Fechada",Q186="Perdida"),0,IF(Q186="Previsão vencida",3,IF(Q186="Parada",2,1))*1E+15+MIN(N(O186),500)*1E+12+MIN(ROUND(N(F186)*100,0),99999999)*1E+4+(304+1-ROW()))</f>
        <v>0</v>
      </c>
    </row>
    <row r="187">
      <c r="A187" s="31" t="n"/>
      <c r="B187" s="34" t="n"/>
      <c r="C187" s="31" t="n"/>
      <c r="D187" s="34" t="n"/>
      <c r="E187" s="34" t="n"/>
      <c r="F187" s="33" t="n"/>
      <c r="G187" s="34" t="n"/>
      <c r="H187" s="36" t="n"/>
      <c r="I187" s="36" t="n"/>
      <c r="J187" s="36" t="n"/>
      <c r="K187" s="36" t="n"/>
      <c r="L187" s="31" t="n"/>
      <c r="M187" s="27">
        <f>IF(G187="","",IFERROR(INDEX(Config!$B$10:$B$15,MATCH(G187,Config!$A$10:$A$15,0)),0))</f>
        <v/>
      </c>
      <c r="N187" s="26">
        <f>IF(OR(G187="",F187=""),"",F187*M187)</f>
        <v/>
      </c>
      <c r="O187" s="29">
        <f>IF(OR(G187="",G187="Fechada",G187="Perdida",AND(H187="",I187="")),"",Config!$B$5-IF(I187="",H187,I187))</f>
        <v/>
      </c>
      <c r="P187" s="29">
        <f>IF(AND(G187="Fechada",K187&lt;&gt;"",H187&lt;&gt;""),K187-H187,"")</f>
        <v/>
      </c>
      <c r="Q187" s="25">
        <f>IF(G187="","",IF(G187="Fechada","Fechada",IF(G187="Perdida","Perdida",IF(AND(J187&lt;&gt;"",J187&lt;Config!$B$5),"Previsão vencida",IF(AND(O187&lt;&gt;"",O187&gt;Config!$B$7),"Parada","Ativa")))))</f>
        <v/>
      </c>
      <c r="R187" s="37">
        <f>IF(OR(G187="",Q187="Fechada",Q187="Perdida"),0,IF(Q187="Previsão vencida",3,IF(Q187="Parada",2,1))*1E+15+MIN(N(O187),500)*1E+12+MIN(ROUND(N(F187)*100,0),99999999)*1E+4+(304+1-ROW()))</f>
        <v>0</v>
      </c>
    </row>
    <row r="188">
      <c r="A188" s="31" t="n"/>
      <c r="B188" s="34" t="n"/>
      <c r="C188" s="31" t="n"/>
      <c r="D188" s="34" t="n"/>
      <c r="E188" s="34" t="n"/>
      <c r="F188" s="33" t="n"/>
      <c r="G188" s="34" t="n"/>
      <c r="H188" s="36" t="n"/>
      <c r="I188" s="36" t="n"/>
      <c r="J188" s="36" t="n"/>
      <c r="K188" s="36" t="n"/>
      <c r="L188" s="31" t="n"/>
      <c r="M188" s="27">
        <f>IF(G188="","",IFERROR(INDEX(Config!$B$10:$B$15,MATCH(G188,Config!$A$10:$A$15,0)),0))</f>
        <v/>
      </c>
      <c r="N188" s="26">
        <f>IF(OR(G188="",F188=""),"",F188*M188)</f>
        <v/>
      </c>
      <c r="O188" s="29">
        <f>IF(OR(G188="",G188="Fechada",G188="Perdida",AND(H188="",I188="")),"",Config!$B$5-IF(I188="",H188,I188))</f>
        <v/>
      </c>
      <c r="P188" s="29">
        <f>IF(AND(G188="Fechada",K188&lt;&gt;"",H188&lt;&gt;""),K188-H188,"")</f>
        <v/>
      </c>
      <c r="Q188" s="25">
        <f>IF(G188="","",IF(G188="Fechada","Fechada",IF(G188="Perdida","Perdida",IF(AND(J188&lt;&gt;"",J188&lt;Config!$B$5),"Previsão vencida",IF(AND(O188&lt;&gt;"",O188&gt;Config!$B$7),"Parada","Ativa")))))</f>
        <v/>
      </c>
      <c r="R188" s="37">
        <f>IF(OR(G188="",Q188="Fechada",Q188="Perdida"),0,IF(Q188="Previsão vencida",3,IF(Q188="Parada",2,1))*1E+15+MIN(N(O188),500)*1E+12+MIN(ROUND(N(F188)*100,0),99999999)*1E+4+(304+1-ROW()))</f>
        <v>0</v>
      </c>
    </row>
    <row r="189">
      <c r="A189" s="31" t="n"/>
      <c r="B189" s="34" t="n"/>
      <c r="C189" s="31" t="n"/>
      <c r="D189" s="34" t="n"/>
      <c r="E189" s="34" t="n"/>
      <c r="F189" s="33" t="n"/>
      <c r="G189" s="34" t="n"/>
      <c r="H189" s="36" t="n"/>
      <c r="I189" s="36" t="n"/>
      <c r="J189" s="36" t="n"/>
      <c r="K189" s="36" t="n"/>
      <c r="L189" s="31" t="n"/>
      <c r="M189" s="27">
        <f>IF(G189="","",IFERROR(INDEX(Config!$B$10:$B$15,MATCH(G189,Config!$A$10:$A$15,0)),0))</f>
        <v/>
      </c>
      <c r="N189" s="26">
        <f>IF(OR(G189="",F189=""),"",F189*M189)</f>
        <v/>
      </c>
      <c r="O189" s="29">
        <f>IF(OR(G189="",G189="Fechada",G189="Perdida",AND(H189="",I189="")),"",Config!$B$5-IF(I189="",H189,I189))</f>
        <v/>
      </c>
      <c r="P189" s="29">
        <f>IF(AND(G189="Fechada",K189&lt;&gt;"",H189&lt;&gt;""),K189-H189,"")</f>
        <v/>
      </c>
      <c r="Q189" s="25">
        <f>IF(G189="","",IF(G189="Fechada","Fechada",IF(G189="Perdida","Perdida",IF(AND(J189&lt;&gt;"",J189&lt;Config!$B$5),"Previsão vencida",IF(AND(O189&lt;&gt;"",O189&gt;Config!$B$7),"Parada","Ativa")))))</f>
        <v/>
      </c>
      <c r="R189" s="37">
        <f>IF(OR(G189="",Q189="Fechada",Q189="Perdida"),0,IF(Q189="Previsão vencida",3,IF(Q189="Parada",2,1))*1E+15+MIN(N(O189),500)*1E+12+MIN(ROUND(N(F189)*100,0),99999999)*1E+4+(304+1-ROW()))</f>
        <v>0</v>
      </c>
    </row>
    <row r="190">
      <c r="A190" s="31" t="n"/>
      <c r="B190" s="34" t="n"/>
      <c r="C190" s="31" t="n"/>
      <c r="D190" s="34" t="n"/>
      <c r="E190" s="34" t="n"/>
      <c r="F190" s="33" t="n"/>
      <c r="G190" s="34" t="n"/>
      <c r="H190" s="36" t="n"/>
      <c r="I190" s="36" t="n"/>
      <c r="J190" s="36" t="n"/>
      <c r="K190" s="36" t="n"/>
      <c r="L190" s="31" t="n"/>
      <c r="M190" s="27">
        <f>IF(G190="","",IFERROR(INDEX(Config!$B$10:$B$15,MATCH(G190,Config!$A$10:$A$15,0)),0))</f>
        <v/>
      </c>
      <c r="N190" s="26">
        <f>IF(OR(G190="",F190=""),"",F190*M190)</f>
        <v/>
      </c>
      <c r="O190" s="29">
        <f>IF(OR(G190="",G190="Fechada",G190="Perdida",AND(H190="",I190="")),"",Config!$B$5-IF(I190="",H190,I190))</f>
        <v/>
      </c>
      <c r="P190" s="29">
        <f>IF(AND(G190="Fechada",K190&lt;&gt;"",H190&lt;&gt;""),K190-H190,"")</f>
        <v/>
      </c>
      <c r="Q190" s="25">
        <f>IF(G190="","",IF(G190="Fechada","Fechada",IF(G190="Perdida","Perdida",IF(AND(J190&lt;&gt;"",J190&lt;Config!$B$5),"Previsão vencida",IF(AND(O190&lt;&gt;"",O190&gt;Config!$B$7),"Parada","Ativa")))))</f>
        <v/>
      </c>
      <c r="R190" s="37">
        <f>IF(OR(G190="",Q190="Fechada",Q190="Perdida"),0,IF(Q190="Previsão vencida",3,IF(Q190="Parada",2,1))*1E+15+MIN(N(O190),500)*1E+12+MIN(ROUND(N(F190)*100,0),99999999)*1E+4+(304+1-ROW()))</f>
        <v>0</v>
      </c>
    </row>
    <row r="191">
      <c r="A191" s="31" t="n"/>
      <c r="B191" s="34" t="n"/>
      <c r="C191" s="31" t="n"/>
      <c r="D191" s="34" t="n"/>
      <c r="E191" s="34" t="n"/>
      <c r="F191" s="33" t="n"/>
      <c r="G191" s="34" t="n"/>
      <c r="H191" s="36" t="n"/>
      <c r="I191" s="36" t="n"/>
      <c r="J191" s="36" t="n"/>
      <c r="K191" s="36" t="n"/>
      <c r="L191" s="31" t="n"/>
      <c r="M191" s="27">
        <f>IF(G191="","",IFERROR(INDEX(Config!$B$10:$B$15,MATCH(G191,Config!$A$10:$A$15,0)),0))</f>
        <v/>
      </c>
      <c r="N191" s="26">
        <f>IF(OR(G191="",F191=""),"",F191*M191)</f>
        <v/>
      </c>
      <c r="O191" s="29">
        <f>IF(OR(G191="",G191="Fechada",G191="Perdida",AND(H191="",I191="")),"",Config!$B$5-IF(I191="",H191,I191))</f>
        <v/>
      </c>
      <c r="P191" s="29">
        <f>IF(AND(G191="Fechada",K191&lt;&gt;"",H191&lt;&gt;""),K191-H191,"")</f>
        <v/>
      </c>
      <c r="Q191" s="25">
        <f>IF(G191="","",IF(G191="Fechada","Fechada",IF(G191="Perdida","Perdida",IF(AND(J191&lt;&gt;"",J191&lt;Config!$B$5),"Previsão vencida",IF(AND(O191&lt;&gt;"",O191&gt;Config!$B$7),"Parada","Ativa")))))</f>
        <v/>
      </c>
      <c r="R191" s="37">
        <f>IF(OR(G191="",Q191="Fechada",Q191="Perdida"),0,IF(Q191="Previsão vencida",3,IF(Q191="Parada",2,1))*1E+15+MIN(N(O191),500)*1E+12+MIN(ROUND(N(F191)*100,0),99999999)*1E+4+(304+1-ROW()))</f>
        <v>0</v>
      </c>
    </row>
    <row r="192">
      <c r="A192" s="31" t="n"/>
      <c r="B192" s="34" t="n"/>
      <c r="C192" s="31" t="n"/>
      <c r="D192" s="34" t="n"/>
      <c r="E192" s="34" t="n"/>
      <c r="F192" s="33" t="n"/>
      <c r="G192" s="34" t="n"/>
      <c r="H192" s="36" t="n"/>
      <c r="I192" s="36" t="n"/>
      <c r="J192" s="36" t="n"/>
      <c r="K192" s="36" t="n"/>
      <c r="L192" s="31" t="n"/>
      <c r="M192" s="27">
        <f>IF(G192="","",IFERROR(INDEX(Config!$B$10:$B$15,MATCH(G192,Config!$A$10:$A$15,0)),0))</f>
        <v/>
      </c>
      <c r="N192" s="26">
        <f>IF(OR(G192="",F192=""),"",F192*M192)</f>
        <v/>
      </c>
      <c r="O192" s="29">
        <f>IF(OR(G192="",G192="Fechada",G192="Perdida",AND(H192="",I192="")),"",Config!$B$5-IF(I192="",H192,I192))</f>
        <v/>
      </c>
      <c r="P192" s="29">
        <f>IF(AND(G192="Fechada",K192&lt;&gt;"",H192&lt;&gt;""),K192-H192,"")</f>
        <v/>
      </c>
      <c r="Q192" s="25">
        <f>IF(G192="","",IF(G192="Fechada","Fechada",IF(G192="Perdida","Perdida",IF(AND(J192&lt;&gt;"",J192&lt;Config!$B$5),"Previsão vencida",IF(AND(O192&lt;&gt;"",O192&gt;Config!$B$7),"Parada","Ativa")))))</f>
        <v/>
      </c>
      <c r="R192" s="37">
        <f>IF(OR(G192="",Q192="Fechada",Q192="Perdida"),0,IF(Q192="Previsão vencida",3,IF(Q192="Parada",2,1))*1E+15+MIN(N(O192),500)*1E+12+MIN(ROUND(N(F192)*100,0),99999999)*1E+4+(304+1-ROW()))</f>
        <v>0</v>
      </c>
    </row>
    <row r="193">
      <c r="A193" s="31" t="n"/>
      <c r="B193" s="34" t="n"/>
      <c r="C193" s="31" t="n"/>
      <c r="D193" s="34" t="n"/>
      <c r="E193" s="34" t="n"/>
      <c r="F193" s="33" t="n"/>
      <c r="G193" s="34" t="n"/>
      <c r="H193" s="36" t="n"/>
      <c r="I193" s="36" t="n"/>
      <c r="J193" s="36" t="n"/>
      <c r="K193" s="36" t="n"/>
      <c r="L193" s="31" t="n"/>
      <c r="M193" s="27">
        <f>IF(G193="","",IFERROR(INDEX(Config!$B$10:$B$15,MATCH(G193,Config!$A$10:$A$15,0)),0))</f>
        <v/>
      </c>
      <c r="N193" s="26">
        <f>IF(OR(G193="",F193=""),"",F193*M193)</f>
        <v/>
      </c>
      <c r="O193" s="29">
        <f>IF(OR(G193="",G193="Fechada",G193="Perdida",AND(H193="",I193="")),"",Config!$B$5-IF(I193="",H193,I193))</f>
        <v/>
      </c>
      <c r="P193" s="29">
        <f>IF(AND(G193="Fechada",K193&lt;&gt;"",H193&lt;&gt;""),K193-H193,"")</f>
        <v/>
      </c>
      <c r="Q193" s="25">
        <f>IF(G193="","",IF(G193="Fechada","Fechada",IF(G193="Perdida","Perdida",IF(AND(J193&lt;&gt;"",J193&lt;Config!$B$5),"Previsão vencida",IF(AND(O193&lt;&gt;"",O193&gt;Config!$B$7),"Parada","Ativa")))))</f>
        <v/>
      </c>
      <c r="R193" s="37">
        <f>IF(OR(G193="",Q193="Fechada",Q193="Perdida"),0,IF(Q193="Previsão vencida",3,IF(Q193="Parada",2,1))*1E+15+MIN(N(O193),500)*1E+12+MIN(ROUND(N(F193)*100,0),99999999)*1E+4+(304+1-ROW()))</f>
        <v>0</v>
      </c>
    </row>
    <row r="194">
      <c r="A194" s="31" t="n"/>
      <c r="B194" s="34" t="n"/>
      <c r="C194" s="31" t="n"/>
      <c r="D194" s="34" t="n"/>
      <c r="E194" s="34" t="n"/>
      <c r="F194" s="33" t="n"/>
      <c r="G194" s="34" t="n"/>
      <c r="H194" s="36" t="n"/>
      <c r="I194" s="36" t="n"/>
      <c r="J194" s="36" t="n"/>
      <c r="K194" s="36" t="n"/>
      <c r="L194" s="31" t="n"/>
      <c r="M194" s="27">
        <f>IF(G194="","",IFERROR(INDEX(Config!$B$10:$B$15,MATCH(G194,Config!$A$10:$A$15,0)),0))</f>
        <v/>
      </c>
      <c r="N194" s="26">
        <f>IF(OR(G194="",F194=""),"",F194*M194)</f>
        <v/>
      </c>
      <c r="O194" s="29">
        <f>IF(OR(G194="",G194="Fechada",G194="Perdida",AND(H194="",I194="")),"",Config!$B$5-IF(I194="",H194,I194))</f>
        <v/>
      </c>
      <c r="P194" s="29">
        <f>IF(AND(G194="Fechada",K194&lt;&gt;"",H194&lt;&gt;""),K194-H194,"")</f>
        <v/>
      </c>
      <c r="Q194" s="25">
        <f>IF(G194="","",IF(G194="Fechada","Fechada",IF(G194="Perdida","Perdida",IF(AND(J194&lt;&gt;"",J194&lt;Config!$B$5),"Previsão vencida",IF(AND(O194&lt;&gt;"",O194&gt;Config!$B$7),"Parada","Ativa")))))</f>
        <v/>
      </c>
      <c r="R194" s="37">
        <f>IF(OR(G194="",Q194="Fechada",Q194="Perdida"),0,IF(Q194="Previsão vencida",3,IF(Q194="Parada",2,1))*1E+15+MIN(N(O194),500)*1E+12+MIN(ROUND(N(F194)*100,0),99999999)*1E+4+(304+1-ROW()))</f>
        <v>0</v>
      </c>
    </row>
    <row r="195">
      <c r="A195" s="31" t="n"/>
      <c r="B195" s="34" t="n"/>
      <c r="C195" s="31" t="n"/>
      <c r="D195" s="34" t="n"/>
      <c r="E195" s="34" t="n"/>
      <c r="F195" s="33" t="n"/>
      <c r="G195" s="34" t="n"/>
      <c r="H195" s="36" t="n"/>
      <c r="I195" s="36" t="n"/>
      <c r="J195" s="36" t="n"/>
      <c r="K195" s="36" t="n"/>
      <c r="L195" s="31" t="n"/>
      <c r="M195" s="27">
        <f>IF(G195="","",IFERROR(INDEX(Config!$B$10:$B$15,MATCH(G195,Config!$A$10:$A$15,0)),0))</f>
        <v/>
      </c>
      <c r="N195" s="26">
        <f>IF(OR(G195="",F195=""),"",F195*M195)</f>
        <v/>
      </c>
      <c r="O195" s="29">
        <f>IF(OR(G195="",G195="Fechada",G195="Perdida",AND(H195="",I195="")),"",Config!$B$5-IF(I195="",H195,I195))</f>
        <v/>
      </c>
      <c r="P195" s="29">
        <f>IF(AND(G195="Fechada",K195&lt;&gt;"",H195&lt;&gt;""),K195-H195,"")</f>
        <v/>
      </c>
      <c r="Q195" s="25">
        <f>IF(G195="","",IF(G195="Fechada","Fechada",IF(G195="Perdida","Perdida",IF(AND(J195&lt;&gt;"",J195&lt;Config!$B$5),"Previsão vencida",IF(AND(O195&lt;&gt;"",O195&gt;Config!$B$7),"Parada","Ativa")))))</f>
        <v/>
      </c>
      <c r="R195" s="37">
        <f>IF(OR(G195="",Q195="Fechada",Q195="Perdida"),0,IF(Q195="Previsão vencida",3,IF(Q195="Parada",2,1))*1E+15+MIN(N(O195),500)*1E+12+MIN(ROUND(N(F195)*100,0),99999999)*1E+4+(304+1-ROW()))</f>
        <v>0</v>
      </c>
    </row>
    <row r="196">
      <c r="A196" s="31" t="n"/>
      <c r="B196" s="34" t="n"/>
      <c r="C196" s="31" t="n"/>
      <c r="D196" s="34" t="n"/>
      <c r="E196" s="34" t="n"/>
      <c r="F196" s="33" t="n"/>
      <c r="G196" s="34" t="n"/>
      <c r="H196" s="36" t="n"/>
      <c r="I196" s="36" t="n"/>
      <c r="J196" s="36" t="n"/>
      <c r="K196" s="36" t="n"/>
      <c r="L196" s="31" t="n"/>
      <c r="M196" s="27">
        <f>IF(G196="","",IFERROR(INDEX(Config!$B$10:$B$15,MATCH(G196,Config!$A$10:$A$15,0)),0))</f>
        <v/>
      </c>
      <c r="N196" s="26">
        <f>IF(OR(G196="",F196=""),"",F196*M196)</f>
        <v/>
      </c>
      <c r="O196" s="29">
        <f>IF(OR(G196="",G196="Fechada",G196="Perdida",AND(H196="",I196="")),"",Config!$B$5-IF(I196="",H196,I196))</f>
        <v/>
      </c>
      <c r="P196" s="29">
        <f>IF(AND(G196="Fechada",K196&lt;&gt;"",H196&lt;&gt;""),K196-H196,"")</f>
        <v/>
      </c>
      <c r="Q196" s="25">
        <f>IF(G196="","",IF(G196="Fechada","Fechada",IF(G196="Perdida","Perdida",IF(AND(J196&lt;&gt;"",J196&lt;Config!$B$5),"Previsão vencida",IF(AND(O196&lt;&gt;"",O196&gt;Config!$B$7),"Parada","Ativa")))))</f>
        <v/>
      </c>
      <c r="R196" s="37">
        <f>IF(OR(G196="",Q196="Fechada",Q196="Perdida"),0,IF(Q196="Previsão vencida",3,IF(Q196="Parada",2,1))*1E+15+MIN(N(O196),500)*1E+12+MIN(ROUND(N(F196)*100,0),99999999)*1E+4+(304+1-ROW()))</f>
        <v>0</v>
      </c>
    </row>
    <row r="197">
      <c r="A197" s="31" t="n"/>
      <c r="B197" s="34" t="n"/>
      <c r="C197" s="31" t="n"/>
      <c r="D197" s="34" t="n"/>
      <c r="E197" s="34" t="n"/>
      <c r="F197" s="33" t="n"/>
      <c r="G197" s="34" t="n"/>
      <c r="H197" s="36" t="n"/>
      <c r="I197" s="36" t="n"/>
      <c r="J197" s="36" t="n"/>
      <c r="K197" s="36" t="n"/>
      <c r="L197" s="31" t="n"/>
      <c r="M197" s="27">
        <f>IF(G197="","",IFERROR(INDEX(Config!$B$10:$B$15,MATCH(G197,Config!$A$10:$A$15,0)),0))</f>
        <v/>
      </c>
      <c r="N197" s="26">
        <f>IF(OR(G197="",F197=""),"",F197*M197)</f>
        <v/>
      </c>
      <c r="O197" s="29">
        <f>IF(OR(G197="",G197="Fechada",G197="Perdida",AND(H197="",I197="")),"",Config!$B$5-IF(I197="",H197,I197))</f>
        <v/>
      </c>
      <c r="P197" s="29">
        <f>IF(AND(G197="Fechada",K197&lt;&gt;"",H197&lt;&gt;""),K197-H197,"")</f>
        <v/>
      </c>
      <c r="Q197" s="25">
        <f>IF(G197="","",IF(G197="Fechada","Fechada",IF(G197="Perdida","Perdida",IF(AND(J197&lt;&gt;"",J197&lt;Config!$B$5),"Previsão vencida",IF(AND(O197&lt;&gt;"",O197&gt;Config!$B$7),"Parada","Ativa")))))</f>
        <v/>
      </c>
      <c r="R197" s="37">
        <f>IF(OR(G197="",Q197="Fechada",Q197="Perdida"),0,IF(Q197="Previsão vencida",3,IF(Q197="Parada",2,1))*1E+15+MIN(N(O197),500)*1E+12+MIN(ROUND(N(F197)*100,0),99999999)*1E+4+(304+1-ROW()))</f>
        <v>0</v>
      </c>
    </row>
    <row r="198">
      <c r="A198" s="31" t="n"/>
      <c r="B198" s="34" t="n"/>
      <c r="C198" s="31" t="n"/>
      <c r="D198" s="34" t="n"/>
      <c r="E198" s="34" t="n"/>
      <c r="F198" s="33" t="n"/>
      <c r="G198" s="34" t="n"/>
      <c r="H198" s="36" t="n"/>
      <c r="I198" s="36" t="n"/>
      <c r="J198" s="36" t="n"/>
      <c r="K198" s="36" t="n"/>
      <c r="L198" s="31" t="n"/>
      <c r="M198" s="27">
        <f>IF(G198="","",IFERROR(INDEX(Config!$B$10:$B$15,MATCH(G198,Config!$A$10:$A$15,0)),0))</f>
        <v/>
      </c>
      <c r="N198" s="26">
        <f>IF(OR(G198="",F198=""),"",F198*M198)</f>
        <v/>
      </c>
      <c r="O198" s="29">
        <f>IF(OR(G198="",G198="Fechada",G198="Perdida",AND(H198="",I198="")),"",Config!$B$5-IF(I198="",H198,I198))</f>
        <v/>
      </c>
      <c r="P198" s="29">
        <f>IF(AND(G198="Fechada",K198&lt;&gt;"",H198&lt;&gt;""),K198-H198,"")</f>
        <v/>
      </c>
      <c r="Q198" s="25">
        <f>IF(G198="","",IF(G198="Fechada","Fechada",IF(G198="Perdida","Perdida",IF(AND(J198&lt;&gt;"",J198&lt;Config!$B$5),"Previsão vencida",IF(AND(O198&lt;&gt;"",O198&gt;Config!$B$7),"Parada","Ativa")))))</f>
        <v/>
      </c>
      <c r="R198" s="37">
        <f>IF(OR(G198="",Q198="Fechada",Q198="Perdida"),0,IF(Q198="Previsão vencida",3,IF(Q198="Parada",2,1))*1E+15+MIN(N(O198),500)*1E+12+MIN(ROUND(N(F198)*100,0),99999999)*1E+4+(304+1-ROW()))</f>
        <v>0</v>
      </c>
    </row>
    <row r="199">
      <c r="A199" s="31" t="n"/>
      <c r="B199" s="34" t="n"/>
      <c r="C199" s="31" t="n"/>
      <c r="D199" s="34" t="n"/>
      <c r="E199" s="34" t="n"/>
      <c r="F199" s="33" t="n"/>
      <c r="G199" s="34" t="n"/>
      <c r="H199" s="36" t="n"/>
      <c r="I199" s="36" t="n"/>
      <c r="J199" s="36" t="n"/>
      <c r="K199" s="36" t="n"/>
      <c r="L199" s="31" t="n"/>
      <c r="M199" s="27">
        <f>IF(G199="","",IFERROR(INDEX(Config!$B$10:$B$15,MATCH(G199,Config!$A$10:$A$15,0)),0))</f>
        <v/>
      </c>
      <c r="N199" s="26">
        <f>IF(OR(G199="",F199=""),"",F199*M199)</f>
        <v/>
      </c>
      <c r="O199" s="29">
        <f>IF(OR(G199="",G199="Fechada",G199="Perdida",AND(H199="",I199="")),"",Config!$B$5-IF(I199="",H199,I199))</f>
        <v/>
      </c>
      <c r="P199" s="29">
        <f>IF(AND(G199="Fechada",K199&lt;&gt;"",H199&lt;&gt;""),K199-H199,"")</f>
        <v/>
      </c>
      <c r="Q199" s="25">
        <f>IF(G199="","",IF(G199="Fechada","Fechada",IF(G199="Perdida","Perdida",IF(AND(J199&lt;&gt;"",J199&lt;Config!$B$5),"Previsão vencida",IF(AND(O199&lt;&gt;"",O199&gt;Config!$B$7),"Parada","Ativa")))))</f>
        <v/>
      </c>
      <c r="R199" s="37">
        <f>IF(OR(G199="",Q199="Fechada",Q199="Perdida"),0,IF(Q199="Previsão vencida",3,IF(Q199="Parada",2,1))*1E+15+MIN(N(O199),500)*1E+12+MIN(ROUND(N(F199)*100,0),99999999)*1E+4+(304+1-ROW()))</f>
        <v>0</v>
      </c>
    </row>
    <row r="200">
      <c r="A200" s="31" t="n"/>
      <c r="B200" s="34" t="n"/>
      <c r="C200" s="31" t="n"/>
      <c r="D200" s="34" t="n"/>
      <c r="E200" s="34" t="n"/>
      <c r="F200" s="33" t="n"/>
      <c r="G200" s="34" t="n"/>
      <c r="H200" s="36" t="n"/>
      <c r="I200" s="36" t="n"/>
      <c r="J200" s="36" t="n"/>
      <c r="K200" s="36" t="n"/>
      <c r="L200" s="31" t="n"/>
      <c r="M200" s="27">
        <f>IF(G200="","",IFERROR(INDEX(Config!$B$10:$B$15,MATCH(G200,Config!$A$10:$A$15,0)),0))</f>
        <v/>
      </c>
      <c r="N200" s="26">
        <f>IF(OR(G200="",F200=""),"",F200*M200)</f>
        <v/>
      </c>
      <c r="O200" s="29">
        <f>IF(OR(G200="",G200="Fechada",G200="Perdida",AND(H200="",I200="")),"",Config!$B$5-IF(I200="",H200,I200))</f>
        <v/>
      </c>
      <c r="P200" s="29">
        <f>IF(AND(G200="Fechada",K200&lt;&gt;"",H200&lt;&gt;""),K200-H200,"")</f>
        <v/>
      </c>
      <c r="Q200" s="25">
        <f>IF(G200="","",IF(G200="Fechada","Fechada",IF(G200="Perdida","Perdida",IF(AND(J200&lt;&gt;"",J200&lt;Config!$B$5),"Previsão vencida",IF(AND(O200&lt;&gt;"",O200&gt;Config!$B$7),"Parada","Ativa")))))</f>
        <v/>
      </c>
      <c r="R200" s="37">
        <f>IF(OR(G200="",Q200="Fechada",Q200="Perdida"),0,IF(Q200="Previsão vencida",3,IF(Q200="Parada",2,1))*1E+15+MIN(N(O200),500)*1E+12+MIN(ROUND(N(F200)*100,0),99999999)*1E+4+(304+1-ROW()))</f>
        <v>0</v>
      </c>
    </row>
    <row r="201">
      <c r="A201" s="31" t="n"/>
      <c r="B201" s="34" t="n"/>
      <c r="C201" s="31" t="n"/>
      <c r="D201" s="34" t="n"/>
      <c r="E201" s="34" t="n"/>
      <c r="F201" s="33" t="n"/>
      <c r="G201" s="34" t="n"/>
      <c r="H201" s="36" t="n"/>
      <c r="I201" s="36" t="n"/>
      <c r="J201" s="36" t="n"/>
      <c r="K201" s="36" t="n"/>
      <c r="L201" s="31" t="n"/>
      <c r="M201" s="27">
        <f>IF(G201="","",IFERROR(INDEX(Config!$B$10:$B$15,MATCH(G201,Config!$A$10:$A$15,0)),0))</f>
        <v/>
      </c>
      <c r="N201" s="26">
        <f>IF(OR(G201="",F201=""),"",F201*M201)</f>
        <v/>
      </c>
      <c r="O201" s="29">
        <f>IF(OR(G201="",G201="Fechada",G201="Perdida",AND(H201="",I201="")),"",Config!$B$5-IF(I201="",H201,I201))</f>
        <v/>
      </c>
      <c r="P201" s="29">
        <f>IF(AND(G201="Fechada",K201&lt;&gt;"",H201&lt;&gt;""),K201-H201,"")</f>
        <v/>
      </c>
      <c r="Q201" s="25">
        <f>IF(G201="","",IF(G201="Fechada","Fechada",IF(G201="Perdida","Perdida",IF(AND(J201&lt;&gt;"",J201&lt;Config!$B$5),"Previsão vencida",IF(AND(O201&lt;&gt;"",O201&gt;Config!$B$7),"Parada","Ativa")))))</f>
        <v/>
      </c>
      <c r="R201" s="37">
        <f>IF(OR(G201="",Q201="Fechada",Q201="Perdida"),0,IF(Q201="Previsão vencida",3,IF(Q201="Parada",2,1))*1E+15+MIN(N(O201),500)*1E+12+MIN(ROUND(N(F201)*100,0),99999999)*1E+4+(304+1-ROW()))</f>
        <v>0</v>
      </c>
    </row>
    <row r="202">
      <c r="A202" s="31" t="n"/>
      <c r="B202" s="34" t="n"/>
      <c r="C202" s="31" t="n"/>
      <c r="D202" s="34" t="n"/>
      <c r="E202" s="34" t="n"/>
      <c r="F202" s="33" t="n"/>
      <c r="G202" s="34" t="n"/>
      <c r="H202" s="36" t="n"/>
      <c r="I202" s="36" t="n"/>
      <c r="J202" s="36" t="n"/>
      <c r="K202" s="36" t="n"/>
      <c r="L202" s="31" t="n"/>
      <c r="M202" s="27">
        <f>IF(G202="","",IFERROR(INDEX(Config!$B$10:$B$15,MATCH(G202,Config!$A$10:$A$15,0)),0))</f>
        <v/>
      </c>
      <c r="N202" s="26">
        <f>IF(OR(G202="",F202=""),"",F202*M202)</f>
        <v/>
      </c>
      <c r="O202" s="29">
        <f>IF(OR(G202="",G202="Fechada",G202="Perdida",AND(H202="",I202="")),"",Config!$B$5-IF(I202="",H202,I202))</f>
        <v/>
      </c>
      <c r="P202" s="29">
        <f>IF(AND(G202="Fechada",K202&lt;&gt;"",H202&lt;&gt;""),K202-H202,"")</f>
        <v/>
      </c>
      <c r="Q202" s="25">
        <f>IF(G202="","",IF(G202="Fechada","Fechada",IF(G202="Perdida","Perdida",IF(AND(J202&lt;&gt;"",J202&lt;Config!$B$5),"Previsão vencida",IF(AND(O202&lt;&gt;"",O202&gt;Config!$B$7),"Parada","Ativa")))))</f>
        <v/>
      </c>
      <c r="R202" s="37">
        <f>IF(OR(G202="",Q202="Fechada",Q202="Perdida"),0,IF(Q202="Previsão vencida",3,IF(Q202="Parada",2,1))*1E+15+MIN(N(O202),500)*1E+12+MIN(ROUND(N(F202)*100,0),99999999)*1E+4+(304+1-ROW()))</f>
        <v>0</v>
      </c>
    </row>
    <row r="203">
      <c r="A203" s="31" t="n"/>
      <c r="B203" s="34" t="n"/>
      <c r="C203" s="31" t="n"/>
      <c r="D203" s="34" t="n"/>
      <c r="E203" s="34" t="n"/>
      <c r="F203" s="33" t="n"/>
      <c r="G203" s="34" t="n"/>
      <c r="H203" s="36" t="n"/>
      <c r="I203" s="36" t="n"/>
      <c r="J203" s="36" t="n"/>
      <c r="K203" s="36" t="n"/>
      <c r="L203" s="31" t="n"/>
      <c r="M203" s="27">
        <f>IF(G203="","",IFERROR(INDEX(Config!$B$10:$B$15,MATCH(G203,Config!$A$10:$A$15,0)),0))</f>
        <v/>
      </c>
      <c r="N203" s="26">
        <f>IF(OR(G203="",F203=""),"",F203*M203)</f>
        <v/>
      </c>
      <c r="O203" s="29">
        <f>IF(OR(G203="",G203="Fechada",G203="Perdida",AND(H203="",I203="")),"",Config!$B$5-IF(I203="",H203,I203))</f>
        <v/>
      </c>
      <c r="P203" s="29">
        <f>IF(AND(G203="Fechada",K203&lt;&gt;"",H203&lt;&gt;""),K203-H203,"")</f>
        <v/>
      </c>
      <c r="Q203" s="25">
        <f>IF(G203="","",IF(G203="Fechada","Fechada",IF(G203="Perdida","Perdida",IF(AND(J203&lt;&gt;"",J203&lt;Config!$B$5),"Previsão vencida",IF(AND(O203&lt;&gt;"",O203&gt;Config!$B$7),"Parada","Ativa")))))</f>
        <v/>
      </c>
      <c r="R203" s="37">
        <f>IF(OR(G203="",Q203="Fechada",Q203="Perdida"),0,IF(Q203="Previsão vencida",3,IF(Q203="Parada",2,1))*1E+15+MIN(N(O203),500)*1E+12+MIN(ROUND(N(F203)*100,0),99999999)*1E+4+(304+1-ROW()))</f>
        <v>0</v>
      </c>
    </row>
    <row r="204">
      <c r="A204" s="31" t="n"/>
      <c r="B204" s="34" t="n"/>
      <c r="C204" s="31" t="n"/>
      <c r="D204" s="34" t="n"/>
      <c r="E204" s="34" t="n"/>
      <c r="F204" s="33" t="n"/>
      <c r="G204" s="34" t="n"/>
      <c r="H204" s="36" t="n"/>
      <c r="I204" s="36" t="n"/>
      <c r="J204" s="36" t="n"/>
      <c r="K204" s="36" t="n"/>
      <c r="L204" s="31" t="n"/>
      <c r="M204" s="27">
        <f>IF(G204="","",IFERROR(INDEX(Config!$B$10:$B$15,MATCH(G204,Config!$A$10:$A$15,0)),0))</f>
        <v/>
      </c>
      <c r="N204" s="26">
        <f>IF(OR(G204="",F204=""),"",F204*M204)</f>
        <v/>
      </c>
      <c r="O204" s="29">
        <f>IF(OR(G204="",G204="Fechada",G204="Perdida",AND(H204="",I204="")),"",Config!$B$5-IF(I204="",H204,I204))</f>
        <v/>
      </c>
      <c r="P204" s="29">
        <f>IF(AND(G204="Fechada",K204&lt;&gt;"",H204&lt;&gt;""),K204-H204,"")</f>
        <v/>
      </c>
      <c r="Q204" s="25">
        <f>IF(G204="","",IF(G204="Fechada","Fechada",IF(G204="Perdida","Perdida",IF(AND(J204&lt;&gt;"",J204&lt;Config!$B$5),"Previsão vencida",IF(AND(O204&lt;&gt;"",O204&gt;Config!$B$7),"Parada","Ativa")))))</f>
        <v/>
      </c>
      <c r="R204" s="37">
        <f>IF(OR(G204="",Q204="Fechada",Q204="Perdida"),0,IF(Q204="Previsão vencida",3,IF(Q204="Parada",2,1))*1E+15+MIN(N(O204),500)*1E+12+MIN(ROUND(N(F204)*100,0),99999999)*1E+4+(304+1-ROW()))</f>
        <v>0</v>
      </c>
    </row>
    <row r="205">
      <c r="A205" s="31" t="n"/>
      <c r="B205" s="34" t="n"/>
      <c r="C205" s="31" t="n"/>
      <c r="D205" s="34" t="n"/>
      <c r="E205" s="34" t="n"/>
      <c r="F205" s="33" t="n"/>
      <c r="G205" s="34" t="n"/>
      <c r="H205" s="36" t="n"/>
      <c r="I205" s="36" t="n"/>
      <c r="J205" s="36" t="n"/>
      <c r="K205" s="36" t="n"/>
      <c r="L205" s="31" t="n"/>
      <c r="M205" s="27">
        <f>IF(G205="","",IFERROR(INDEX(Config!$B$10:$B$15,MATCH(G205,Config!$A$10:$A$15,0)),0))</f>
        <v/>
      </c>
      <c r="N205" s="26">
        <f>IF(OR(G205="",F205=""),"",F205*M205)</f>
        <v/>
      </c>
      <c r="O205" s="29">
        <f>IF(OR(G205="",G205="Fechada",G205="Perdida",AND(H205="",I205="")),"",Config!$B$5-IF(I205="",H205,I205))</f>
        <v/>
      </c>
      <c r="P205" s="29">
        <f>IF(AND(G205="Fechada",K205&lt;&gt;"",H205&lt;&gt;""),K205-H205,"")</f>
        <v/>
      </c>
      <c r="Q205" s="25">
        <f>IF(G205="","",IF(G205="Fechada","Fechada",IF(G205="Perdida","Perdida",IF(AND(J205&lt;&gt;"",J205&lt;Config!$B$5),"Previsão vencida",IF(AND(O205&lt;&gt;"",O205&gt;Config!$B$7),"Parada","Ativa")))))</f>
        <v/>
      </c>
      <c r="R205" s="37">
        <f>IF(OR(G205="",Q205="Fechada",Q205="Perdida"),0,IF(Q205="Previsão vencida",3,IF(Q205="Parada",2,1))*1E+15+MIN(N(O205),500)*1E+12+MIN(ROUND(N(F205)*100,0),99999999)*1E+4+(304+1-ROW()))</f>
        <v>0</v>
      </c>
    </row>
    <row r="206">
      <c r="A206" s="31" t="n"/>
      <c r="B206" s="34" t="n"/>
      <c r="C206" s="31" t="n"/>
      <c r="D206" s="34" t="n"/>
      <c r="E206" s="34" t="n"/>
      <c r="F206" s="33" t="n"/>
      <c r="G206" s="34" t="n"/>
      <c r="H206" s="36" t="n"/>
      <c r="I206" s="36" t="n"/>
      <c r="J206" s="36" t="n"/>
      <c r="K206" s="36" t="n"/>
      <c r="L206" s="31" t="n"/>
      <c r="M206" s="27">
        <f>IF(G206="","",IFERROR(INDEX(Config!$B$10:$B$15,MATCH(G206,Config!$A$10:$A$15,0)),0))</f>
        <v/>
      </c>
      <c r="N206" s="26">
        <f>IF(OR(G206="",F206=""),"",F206*M206)</f>
        <v/>
      </c>
      <c r="O206" s="29">
        <f>IF(OR(G206="",G206="Fechada",G206="Perdida",AND(H206="",I206="")),"",Config!$B$5-IF(I206="",H206,I206))</f>
        <v/>
      </c>
      <c r="P206" s="29">
        <f>IF(AND(G206="Fechada",K206&lt;&gt;"",H206&lt;&gt;""),K206-H206,"")</f>
        <v/>
      </c>
      <c r="Q206" s="25">
        <f>IF(G206="","",IF(G206="Fechada","Fechada",IF(G206="Perdida","Perdida",IF(AND(J206&lt;&gt;"",J206&lt;Config!$B$5),"Previsão vencida",IF(AND(O206&lt;&gt;"",O206&gt;Config!$B$7),"Parada","Ativa")))))</f>
        <v/>
      </c>
      <c r="R206" s="37">
        <f>IF(OR(G206="",Q206="Fechada",Q206="Perdida"),0,IF(Q206="Previsão vencida",3,IF(Q206="Parada",2,1))*1E+15+MIN(N(O206),500)*1E+12+MIN(ROUND(N(F206)*100,0),99999999)*1E+4+(304+1-ROW()))</f>
        <v>0</v>
      </c>
    </row>
    <row r="207">
      <c r="A207" s="31" t="n"/>
      <c r="B207" s="34" t="n"/>
      <c r="C207" s="31" t="n"/>
      <c r="D207" s="34" t="n"/>
      <c r="E207" s="34" t="n"/>
      <c r="F207" s="33" t="n"/>
      <c r="G207" s="34" t="n"/>
      <c r="H207" s="36" t="n"/>
      <c r="I207" s="36" t="n"/>
      <c r="J207" s="36" t="n"/>
      <c r="K207" s="36" t="n"/>
      <c r="L207" s="31" t="n"/>
      <c r="M207" s="27">
        <f>IF(G207="","",IFERROR(INDEX(Config!$B$10:$B$15,MATCH(G207,Config!$A$10:$A$15,0)),0))</f>
        <v/>
      </c>
      <c r="N207" s="26">
        <f>IF(OR(G207="",F207=""),"",F207*M207)</f>
        <v/>
      </c>
      <c r="O207" s="29">
        <f>IF(OR(G207="",G207="Fechada",G207="Perdida",AND(H207="",I207="")),"",Config!$B$5-IF(I207="",H207,I207))</f>
        <v/>
      </c>
      <c r="P207" s="29">
        <f>IF(AND(G207="Fechada",K207&lt;&gt;"",H207&lt;&gt;""),K207-H207,"")</f>
        <v/>
      </c>
      <c r="Q207" s="25">
        <f>IF(G207="","",IF(G207="Fechada","Fechada",IF(G207="Perdida","Perdida",IF(AND(J207&lt;&gt;"",J207&lt;Config!$B$5),"Previsão vencida",IF(AND(O207&lt;&gt;"",O207&gt;Config!$B$7),"Parada","Ativa")))))</f>
        <v/>
      </c>
      <c r="R207" s="37">
        <f>IF(OR(G207="",Q207="Fechada",Q207="Perdida"),0,IF(Q207="Previsão vencida",3,IF(Q207="Parada",2,1))*1E+15+MIN(N(O207),500)*1E+12+MIN(ROUND(N(F207)*100,0),99999999)*1E+4+(304+1-ROW()))</f>
        <v>0</v>
      </c>
    </row>
    <row r="208">
      <c r="A208" s="31" t="n"/>
      <c r="B208" s="34" t="n"/>
      <c r="C208" s="31" t="n"/>
      <c r="D208" s="34" t="n"/>
      <c r="E208" s="34" t="n"/>
      <c r="F208" s="33" t="n"/>
      <c r="G208" s="34" t="n"/>
      <c r="H208" s="36" t="n"/>
      <c r="I208" s="36" t="n"/>
      <c r="J208" s="36" t="n"/>
      <c r="K208" s="36" t="n"/>
      <c r="L208" s="31" t="n"/>
      <c r="M208" s="27">
        <f>IF(G208="","",IFERROR(INDEX(Config!$B$10:$B$15,MATCH(G208,Config!$A$10:$A$15,0)),0))</f>
        <v/>
      </c>
      <c r="N208" s="26">
        <f>IF(OR(G208="",F208=""),"",F208*M208)</f>
        <v/>
      </c>
      <c r="O208" s="29">
        <f>IF(OR(G208="",G208="Fechada",G208="Perdida",AND(H208="",I208="")),"",Config!$B$5-IF(I208="",H208,I208))</f>
        <v/>
      </c>
      <c r="P208" s="29">
        <f>IF(AND(G208="Fechada",K208&lt;&gt;"",H208&lt;&gt;""),K208-H208,"")</f>
        <v/>
      </c>
      <c r="Q208" s="25">
        <f>IF(G208="","",IF(G208="Fechada","Fechada",IF(G208="Perdida","Perdida",IF(AND(J208&lt;&gt;"",J208&lt;Config!$B$5),"Previsão vencida",IF(AND(O208&lt;&gt;"",O208&gt;Config!$B$7),"Parada","Ativa")))))</f>
        <v/>
      </c>
      <c r="R208" s="37">
        <f>IF(OR(G208="",Q208="Fechada",Q208="Perdida"),0,IF(Q208="Previsão vencida",3,IF(Q208="Parada",2,1))*1E+15+MIN(N(O208),500)*1E+12+MIN(ROUND(N(F208)*100,0),99999999)*1E+4+(304+1-ROW()))</f>
        <v>0</v>
      </c>
    </row>
    <row r="209">
      <c r="A209" s="31" t="n"/>
      <c r="B209" s="34" t="n"/>
      <c r="C209" s="31" t="n"/>
      <c r="D209" s="34" t="n"/>
      <c r="E209" s="34" t="n"/>
      <c r="F209" s="33" t="n"/>
      <c r="G209" s="34" t="n"/>
      <c r="H209" s="36" t="n"/>
      <c r="I209" s="36" t="n"/>
      <c r="J209" s="36" t="n"/>
      <c r="K209" s="36" t="n"/>
      <c r="L209" s="31" t="n"/>
      <c r="M209" s="27">
        <f>IF(G209="","",IFERROR(INDEX(Config!$B$10:$B$15,MATCH(G209,Config!$A$10:$A$15,0)),0))</f>
        <v/>
      </c>
      <c r="N209" s="26">
        <f>IF(OR(G209="",F209=""),"",F209*M209)</f>
        <v/>
      </c>
      <c r="O209" s="29">
        <f>IF(OR(G209="",G209="Fechada",G209="Perdida",AND(H209="",I209="")),"",Config!$B$5-IF(I209="",H209,I209))</f>
        <v/>
      </c>
      <c r="P209" s="29">
        <f>IF(AND(G209="Fechada",K209&lt;&gt;"",H209&lt;&gt;""),K209-H209,"")</f>
        <v/>
      </c>
      <c r="Q209" s="25">
        <f>IF(G209="","",IF(G209="Fechada","Fechada",IF(G209="Perdida","Perdida",IF(AND(J209&lt;&gt;"",J209&lt;Config!$B$5),"Previsão vencida",IF(AND(O209&lt;&gt;"",O209&gt;Config!$B$7),"Parada","Ativa")))))</f>
        <v/>
      </c>
      <c r="R209" s="37">
        <f>IF(OR(G209="",Q209="Fechada",Q209="Perdida"),0,IF(Q209="Previsão vencida",3,IF(Q209="Parada",2,1))*1E+15+MIN(N(O209),500)*1E+12+MIN(ROUND(N(F209)*100,0),99999999)*1E+4+(304+1-ROW()))</f>
        <v>0</v>
      </c>
    </row>
    <row r="210">
      <c r="A210" s="31" t="n"/>
      <c r="B210" s="34" t="n"/>
      <c r="C210" s="31" t="n"/>
      <c r="D210" s="34" t="n"/>
      <c r="E210" s="34" t="n"/>
      <c r="F210" s="33" t="n"/>
      <c r="G210" s="34" t="n"/>
      <c r="H210" s="36" t="n"/>
      <c r="I210" s="36" t="n"/>
      <c r="J210" s="36" t="n"/>
      <c r="K210" s="36" t="n"/>
      <c r="L210" s="31" t="n"/>
      <c r="M210" s="27">
        <f>IF(G210="","",IFERROR(INDEX(Config!$B$10:$B$15,MATCH(G210,Config!$A$10:$A$15,0)),0))</f>
        <v/>
      </c>
      <c r="N210" s="26">
        <f>IF(OR(G210="",F210=""),"",F210*M210)</f>
        <v/>
      </c>
      <c r="O210" s="29">
        <f>IF(OR(G210="",G210="Fechada",G210="Perdida",AND(H210="",I210="")),"",Config!$B$5-IF(I210="",H210,I210))</f>
        <v/>
      </c>
      <c r="P210" s="29">
        <f>IF(AND(G210="Fechada",K210&lt;&gt;"",H210&lt;&gt;""),K210-H210,"")</f>
        <v/>
      </c>
      <c r="Q210" s="25">
        <f>IF(G210="","",IF(G210="Fechada","Fechada",IF(G210="Perdida","Perdida",IF(AND(J210&lt;&gt;"",J210&lt;Config!$B$5),"Previsão vencida",IF(AND(O210&lt;&gt;"",O210&gt;Config!$B$7),"Parada","Ativa")))))</f>
        <v/>
      </c>
      <c r="R210" s="37">
        <f>IF(OR(G210="",Q210="Fechada",Q210="Perdida"),0,IF(Q210="Previsão vencida",3,IF(Q210="Parada",2,1))*1E+15+MIN(N(O210),500)*1E+12+MIN(ROUND(N(F210)*100,0),99999999)*1E+4+(304+1-ROW()))</f>
        <v>0</v>
      </c>
    </row>
    <row r="211">
      <c r="A211" s="31" t="n"/>
      <c r="B211" s="34" t="n"/>
      <c r="C211" s="31" t="n"/>
      <c r="D211" s="34" t="n"/>
      <c r="E211" s="34" t="n"/>
      <c r="F211" s="33" t="n"/>
      <c r="G211" s="34" t="n"/>
      <c r="H211" s="36" t="n"/>
      <c r="I211" s="36" t="n"/>
      <c r="J211" s="36" t="n"/>
      <c r="K211" s="36" t="n"/>
      <c r="L211" s="31" t="n"/>
      <c r="M211" s="27">
        <f>IF(G211="","",IFERROR(INDEX(Config!$B$10:$B$15,MATCH(G211,Config!$A$10:$A$15,0)),0))</f>
        <v/>
      </c>
      <c r="N211" s="26">
        <f>IF(OR(G211="",F211=""),"",F211*M211)</f>
        <v/>
      </c>
      <c r="O211" s="29">
        <f>IF(OR(G211="",G211="Fechada",G211="Perdida",AND(H211="",I211="")),"",Config!$B$5-IF(I211="",H211,I211))</f>
        <v/>
      </c>
      <c r="P211" s="29">
        <f>IF(AND(G211="Fechada",K211&lt;&gt;"",H211&lt;&gt;""),K211-H211,"")</f>
        <v/>
      </c>
      <c r="Q211" s="25">
        <f>IF(G211="","",IF(G211="Fechada","Fechada",IF(G211="Perdida","Perdida",IF(AND(J211&lt;&gt;"",J211&lt;Config!$B$5),"Previsão vencida",IF(AND(O211&lt;&gt;"",O211&gt;Config!$B$7),"Parada","Ativa")))))</f>
        <v/>
      </c>
      <c r="R211" s="37">
        <f>IF(OR(G211="",Q211="Fechada",Q211="Perdida"),0,IF(Q211="Previsão vencida",3,IF(Q211="Parada",2,1))*1E+15+MIN(N(O211),500)*1E+12+MIN(ROUND(N(F211)*100,0),99999999)*1E+4+(304+1-ROW()))</f>
        <v>0</v>
      </c>
    </row>
    <row r="212">
      <c r="A212" s="31" t="n"/>
      <c r="B212" s="34" t="n"/>
      <c r="C212" s="31" t="n"/>
      <c r="D212" s="34" t="n"/>
      <c r="E212" s="34" t="n"/>
      <c r="F212" s="33" t="n"/>
      <c r="G212" s="34" t="n"/>
      <c r="H212" s="36" t="n"/>
      <c r="I212" s="36" t="n"/>
      <c r="J212" s="36" t="n"/>
      <c r="K212" s="36" t="n"/>
      <c r="L212" s="31" t="n"/>
      <c r="M212" s="27">
        <f>IF(G212="","",IFERROR(INDEX(Config!$B$10:$B$15,MATCH(G212,Config!$A$10:$A$15,0)),0))</f>
        <v/>
      </c>
      <c r="N212" s="26">
        <f>IF(OR(G212="",F212=""),"",F212*M212)</f>
        <v/>
      </c>
      <c r="O212" s="29">
        <f>IF(OR(G212="",G212="Fechada",G212="Perdida",AND(H212="",I212="")),"",Config!$B$5-IF(I212="",H212,I212))</f>
        <v/>
      </c>
      <c r="P212" s="29">
        <f>IF(AND(G212="Fechada",K212&lt;&gt;"",H212&lt;&gt;""),K212-H212,"")</f>
        <v/>
      </c>
      <c r="Q212" s="25">
        <f>IF(G212="","",IF(G212="Fechada","Fechada",IF(G212="Perdida","Perdida",IF(AND(J212&lt;&gt;"",J212&lt;Config!$B$5),"Previsão vencida",IF(AND(O212&lt;&gt;"",O212&gt;Config!$B$7),"Parada","Ativa")))))</f>
        <v/>
      </c>
      <c r="R212" s="37">
        <f>IF(OR(G212="",Q212="Fechada",Q212="Perdida"),0,IF(Q212="Previsão vencida",3,IF(Q212="Parada",2,1))*1E+15+MIN(N(O212),500)*1E+12+MIN(ROUND(N(F212)*100,0),99999999)*1E+4+(304+1-ROW()))</f>
        <v>0</v>
      </c>
    </row>
    <row r="213">
      <c r="A213" s="31" t="n"/>
      <c r="B213" s="34" t="n"/>
      <c r="C213" s="31" t="n"/>
      <c r="D213" s="34" t="n"/>
      <c r="E213" s="34" t="n"/>
      <c r="F213" s="33" t="n"/>
      <c r="G213" s="34" t="n"/>
      <c r="H213" s="36" t="n"/>
      <c r="I213" s="36" t="n"/>
      <c r="J213" s="36" t="n"/>
      <c r="K213" s="36" t="n"/>
      <c r="L213" s="31" t="n"/>
      <c r="M213" s="27">
        <f>IF(G213="","",IFERROR(INDEX(Config!$B$10:$B$15,MATCH(G213,Config!$A$10:$A$15,0)),0))</f>
        <v/>
      </c>
      <c r="N213" s="26">
        <f>IF(OR(G213="",F213=""),"",F213*M213)</f>
        <v/>
      </c>
      <c r="O213" s="29">
        <f>IF(OR(G213="",G213="Fechada",G213="Perdida",AND(H213="",I213="")),"",Config!$B$5-IF(I213="",H213,I213))</f>
        <v/>
      </c>
      <c r="P213" s="29">
        <f>IF(AND(G213="Fechada",K213&lt;&gt;"",H213&lt;&gt;""),K213-H213,"")</f>
        <v/>
      </c>
      <c r="Q213" s="25">
        <f>IF(G213="","",IF(G213="Fechada","Fechada",IF(G213="Perdida","Perdida",IF(AND(J213&lt;&gt;"",J213&lt;Config!$B$5),"Previsão vencida",IF(AND(O213&lt;&gt;"",O213&gt;Config!$B$7),"Parada","Ativa")))))</f>
        <v/>
      </c>
      <c r="R213" s="37">
        <f>IF(OR(G213="",Q213="Fechada",Q213="Perdida"),0,IF(Q213="Previsão vencida",3,IF(Q213="Parada",2,1))*1E+15+MIN(N(O213),500)*1E+12+MIN(ROUND(N(F213)*100,0),99999999)*1E+4+(304+1-ROW()))</f>
        <v>0</v>
      </c>
    </row>
    <row r="214">
      <c r="A214" s="31" t="n"/>
      <c r="B214" s="34" t="n"/>
      <c r="C214" s="31" t="n"/>
      <c r="D214" s="34" t="n"/>
      <c r="E214" s="34" t="n"/>
      <c r="F214" s="33" t="n"/>
      <c r="G214" s="34" t="n"/>
      <c r="H214" s="36" t="n"/>
      <c r="I214" s="36" t="n"/>
      <c r="J214" s="36" t="n"/>
      <c r="K214" s="36" t="n"/>
      <c r="L214" s="31" t="n"/>
      <c r="M214" s="27">
        <f>IF(G214="","",IFERROR(INDEX(Config!$B$10:$B$15,MATCH(G214,Config!$A$10:$A$15,0)),0))</f>
        <v/>
      </c>
      <c r="N214" s="26">
        <f>IF(OR(G214="",F214=""),"",F214*M214)</f>
        <v/>
      </c>
      <c r="O214" s="29">
        <f>IF(OR(G214="",G214="Fechada",G214="Perdida",AND(H214="",I214="")),"",Config!$B$5-IF(I214="",H214,I214))</f>
        <v/>
      </c>
      <c r="P214" s="29">
        <f>IF(AND(G214="Fechada",K214&lt;&gt;"",H214&lt;&gt;""),K214-H214,"")</f>
        <v/>
      </c>
      <c r="Q214" s="25">
        <f>IF(G214="","",IF(G214="Fechada","Fechada",IF(G214="Perdida","Perdida",IF(AND(J214&lt;&gt;"",J214&lt;Config!$B$5),"Previsão vencida",IF(AND(O214&lt;&gt;"",O214&gt;Config!$B$7),"Parada","Ativa")))))</f>
        <v/>
      </c>
      <c r="R214" s="37">
        <f>IF(OR(G214="",Q214="Fechada",Q214="Perdida"),0,IF(Q214="Previsão vencida",3,IF(Q214="Parada",2,1))*1E+15+MIN(N(O214),500)*1E+12+MIN(ROUND(N(F214)*100,0),99999999)*1E+4+(304+1-ROW()))</f>
        <v>0</v>
      </c>
    </row>
    <row r="215">
      <c r="A215" s="31" t="n"/>
      <c r="B215" s="34" t="n"/>
      <c r="C215" s="31" t="n"/>
      <c r="D215" s="34" t="n"/>
      <c r="E215" s="34" t="n"/>
      <c r="F215" s="33" t="n"/>
      <c r="G215" s="34" t="n"/>
      <c r="H215" s="36" t="n"/>
      <c r="I215" s="36" t="n"/>
      <c r="J215" s="36" t="n"/>
      <c r="K215" s="36" t="n"/>
      <c r="L215" s="31" t="n"/>
      <c r="M215" s="27">
        <f>IF(G215="","",IFERROR(INDEX(Config!$B$10:$B$15,MATCH(G215,Config!$A$10:$A$15,0)),0))</f>
        <v/>
      </c>
      <c r="N215" s="26">
        <f>IF(OR(G215="",F215=""),"",F215*M215)</f>
        <v/>
      </c>
      <c r="O215" s="29">
        <f>IF(OR(G215="",G215="Fechada",G215="Perdida",AND(H215="",I215="")),"",Config!$B$5-IF(I215="",H215,I215))</f>
        <v/>
      </c>
      <c r="P215" s="29">
        <f>IF(AND(G215="Fechada",K215&lt;&gt;"",H215&lt;&gt;""),K215-H215,"")</f>
        <v/>
      </c>
      <c r="Q215" s="25">
        <f>IF(G215="","",IF(G215="Fechada","Fechada",IF(G215="Perdida","Perdida",IF(AND(J215&lt;&gt;"",J215&lt;Config!$B$5),"Previsão vencida",IF(AND(O215&lt;&gt;"",O215&gt;Config!$B$7),"Parada","Ativa")))))</f>
        <v/>
      </c>
      <c r="R215" s="37">
        <f>IF(OR(G215="",Q215="Fechada",Q215="Perdida"),0,IF(Q215="Previsão vencida",3,IF(Q215="Parada",2,1))*1E+15+MIN(N(O215),500)*1E+12+MIN(ROUND(N(F215)*100,0),99999999)*1E+4+(304+1-ROW()))</f>
        <v>0</v>
      </c>
    </row>
    <row r="216">
      <c r="A216" s="31" t="n"/>
      <c r="B216" s="34" t="n"/>
      <c r="C216" s="31" t="n"/>
      <c r="D216" s="34" t="n"/>
      <c r="E216" s="34" t="n"/>
      <c r="F216" s="33" t="n"/>
      <c r="G216" s="34" t="n"/>
      <c r="H216" s="36" t="n"/>
      <c r="I216" s="36" t="n"/>
      <c r="J216" s="36" t="n"/>
      <c r="K216" s="36" t="n"/>
      <c r="L216" s="31" t="n"/>
      <c r="M216" s="27">
        <f>IF(G216="","",IFERROR(INDEX(Config!$B$10:$B$15,MATCH(G216,Config!$A$10:$A$15,0)),0))</f>
        <v/>
      </c>
      <c r="N216" s="26">
        <f>IF(OR(G216="",F216=""),"",F216*M216)</f>
        <v/>
      </c>
      <c r="O216" s="29">
        <f>IF(OR(G216="",G216="Fechada",G216="Perdida",AND(H216="",I216="")),"",Config!$B$5-IF(I216="",H216,I216))</f>
        <v/>
      </c>
      <c r="P216" s="29">
        <f>IF(AND(G216="Fechada",K216&lt;&gt;"",H216&lt;&gt;""),K216-H216,"")</f>
        <v/>
      </c>
      <c r="Q216" s="25">
        <f>IF(G216="","",IF(G216="Fechada","Fechada",IF(G216="Perdida","Perdida",IF(AND(J216&lt;&gt;"",J216&lt;Config!$B$5),"Previsão vencida",IF(AND(O216&lt;&gt;"",O216&gt;Config!$B$7),"Parada","Ativa")))))</f>
        <v/>
      </c>
      <c r="R216" s="37">
        <f>IF(OR(G216="",Q216="Fechada",Q216="Perdida"),0,IF(Q216="Previsão vencida",3,IF(Q216="Parada",2,1))*1E+15+MIN(N(O216),500)*1E+12+MIN(ROUND(N(F216)*100,0),99999999)*1E+4+(304+1-ROW()))</f>
        <v>0</v>
      </c>
    </row>
    <row r="217">
      <c r="A217" s="31" t="n"/>
      <c r="B217" s="34" t="n"/>
      <c r="C217" s="31" t="n"/>
      <c r="D217" s="34" t="n"/>
      <c r="E217" s="34" t="n"/>
      <c r="F217" s="33" t="n"/>
      <c r="G217" s="34" t="n"/>
      <c r="H217" s="36" t="n"/>
      <c r="I217" s="36" t="n"/>
      <c r="J217" s="36" t="n"/>
      <c r="K217" s="36" t="n"/>
      <c r="L217" s="31" t="n"/>
      <c r="M217" s="27">
        <f>IF(G217="","",IFERROR(INDEX(Config!$B$10:$B$15,MATCH(G217,Config!$A$10:$A$15,0)),0))</f>
        <v/>
      </c>
      <c r="N217" s="26">
        <f>IF(OR(G217="",F217=""),"",F217*M217)</f>
        <v/>
      </c>
      <c r="O217" s="29">
        <f>IF(OR(G217="",G217="Fechada",G217="Perdida",AND(H217="",I217="")),"",Config!$B$5-IF(I217="",H217,I217))</f>
        <v/>
      </c>
      <c r="P217" s="29">
        <f>IF(AND(G217="Fechada",K217&lt;&gt;"",H217&lt;&gt;""),K217-H217,"")</f>
        <v/>
      </c>
      <c r="Q217" s="25">
        <f>IF(G217="","",IF(G217="Fechada","Fechada",IF(G217="Perdida","Perdida",IF(AND(J217&lt;&gt;"",J217&lt;Config!$B$5),"Previsão vencida",IF(AND(O217&lt;&gt;"",O217&gt;Config!$B$7),"Parada","Ativa")))))</f>
        <v/>
      </c>
      <c r="R217" s="37">
        <f>IF(OR(G217="",Q217="Fechada",Q217="Perdida"),0,IF(Q217="Previsão vencida",3,IF(Q217="Parada",2,1))*1E+15+MIN(N(O217),500)*1E+12+MIN(ROUND(N(F217)*100,0),99999999)*1E+4+(304+1-ROW()))</f>
        <v>0</v>
      </c>
    </row>
    <row r="218">
      <c r="A218" s="31" t="n"/>
      <c r="B218" s="34" t="n"/>
      <c r="C218" s="31" t="n"/>
      <c r="D218" s="34" t="n"/>
      <c r="E218" s="34" t="n"/>
      <c r="F218" s="33" t="n"/>
      <c r="G218" s="34" t="n"/>
      <c r="H218" s="36" t="n"/>
      <c r="I218" s="36" t="n"/>
      <c r="J218" s="36" t="n"/>
      <c r="K218" s="36" t="n"/>
      <c r="L218" s="31" t="n"/>
      <c r="M218" s="27">
        <f>IF(G218="","",IFERROR(INDEX(Config!$B$10:$B$15,MATCH(G218,Config!$A$10:$A$15,0)),0))</f>
        <v/>
      </c>
      <c r="N218" s="26">
        <f>IF(OR(G218="",F218=""),"",F218*M218)</f>
        <v/>
      </c>
      <c r="O218" s="29">
        <f>IF(OR(G218="",G218="Fechada",G218="Perdida",AND(H218="",I218="")),"",Config!$B$5-IF(I218="",H218,I218))</f>
        <v/>
      </c>
      <c r="P218" s="29">
        <f>IF(AND(G218="Fechada",K218&lt;&gt;"",H218&lt;&gt;""),K218-H218,"")</f>
        <v/>
      </c>
      <c r="Q218" s="25">
        <f>IF(G218="","",IF(G218="Fechada","Fechada",IF(G218="Perdida","Perdida",IF(AND(J218&lt;&gt;"",J218&lt;Config!$B$5),"Previsão vencida",IF(AND(O218&lt;&gt;"",O218&gt;Config!$B$7),"Parada","Ativa")))))</f>
        <v/>
      </c>
      <c r="R218" s="37">
        <f>IF(OR(G218="",Q218="Fechada",Q218="Perdida"),0,IF(Q218="Previsão vencida",3,IF(Q218="Parada",2,1))*1E+15+MIN(N(O218),500)*1E+12+MIN(ROUND(N(F218)*100,0),99999999)*1E+4+(304+1-ROW()))</f>
        <v>0</v>
      </c>
    </row>
    <row r="219">
      <c r="A219" s="31" t="n"/>
      <c r="B219" s="34" t="n"/>
      <c r="C219" s="31" t="n"/>
      <c r="D219" s="34" t="n"/>
      <c r="E219" s="34" t="n"/>
      <c r="F219" s="33" t="n"/>
      <c r="G219" s="34" t="n"/>
      <c r="H219" s="36" t="n"/>
      <c r="I219" s="36" t="n"/>
      <c r="J219" s="36" t="n"/>
      <c r="K219" s="36" t="n"/>
      <c r="L219" s="31" t="n"/>
      <c r="M219" s="27">
        <f>IF(G219="","",IFERROR(INDEX(Config!$B$10:$B$15,MATCH(G219,Config!$A$10:$A$15,0)),0))</f>
        <v/>
      </c>
      <c r="N219" s="26">
        <f>IF(OR(G219="",F219=""),"",F219*M219)</f>
        <v/>
      </c>
      <c r="O219" s="29">
        <f>IF(OR(G219="",G219="Fechada",G219="Perdida",AND(H219="",I219="")),"",Config!$B$5-IF(I219="",H219,I219))</f>
        <v/>
      </c>
      <c r="P219" s="29">
        <f>IF(AND(G219="Fechada",K219&lt;&gt;"",H219&lt;&gt;""),K219-H219,"")</f>
        <v/>
      </c>
      <c r="Q219" s="25">
        <f>IF(G219="","",IF(G219="Fechada","Fechada",IF(G219="Perdida","Perdida",IF(AND(J219&lt;&gt;"",J219&lt;Config!$B$5),"Previsão vencida",IF(AND(O219&lt;&gt;"",O219&gt;Config!$B$7),"Parada","Ativa")))))</f>
        <v/>
      </c>
      <c r="R219" s="37">
        <f>IF(OR(G219="",Q219="Fechada",Q219="Perdida"),0,IF(Q219="Previsão vencida",3,IF(Q219="Parada",2,1))*1E+15+MIN(N(O219),500)*1E+12+MIN(ROUND(N(F219)*100,0),99999999)*1E+4+(304+1-ROW()))</f>
        <v>0</v>
      </c>
    </row>
    <row r="220">
      <c r="A220" s="31" t="n"/>
      <c r="B220" s="34" t="n"/>
      <c r="C220" s="31" t="n"/>
      <c r="D220" s="34" t="n"/>
      <c r="E220" s="34" t="n"/>
      <c r="F220" s="33" t="n"/>
      <c r="G220" s="34" t="n"/>
      <c r="H220" s="36" t="n"/>
      <c r="I220" s="36" t="n"/>
      <c r="J220" s="36" t="n"/>
      <c r="K220" s="36" t="n"/>
      <c r="L220" s="31" t="n"/>
      <c r="M220" s="27">
        <f>IF(G220="","",IFERROR(INDEX(Config!$B$10:$B$15,MATCH(G220,Config!$A$10:$A$15,0)),0))</f>
        <v/>
      </c>
      <c r="N220" s="26">
        <f>IF(OR(G220="",F220=""),"",F220*M220)</f>
        <v/>
      </c>
      <c r="O220" s="29">
        <f>IF(OR(G220="",G220="Fechada",G220="Perdida",AND(H220="",I220="")),"",Config!$B$5-IF(I220="",H220,I220))</f>
        <v/>
      </c>
      <c r="P220" s="29">
        <f>IF(AND(G220="Fechada",K220&lt;&gt;"",H220&lt;&gt;""),K220-H220,"")</f>
        <v/>
      </c>
      <c r="Q220" s="25">
        <f>IF(G220="","",IF(G220="Fechada","Fechada",IF(G220="Perdida","Perdida",IF(AND(J220&lt;&gt;"",J220&lt;Config!$B$5),"Previsão vencida",IF(AND(O220&lt;&gt;"",O220&gt;Config!$B$7),"Parada","Ativa")))))</f>
        <v/>
      </c>
      <c r="R220" s="37">
        <f>IF(OR(G220="",Q220="Fechada",Q220="Perdida"),0,IF(Q220="Previsão vencida",3,IF(Q220="Parada",2,1))*1E+15+MIN(N(O220),500)*1E+12+MIN(ROUND(N(F220)*100,0),99999999)*1E+4+(304+1-ROW()))</f>
        <v>0</v>
      </c>
    </row>
    <row r="221">
      <c r="A221" s="31" t="n"/>
      <c r="B221" s="34" t="n"/>
      <c r="C221" s="31" t="n"/>
      <c r="D221" s="34" t="n"/>
      <c r="E221" s="34" t="n"/>
      <c r="F221" s="33" t="n"/>
      <c r="G221" s="34" t="n"/>
      <c r="H221" s="36" t="n"/>
      <c r="I221" s="36" t="n"/>
      <c r="J221" s="36" t="n"/>
      <c r="K221" s="36" t="n"/>
      <c r="L221" s="31" t="n"/>
      <c r="M221" s="27">
        <f>IF(G221="","",IFERROR(INDEX(Config!$B$10:$B$15,MATCH(G221,Config!$A$10:$A$15,0)),0))</f>
        <v/>
      </c>
      <c r="N221" s="26">
        <f>IF(OR(G221="",F221=""),"",F221*M221)</f>
        <v/>
      </c>
      <c r="O221" s="29">
        <f>IF(OR(G221="",G221="Fechada",G221="Perdida",AND(H221="",I221="")),"",Config!$B$5-IF(I221="",H221,I221))</f>
        <v/>
      </c>
      <c r="P221" s="29">
        <f>IF(AND(G221="Fechada",K221&lt;&gt;"",H221&lt;&gt;""),K221-H221,"")</f>
        <v/>
      </c>
      <c r="Q221" s="25">
        <f>IF(G221="","",IF(G221="Fechada","Fechada",IF(G221="Perdida","Perdida",IF(AND(J221&lt;&gt;"",J221&lt;Config!$B$5),"Previsão vencida",IF(AND(O221&lt;&gt;"",O221&gt;Config!$B$7),"Parada","Ativa")))))</f>
        <v/>
      </c>
      <c r="R221" s="37">
        <f>IF(OR(G221="",Q221="Fechada",Q221="Perdida"),0,IF(Q221="Previsão vencida",3,IF(Q221="Parada",2,1))*1E+15+MIN(N(O221),500)*1E+12+MIN(ROUND(N(F221)*100,0),99999999)*1E+4+(304+1-ROW()))</f>
        <v>0</v>
      </c>
    </row>
    <row r="222">
      <c r="A222" s="31" t="n"/>
      <c r="B222" s="34" t="n"/>
      <c r="C222" s="31" t="n"/>
      <c r="D222" s="34" t="n"/>
      <c r="E222" s="34" t="n"/>
      <c r="F222" s="33" t="n"/>
      <c r="G222" s="34" t="n"/>
      <c r="H222" s="36" t="n"/>
      <c r="I222" s="36" t="n"/>
      <c r="J222" s="36" t="n"/>
      <c r="K222" s="36" t="n"/>
      <c r="L222" s="31" t="n"/>
      <c r="M222" s="27">
        <f>IF(G222="","",IFERROR(INDEX(Config!$B$10:$B$15,MATCH(G222,Config!$A$10:$A$15,0)),0))</f>
        <v/>
      </c>
      <c r="N222" s="26">
        <f>IF(OR(G222="",F222=""),"",F222*M222)</f>
        <v/>
      </c>
      <c r="O222" s="29">
        <f>IF(OR(G222="",G222="Fechada",G222="Perdida",AND(H222="",I222="")),"",Config!$B$5-IF(I222="",H222,I222))</f>
        <v/>
      </c>
      <c r="P222" s="29">
        <f>IF(AND(G222="Fechada",K222&lt;&gt;"",H222&lt;&gt;""),K222-H222,"")</f>
        <v/>
      </c>
      <c r="Q222" s="25">
        <f>IF(G222="","",IF(G222="Fechada","Fechada",IF(G222="Perdida","Perdida",IF(AND(J222&lt;&gt;"",J222&lt;Config!$B$5),"Previsão vencida",IF(AND(O222&lt;&gt;"",O222&gt;Config!$B$7),"Parada","Ativa")))))</f>
        <v/>
      </c>
      <c r="R222" s="37">
        <f>IF(OR(G222="",Q222="Fechada",Q222="Perdida"),0,IF(Q222="Previsão vencida",3,IF(Q222="Parada",2,1))*1E+15+MIN(N(O222),500)*1E+12+MIN(ROUND(N(F222)*100,0),99999999)*1E+4+(304+1-ROW()))</f>
        <v>0</v>
      </c>
    </row>
    <row r="223">
      <c r="A223" s="31" t="n"/>
      <c r="B223" s="34" t="n"/>
      <c r="C223" s="31" t="n"/>
      <c r="D223" s="34" t="n"/>
      <c r="E223" s="34" t="n"/>
      <c r="F223" s="33" t="n"/>
      <c r="G223" s="34" t="n"/>
      <c r="H223" s="36" t="n"/>
      <c r="I223" s="36" t="n"/>
      <c r="J223" s="36" t="n"/>
      <c r="K223" s="36" t="n"/>
      <c r="L223" s="31" t="n"/>
      <c r="M223" s="27">
        <f>IF(G223="","",IFERROR(INDEX(Config!$B$10:$B$15,MATCH(G223,Config!$A$10:$A$15,0)),0))</f>
        <v/>
      </c>
      <c r="N223" s="26">
        <f>IF(OR(G223="",F223=""),"",F223*M223)</f>
        <v/>
      </c>
      <c r="O223" s="29">
        <f>IF(OR(G223="",G223="Fechada",G223="Perdida",AND(H223="",I223="")),"",Config!$B$5-IF(I223="",H223,I223))</f>
        <v/>
      </c>
      <c r="P223" s="29">
        <f>IF(AND(G223="Fechada",K223&lt;&gt;"",H223&lt;&gt;""),K223-H223,"")</f>
        <v/>
      </c>
      <c r="Q223" s="25">
        <f>IF(G223="","",IF(G223="Fechada","Fechada",IF(G223="Perdida","Perdida",IF(AND(J223&lt;&gt;"",J223&lt;Config!$B$5),"Previsão vencida",IF(AND(O223&lt;&gt;"",O223&gt;Config!$B$7),"Parada","Ativa")))))</f>
        <v/>
      </c>
      <c r="R223" s="37">
        <f>IF(OR(G223="",Q223="Fechada",Q223="Perdida"),0,IF(Q223="Previsão vencida",3,IF(Q223="Parada",2,1))*1E+15+MIN(N(O223),500)*1E+12+MIN(ROUND(N(F223)*100,0),99999999)*1E+4+(304+1-ROW()))</f>
        <v>0</v>
      </c>
    </row>
    <row r="224">
      <c r="A224" s="31" t="n"/>
      <c r="B224" s="34" t="n"/>
      <c r="C224" s="31" t="n"/>
      <c r="D224" s="34" t="n"/>
      <c r="E224" s="34" t="n"/>
      <c r="F224" s="33" t="n"/>
      <c r="G224" s="34" t="n"/>
      <c r="H224" s="36" t="n"/>
      <c r="I224" s="36" t="n"/>
      <c r="J224" s="36" t="n"/>
      <c r="K224" s="36" t="n"/>
      <c r="L224" s="31" t="n"/>
      <c r="M224" s="27">
        <f>IF(G224="","",IFERROR(INDEX(Config!$B$10:$B$15,MATCH(G224,Config!$A$10:$A$15,0)),0))</f>
        <v/>
      </c>
      <c r="N224" s="26">
        <f>IF(OR(G224="",F224=""),"",F224*M224)</f>
        <v/>
      </c>
      <c r="O224" s="29">
        <f>IF(OR(G224="",G224="Fechada",G224="Perdida",AND(H224="",I224="")),"",Config!$B$5-IF(I224="",H224,I224))</f>
        <v/>
      </c>
      <c r="P224" s="29">
        <f>IF(AND(G224="Fechada",K224&lt;&gt;"",H224&lt;&gt;""),K224-H224,"")</f>
        <v/>
      </c>
      <c r="Q224" s="25">
        <f>IF(G224="","",IF(G224="Fechada","Fechada",IF(G224="Perdida","Perdida",IF(AND(J224&lt;&gt;"",J224&lt;Config!$B$5),"Previsão vencida",IF(AND(O224&lt;&gt;"",O224&gt;Config!$B$7),"Parada","Ativa")))))</f>
        <v/>
      </c>
      <c r="R224" s="37">
        <f>IF(OR(G224="",Q224="Fechada",Q224="Perdida"),0,IF(Q224="Previsão vencida",3,IF(Q224="Parada",2,1))*1E+15+MIN(N(O224),500)*1E+12+MIN(ROUND(N(F224)*100,0),99999999)*1E+4+(304+1-ROW()))</f>
        <v>0</v>
      </c>
    </row>
    <row r="225">
      <c r="A225" s="31" t="n"/>
      <c r="B225" s="34" t="n"/>
      <c r="C225" s="31" t="n"/>
      <c r="D225" s="34" t="n"/>
      <c r="E225" s="34" t="n"/>
      <c r="F225" s="33" t="n"/>
      <c r="G225" s="34" t="n"/>
      <c r="H225" s="36" t="n"/>
      <c r="I225" s="36" t="n"/>
      <c r="J225" s="36" t="n"/>
      <c r="K225" s="36" t="n"/>
      <c r="L225" s="31" t="n"/>
      <c r="M225" s="27">
        <f>IF(G225="","",IFERROR(INDEX(Config!$B$10:$B$15,MATCH(G225,Config!$A$10:$A$15,0)),0))</f>
        <v/>
      </c>
      <c r="N225" s="26">
        <f>IF(OR(G225="",F225=""),"",F225*M225)</f>
        <v/>
      </c>
      <c r="O225" s="29">
        <f>IF(OR(G225="",G225="Fechada",G225="Perdida",AND(H225="",I225="")),"",Config!$B$5-IF(I225="",H225,I225))</f>
        <v/>
      </c>
      <c r="P225" s="29">
        <f>IF(AND(G225="Fechada",K225&lt;&gt;"",H225&lt;&gt;""),K225-H225,"")</f>
        <v/>
      </c>
      <c r="Q225" s="25">
        <f>IF(G225="","",IF(G225="Fechada","Fechada",IF(G225="Perdida","Perdida",IF(AND(J225&lt;&gt;"",J225&lt;Config!$B$5),"Previsão vencida",IF(AND(O225&lt;&gt;"",O225&gt;Config!$B$7),"Parada","Ativa")))))</f>
        <v/>
      </c>
      <c r="R225" s="37">
        <f>IF(OR(G225="",Q225="Fechada",Q225="Perdida"),0,IF(Q225="Previsão vencida",3,IF(Q225="Parada",2,1))*1E+15+MIN(N(O225),500)*1E+12+MIN(ROUND(N(F225)*100,0),99999999)*1E+4+(304+1-ROW()))</f>
        <v>0</v>
      </c>
    </row>
    <row r="226">
      <c r="A226" s="31" t="n"/>
      <c r="B226" s="34" t="n"/>
      <c r="C226" s="31" t="n"/>
      <c r="D226" s="34" t="n"/>
      <c r="E226" s="34" t="n"/>
      <c r="F226" s="33" t="n"/>
      <c r="G226" s="34" t="n"/>
      <c r="H226" s="36" t="n"/>
      <c r="I226" s="36" t="n"/>
      <c r="J226" s="36" t="n"/>
      <c r="K226" s="36" t="n"/>
      <c r="L226" s="31" t="n"/>
      <c r="M226" s="27">
        <f>IF(G226="","",IFERROR(INDEX(Config!$B$10:$B$15,MATCH(G226,Config!$A$10:$A$15,0)),0))</f>
        <v/>
      </c>
      <c r="N226" s="26">
        <f>IF(OR(G226="",F226=""),"",F226*M226)</f>
        <v/>
      </c>
      <c r="O226" s="29">
        <f>IF(OR(G226="",G226="Fechada",G226="Perdida",AND(H226="",I226="")),"",Config!$B$5-IF(I226="",H226,I226))</f>
        <v/>
      </c>
      <c r="P226" s="29">
        <f>IF(AND(G226="Fechada",K226&lt;&gt;"",H226&lt;&gt;""),K226-H226,"")</f>
        <v/>
      </c>
      <c r="Q226" s="25">
        <f>IF(G226="","",IF(G226="Fechada","Fechada",IF(G226="Perdida","Perdida",IF(AND(J226&lt;&gt;"",J226&lt;Config!$B$5),"Previsão vencida",IF(AND(O226&lt;&gt;"",O226&gt;Config!$B$7),"Parada","Ativa")))))</f>
        <v/>
      </c>
      <c r="R226" s="37">
        <f>IF(OR(G226="",Q226="Fechada",Q226="Perdida"),0,IF(Q226="Previsão vencida",3,IF(Q226="Parada",2,1))*1E+15+MIN(N(O226),500)*1E+12+MIN(ROUND(N(F226)*100,0),99999999)*1E+4+(304+1-ROW()))</f>
        <v>0</v>
      </c>
    </row>
    <row r="227">
      <c r="A227" s="31" t="n"/>
      <c r="B227" s="34" t="n"/>
      <c r="C227" s="31" t="n"/>
      <c r="D227" s="34" t="n"/>
      <c r="E227" s="34" t="n"/>
      <c r="F227" s="33" t="n"/>
      <c r="G227" s="34" t="n"/>
      <c r="H227" s="36" t="n"/>
      <c r="I227" s="36" t="n"/>
      <c r="J227" s="36" t="n"/>
      <c r="K227" s="36" t="n"/>
      <c r="L227" s="31" t="n"/>
      <c r="M227" s="27">
        <f>IF(G227="","",IFERROR(INDEX(Config!$B$10:$B$15,MATCH(G227,Config!$A$10:$A$15,0)),0))</f>
        <v/>
      </c>
      <c r="N227" s="26">
        <f>IF(OR(G227="",F227=""),"",F227*M227)</f>
        <v/>
      </c>
      <c r="O227" s="29">
        <f>IF(OR(G227="",G227="Fechada",G227="Perdida",AND(H227="",I227="")),"",Config!$B$5-IF(I227="",H227,I227))</f>
        <v/>
      </c>
      <c r="P227" s="29">
        <f>IF(AND(G227="Fechada",K227&lt;&gt;"",H227&lt;&gt;""),K227-H227,"")</f>
        <v/>
      </c>
      <c r="Q227" s="25">
        <f>IF(G227="","",IF(G227="Fechada","Fechada",IF(G227="Perdida","Perdida",IF(AND(J227&lt;&gt;"",J227&lt;Config!$B$5),"Previsão vencida",IF(AND(O227&lt;&gt;"",O227&gt;Config!$B$7),"Parada","Ativa")))))</f>
        <v/>
      </c>
      <c r="R227" s="37">
        <f>IF(OR(G227="",Q227="Fechada",Q227="Perdida"),0,IF(Q227="Previsão vencida",3,IF(Q227="Parada",2,1))*1E+15+MIN(N(O227),500)*1E+12+MIN(ROUND(N(F227)*100,0),99999999)*1E+4+(304+1-ROW()))</f>
        <v>0</v>
      </c>
    </row>
    <row r="228">
      <c r="A228" s="31" t="n"/>
      <c r="B228" s="34" t="n"/>
      <c r="C228" s="31" t="n"/>
      <c r="D228" s="34" t="n"/>
      <c r="E228" s="34" t="n"/>
      <c r="F228" s="33" t="n"/>
      <c r="G228" s="34" t="n"/>
      <c r="H228" s="36" t="n"/>
      <c r="I228" s="36" t="n"/>
      <c r="J228" s="36" t="n"/>
      <c r="K228" s="36" t="n"/>
      <c r="L228" s="31" t="n"/>
      <c r="M228" s="27">
        <f>IF(G228="","",IFERROR(INDEX(Config!$B$10:$B$15,MATCH(G228,Config!$A$10:$A$15,0)),0))</f>
        <v/>
      </c>
      <c r="N228" s="26">
        <f>IF(OR(G228="",F228=""),"",F228*M228)</f>
        <v/>
      </c>
      <c r="O228" s="29">
        <f>IF(OR(G228="",G228="Fechada",G228="Perdida",AND(H228="",I228="")),"",Config!$B$5-IF(I228="",H228,I228))</f>
        <v/>
      </c>
      <c r="P228" s="29">
        <f>IF(AND(G228="Fechada",K228&lt;&gt;"",H228&lt;&gt;""),K228-H228,"")</f>
        <v/>
      </c>
      <c r="Q228" s="25">
        <f>IF(G228="","",IF(G228="Fechada","Fechada",IF(G228="Perdida","Perdida",IF(AND(J228&lt;&gt;"",J228&lt;Config!$B$5),"Previsão vencida",IF(AND(O228&lt;&gt;"",O228&gt;Config!$B$7),"Parada","Ativa")))))</f>
        <v/>
      </c>
      <c r="R228" s="37">
        <f>IF(OR(G228="",Q228="Fechada",Q228="Perdida"),0,IF(Q228="Previsão vencida",3,IF(Q228="Parada",2,1))*1E+15+MIN(N(O228),500)*1E+12+MIN(ROUND(N(F228)*100,0),99999999)*1E+4+(304+1-ROW()))</f>
        <v>0</v>
      </c>
    </row>
    <row r="229">
      <c r="A229" s="31" t="n"/>
      <c r="B229" s="34" t="n"/>
      <c r="C229" s="31" t="n"/>
      <c r="D229" s="34" t="n"/>
      <c r="E229" s="34" t="n"/>
      <c r="F229" s="33" t="n"/>
      <c r="G229" s="34" t="n"/>
      <c r="H229" s="36" t="n"/>
      <c r="I229" s="36" t="n"/>
      <c r="J229" s="36" t="n"/>
      <c r="K229" s="36" t="n"/>
      <c r="L229" s="31" t="n"/>
      <c r="M229" s="27">
        <f>IF(G229="","",IFERROR(INDEX(Config!$B$10:$B$15,MATCH(G229,Config!$A$10:$A$15,0)),0))</f>
        <v/>
      </c>
      <c r="N229" s="26">
        <f>IF(OR(G229="",F229=""),"",F229*M229)</f>
        <v/>
      </c>
      <c r="O229" s="29">
        <f>IF(OR(G229="",G229="Fechada",G229="Perdida",AND(H229="",I229="")),"",Config!$B$5-IF(I229="",H229,I229))</f>
        <v/>
      </c>
      <c r="P229" s="29">
        <f>IF(AND(G229="Fechada",K229&lt;&gt;"",H229&lt;&gt;""),K229-H229,"")</f>
        <v/>
      </c>
      <c r="Q229" s="25">
        <f>IF(G229="","",IF(G229="Fechada","Fechada",IF(G229="Perdida","Perdida",IF(AND(J229&lt;&gt;"",J229&lt;Config!$B$5),"Previsão vencida",IF(AND(O229&lt;&gt;"",O229&gt;Config!$B$7),"Parada","Ativa")))))</f>
        <v/>
      </c>
      <c r="R229" s="37">
        <f>IF(OR(G229="",Q229="Fechada",Q229="Perdida"),0,IF(Q229="Previsão vencida",3,IF(Q229="Parada",2,1))*1E+15+MIN(N(O229),500)*1E+12+MIN(ROUND(N(F229)*100,0),99999999)*1E+4+(304+1-ROW()))</f>
        <v>0</v>
      </c>
    </row>
    <row r="230">
      <c r="A230" s="31" t="n"/>
      <c r="B230" s="34" t="n"/>
      <c r="C230" s="31" t="n"/>
      <c r="D230" s="34" t="n"/>
      <c r="E230" s="34" t="n"/>
      <c r="F230" s="33" t="n"/>
      <c r="G230" s="34" t="n"/>
      <c r="H230" s="36" t="n"/>
      <c r="I230" s="36" t="n"/>
      <c r="J230" s="36" t="n"/>
      <c r="K230" s="36" t="n"/>
      <c r="L230" s="31" t="n"/>
      <c r="M230" s="27">
        <f>IF(G230="","",IFERROR(INDEX(Config!$B$10:$B$15,MATCH(G230,Config!$A$10:$A$15,0)),0))</f>
        <v/>
      </c>
      <c r="N230" s="26">
        <f>IF(OR(G230="",F230=""),"",F230*M230)</f>
        <v/>
      </c>
      <c r="O230" s="29">
        <f>IF(OR(G230="",G230="Fechada",G230="Perdida",AND(H230="",I230="")),"",Config!$B$5-IF(I230="",H230,I230))</f>
        <v/>
      </c>
      <c r="P230" s="29">
        <f>IF(AND(G230="Fechada",K230&lt;&gt;"",H230&lt;&gt;""),K230-H230,"")</f>
        <v/>
      </c>
      <c r="Q230" s="25">
        <f>IF(G230="","",IF(G230="Fechada","Fechada",IF(G230="Perdida","Perdida",IF(AND(J230&lt;&gt;"",J230&lt;Config!$B$5),"Previsão vencida",IF(AND(O230&lt;&gt;"",O230&gt;Config!$B$7),"Parada","Ativa")))))</f>
        <v/>
      </c>
      <c r="R230" s="37">
        <f>IF(OR(G230="",Q230="Fechada",Q230="Perdida"),0,IF(Q230="Previsão vencida",3,IF(Q230="Parada",2,1))*1E+15+MIN(N(O230),500)*1E+12+MIN(ROUND(N(F230)*100,0),99999999)*1E+4+(304+1-ROW()))</f>
        <v>0</v>
      </c>
    </row>
    <row r="231">
      <c r="A231" s="31" t="n"/>
      <c r="B231" s="34" t="n"/>
      <c r="C231" s="31" t="n"/>
      <c r="D231" s="34" t="n"/>
      <c r="E231" s="34" t="n"/>
      <c r="F231" s="33" t="n"/>
      <c r="G231" s="34" t="n"/>
      <c r="H231" s="36" t="n"/>
      <c r="I231" s="36" t="n"/>
      <c r="J231" s="36" t="n"/>
      <c r="K231" s="36" t="n"/>
      <c r="L231" s="31" t="n"/>
      <c r="M231" s="27">
        <f>IF(G231="","",IFERROR(INDEX(Config!$B$10:$B$15,MATCH(G231,Config!$A$10:$A$15,0)),0))</f>
        <v/>
      </c>
      <c r="N231" s="26">
        <f>IF(OR(G231="",F231=""),"",F231*M231)</f>
        <v/>
      </c>
      <c r="O231" s="29">
        <f>IF(OR(G231="",G231="Fechada",G231="Perdida",AND(H231="",I231="")),"",Config!$B$5-IF(I231="",H231,I231))</f>
        <v/>
      </c>
      <c r="P231" s="29">
        <f>IF(AND(G231="Fechada",K231&lt;&gt;"",H231&lt;&gt;""),K231-H231,"")</f>
        <v/>
      </c>
      <c r="Q231" s="25">
        <f>IF(G231="","",IF(G231="Fechada","Fechada",IF(G231="Perdida","Perdida",IF(AND(J231&lt;&gt;"",J231&lt;Config!$B$5),"Previsão vencida",IF(AND(O231&lt;&gt;"",O231&gt;Config!$B$7),"Parada","Ativa")))))</f>
        <v/>
      </c>
      <c r="R231" s="37">
        <f>IF(OR(G231="",Q231="Fechada",Q231="Perdida"),0,IF(Q231="Previsão vencida",3,IF(Q231="Parada",2,1))*1E+15+MIN(N(O231),500)*1E+12+MIN(ROUND(N(F231)*100,0),99999999)*1E+4+(304+1-ROW()))</f>
        <v>0</v>
      </c>
    </row>
    <row r="232">
      <c r="A232" s="31" t="n"/>
      <c r="B232" s="34" t="n"/>
      <c r="C232" s="31" t="n"/>
      <c r="D232" s="34" t="n"/>
      <c r="E232" s="34" t="n"/>
      <c r="F232" s="33" t="n"/>
      <c r="G232" s="34" t="n"/>
      <c r="H232" s="36" t="n"/>
      <c r="I232" s="36" t="n"/>
      <c r="J232" s="36" t="n"/>
      <c r="K232" s="36" t="n"/>
      <c r="L232" s="31" t="n"/>
      <c r="M232" s="27">
        <f>IF(G232="","",IFERROR(INDEX(Config!$B$10:$B$15,MATCH(G232,Config!$A$10:$A$15,0)),0))</f>
        <v/>
      </c>
      <c r="N232" s="26">
        <f>IF(OR(G232="",F232=""),"",F232*M232)</f>
        <v/>
      </c>
      <c r="O232" s="29">
        <f>IF(OR(G232="",G232="Fechada",G232="Perdida",AND(H232="",I232="")),"",Config!$B$5-IF(I232="",H232,I232))</f>
        <v/>
      </c>
      <c r="P232" s="29">
        <f>IF(AND(G232="Fechada",K232&lt;&gt;"",H232&lt;&gt;""),K232-H232,"")</f>
        <v/>
      </c>
      <c r="Q232" s="25">
        <f>IF(G232="","",IF(G232="Fechada","Fechada",IF(G232="Perdida","Perdida",IF(AND(J232&lt;&gt;"",J232&lt;Config!$B$5),"Previsão vencida",IF(AND(O232&lt;&gt;"",O232&gt;Config!$B$7),"Parada","Ativa")))))</f>
        <v/>
      </c>
      <c r="R232" s="37">
        <f>IF(OR(G232="",Q232="Fechada",Q232="Perdida"),0,IF(Q232="Previsão vencida",3,IF(Q232="Parada",2,1))*1E+15+MIN(N(O232),500)*1E+12+MIN(ROUND(N(F232)*100,0),99999999)*1E+4+(304+1-ROW()))</f>
        <v>0</v>
      </c>
    </row>
    <row r="233">
      <c r="A233" s="31" t="n"/>
      <c r="B233" s="34" t="n"/>
      <c r="C233" s="31" t="n"/>
      <c r="D233" s="34" t="n"/>
      <c r="E233" s="34" t="n"/>
      <c r="F233" s="33" t="n"/>
      <c r="G233" s="34" t="n"/>
      <c r="H233" s="36" t="n"/>
      <c r="I233" s="36" t="n"/>
      <c r="J233" s="36" t="n"/>
      <c r="K233" s="36" t="n"/>
      <c r="L233" s="31" t="n"/>
      <c r="M233" s="27">
        <f>IF(G233="","",IFERROR(INDEX(Config!$B$10:$B$15,MATCH(G233,Config!$A$10:$A$15,0)),0))</f>
        <v/>
      </c>
      <c r="N233" s="26">
        <f>IF(OR(G233="",F233=""),"",F233*M233)</f>
        <v/>
      </c>
      <c r="O233" s="29">
        <f>IF(OR(G233="",G233="Fechada",G233="Perdida",AND(H233="",I233="")),"",Config!$B$5-IF(I233="",H233,I233))</f>
        <v/>
      </c>
      <c r="P233" s="29">
        <f>IF(AND(G233="Fechada",K233&lt;&gt;"",H233&lt;&gt;""),K233-H233,"")</f>
        <v/>
      </c>
      <c r="Q233" s="25">
        <f>IF(G233="","",IF(G233="Fechada","Fechada",IF(G233="Perdida","Perdida",IF(AND(J233&lt;&gt;"",J233&lt;Config!$B$5),"Previsão vencida",IF(AND(O233&lt;&gt;"",O233&gt;Config!$B$7),"Parada","Ativa")))))</f>
        <v/>
      </c>
      <c r="R233" s="37">
        <f>IF(OR(G233="",Q233="Fechada",Q233="Perdida"),0,IF(Q233="Previsão vencida",3,IF(Q233="Parada",2,1))*1E+15+MIN(N(O233),500)*1E+12+MIN(ROUND(N(F233)*100,0),99999999)*1E+4+(304+1-ROW()))</f>
        <v>0</v>
      </c>
    </row>
    <row r="234">
      <c r="A234" s="31" t="n"/>
      <c r="B234" s="34" t="n"/>
      <c r="C234" s="31" t="n"/>
      <c r="D234" s="34" t="n"/>
      <c r="E234" s="34" t="n"/>
      <c r="F234" s="33" t="n"/>
      <c r="G234" s="34" t="n"/>
      <c r="H234" s="36" t="n"/>
      <c r="I234" s="36" t="n"/>
      <c r="J234" s="36" t="n"/>
      <c r="K234" s="36" t="n"/>
      <c r="L234" s="31" t="n"/>
      <c r="M234" s="27">
        <f>IF(G234="","",IFERROR(INDEX(Config!$B$10:$B$15,MATCH(G234,Config!$A$10:$A$15,0)),0))</f>
        <v/>
      </c>
      <c r="N234" s="26">
        <f>IF(OR(G234="",F234=""),"",F234*M234)</f>
        <v/>
      </c>
      <c r="O234" s="29">
        <f>IF(OR(G234="",G234="Fechada",G234="Perdida",AND(H234="",I234="")),"",Config!$B$5-IF(I234="",H234,I234))</f>
        <v/>
      </c>
      <c r="P234" s="29">
        <f>IF(AND(G234="Fechada",K234&lt;&gt;"",H234&lt;&gt;""),K234-H234,"")</f>
        <v/>
      </c>
      <c r="Q234" s="25">
        <f>IF(G234="","",IF(G234="Fechada","Fechada",IF(G234="Perdida","Perdida",IF(AND(J234&lt;&gt;"",J234&lt;Config!$B$5),"Previsão vencida",IF(AND(O234&lt;&gt;"",O234&gt;Config!$B$7),"Parada","Ativa")))))</f>
        <v/>
      </c>
      <c r="R234" s="37">
        <f>IF(OR(G234="",Q234="Fechada",Q234="Perdida"),0,IF(Q234="Previsão vencida",3,IF(Q234="Parada",2,1))*1E+15+MIN(N(O234),500)*1E+12+MIN(ROUND(N(F234)*100,0),99999999)*1E+4+(304+1-ROW()))</f>
        <v>0</v>
      </c>
    </row>
    <row r="235">
      <c r="A235" s="31" t="n"/>
      <c r="B235" s="34" t="n"/>
      <c r="C235" s="31" t="n"/>
      <c r="D235" s="34" t="n"/>
      <c r="E235" s="34" t="n"/>
      <c r="F235" s="33" t="n"/>
      <c r="G235" s="34" t="n"/>
      <c r="H235" s="36" t="n"/>
      <c r="I235" s="36" t="n"/>
      <c r="J235" s="36" t="n"/>
      <c r="K235" s="36" t="n"/>
      <c r="L235" s="31" t="n"/>
      <c r="M235" s="27">
        <f>IF(G235="","",IFERROR(INDEX(Config!$B$10:$B$15,MATCH(G235,Config!$A$10:$A$15,0)),0))</f>
        <v/>
      </c>
      <c r="N235" s="26">
        <f>IF(OR(G235="",F235=""),"",F235*M235)</f>
        <v/>
      </c>
      <c r="O235" s="29">
        <f>IF(OR(G235="",G235="Fechada",G235="Perdida",AND(H235="",I235="")),"",Config!$B$5-IF(I235="",H235,I235))</f>
        <v/>
      </c>
      <c r="P235" s="29">
        <f>IF(AND(G235="Fechada",K235&lt;&gt;"",H235&lt;&gt;""),K235-H235,"")</f>
        <v/>
      </c>
      <c r="Q235" s="25">
        <f>IF(G235="","",IF(G235="Fechada","Fechada",IF(G235="Perdida","Perdida",IF(AND(J235&lt;&gt;"",J235&lt;Config!$B$5),"Previsão vencida",IF(AND(O235&lt;&gt;"",O235&gt;Config!$B$7),"Parada","Ativa")))))</f>
        <v/>
      </c>
      <c r="R235" s="37">
        <f>IF(OR(G235="",Q235="Fechada",Q235="Perdida"),0,IF(Q235="Previsão vencida",3,IF(Q235="Parada",2,1))*1E+15+MIN(N(O235),500)*1E+12+MIN(ROUND(N(F235)*100,0),99999999)*1E+4+(304+1-ROW()))</f>
        <v>0</v>
      </c>
    </row>
    <row r="236">
      <c r="A236" s="31" t="n"/>
      <c r="B236" s="34" t="n"/>
      <c r="C236" s="31" t="n"/>
      <c r="D236" s="34" t="n"/>
      <c r="E236" s="34" t="n"/>
      <c r="F236" s="33" t="n"/>
      <c r="G236" s="34" t="n"/>
      <c r="H236" s="36" t="n"/>
      <c r="I236" s="36" t="n"/>
      <c r="J236" s="36" t="n"/>
      <c r="K236" s="36" t="n"/>
      <c r="L236" s="31" t="n"/>
      <c r="M236" s="27">
        <f>IF(G236="","",IFERROR(INDEX(Config!$B$10:$B$15,MATCH(G236,Config!$A$10:$A$15,0)),0))</f>
        <v/>
      </c>
      <c r="N236" s="26">
        <f>IF(OR(G236="",F236=""),"",F236*M236)</f>
        <v/>
      </c>
      <c r="O236" s="29">
        <f>IF(OR(G236="",G236="Fechada",G236="Perdida",AND(H236="",I236="")),"",Config!$B$5-IF(I236="",H236,I236))</f>
        <v/>
      </c>
      <c r="P236" s="29">
        <f>IF(AND(G236="Fechada",K236&lt;&gt;"",H236&lt;&gt;""),K236-H236,"")</f>
        <v/>
      </c>
      <c r="Q236" s="25">
        <f>IF(G236="","",IF(G236="Fechada","Fechada",IF(G236="Perdida","Perdida",IF(AND(J236&lt;&gt;"",J236&lt;Config!$B$5),"Previsão vencida",IF(AND(O236&lt;&gt;"",O236&gt;Config!$B$7),"Parada","Ativa")))))</f>
        <v/>
      </c>
      <c r="R236" s="37">
        <f>IF(OR(G236="",Q236="Fechada",Q236="Perdida"),0,IF(Q236="Previsão vencida",3,IF(Q236="Parada",2,1))*1E+15+MIN(N(O236),500)*1E+12+MIN(ROUND(N(F236)*100,0),99999999)*1E+4+(304+1-ROW()))</f>
        <v>0</v>
      </c>
    </row>
    <row r="237">
      <c r="A237" s="31" t="n"/>
      <c r="B237" s="34" t="n"/>
      <c r="C237" s="31" t="n"/>
      <c r="D237" s="34" t="n"/>
      <c r="E237" s="34" t="n"/>
      <c r="F237" s="33" t="n"/>
      <c r="G237" s="34" t="n"/>
      <c r="H237" s="36" t="n"/>
      <c r="I237" s="36" t="n"/>
      <c r="J237" s="36" t="n"/>
      <c r="K237" s="36" t="n"/>
      <c r="L237" s="31" t="n"/>
      <c r="M237" s="27">
        <f>IF(G237="","",IFERROR(INDEX(Config!$B$10:$B$15,MATCH(G237,Config!$A$10:$A$15,0)),0))</f>
        <v/>
      </c>
      <c r="N237" s="26">
        <f>IF(OR(G237="",F237=""),"",F237*M237)</f>
        <v/>
      </c>
      <c r="O237" s="29">
        <f>IF(OR(G237="",G237="Fechada",G237="Perdida",AND(H237="",I237="")),"",Config!$B$5-IF(I237="",H237,I237))</f>
        <v/>
      </c>
      <c r="P237" s="29">
        <f>IF(AND(G237="Fechada",K237&lt;&gt;"",H237&lt;&gt;""),K237-H237,"")</f>
        <v/>
      </c>
      <c r="Q237" s="25">
        <f>IF(G237="","",IF(G237="Fechada","Fechada",IF(G237="Perdida","Perdida",IF(AND(J237&lt;&gt;"",J237&lt;Config!$B$5),"Previsão vencida",IF(AND(O237&lt;&gt;"",O237&gt;Config!$B$7),"Parada","Ativa")))))</f>
        <v/>
      </c>
      <c r="R237" s="37">
        <f>IF(OR(G237="",Q237="Fechada",Q237="Perdida"),0,IF(Q237="Previsão vencida",3,IF(Q237="Parada",2,1))*1E+15+MIN(N(O237),500)*1E+12+MIN(ROUND(N(F237)*100,0),99999999)*1E+4+(304+1-ROW()))</f>
        <v>0</v>
      </c>
    </row>
    <row r="238">
      <c r="A238" s="31" t="n"/>
      <c r="B238" s="34" t="n"/>
      <c r="C238" s="31" t="n"/>
      <c r="D238" s="34" t="n"/>
      <c r="E238" s="34" t="n"/>
      <c r="F238" s="33" t="n"/>
      <c r="G238" s="34" t="n"/>
      <c r="H238" s="36" t="n"/>
      <c r="I238" s="36" t="n"/>
      <c r="J238" s="36" t="n"/>
      <c r="K238" s="36" t="n"/>
      <c r="L238" s="31" t="n"/>
      <c r="M238" s="27">
        <f>IF(G238="","",IFERROR(INDEX(Config!$B$10:$B$15,MATCH(G238,Config!$A$10:$A$15,0)),0))</f>
        <v/>
      </c>
      <c r="N238" s="26">
        <f>IF(OR(G238="",F238=""),"",F238*M238)</f>
        <v/>
      </c>
      <c r="O238" s="29">
        <f>IF(OR(G238="",G238="Fechada",G238="Perdida",AND(H238="",I238="")),"",Config!$B$5-IF(I238="",H238,I238))</f>
        <v/>
      </c>
      <c r="P238" s="29">
        <f>IF(AND(G238="Fechada",K238&lt;&gt;"",H238&lt;&gt;""),K238-H238,"")</f>
        <v/>
      </c>
      <c r="Q238" s="25">
        <f>IF(G238="","",IF(G238="Fechada","Fechada",IF(G238="Perdida","Perdida",IF(AND(J238&lt;&gt;"",J238&lt;Config!$B$5),"Previsão vencida",IF(AND(O238&lt;&gt;"",O238&gt;Config!$B$7),"Parada","Ativa")))))</f>
        <v/>
      </c>
      <c r="R238" s="37">
        <f>IF(OR(G238="",Q238="Fechada",Q238="Perdida"),0,IF(Q238="Previsão vencida",3,IF(Q238="Parada",2,1))*1E+15+MIN(N(O238),500)*1E+12+MIN(ROUND(N(F238)*100,0),99999999)*1E+4+(304+1-ROW()))</f>
        <v>0</v>
      </c>
    </row>
    <row r="239">
      <c r="A239" s="31" t="n"/>
      <c r="B239" s="34" t="n"/>
      <c r="C239" s="31" t="n"/>
      <c r="D239" s="34" t="n"/>
      <c r="E239" s="34" t="n"/>
      <c r="F239" s="33" t="n"/>
      <c r="G239" s="34" t="n"/>
      <c r="H239" s="36" t="n"/>
      <c r="I239" s="36" t="n"/>
      <c r="J239" s="36" t="n"/>
      <c r="K239" s="36" t="n"/>
      <c r="L239" s="31" t="n"/>
      <c r="M239" s="27">
        <f>IF(G239="","",IFERROR(INDEX(Config!$B$10:$B$15,MATCH(G239,Config!$A$10:$A$15,0)),0))</f>
        <v/>
      </c>
      <c r="N239" s="26">
        <f>IF(OR(G239="",F239=""),"",F239*M239)</f>
        <v/>
      </c>
      <c r="O239" s="29">
        <f>IF(OR(G239="",G239="Fechada",G239="Perdida",AND(H239="",I239="")),"",Config!$B$5-IF(I239="",H239,I239))</f>
        <v/>
      </c>
      <c r="P239" s="29">
        <f>IF(AND(G239="Fechada",K239&lt;&gt;"",H239&lt;&gt;""),K239-H239,"")</f>
        <v/>
      </c>
      <c r="Q239" s="25">
        <f>IF(G239="","",IF(G239="Fechada","Fechada",IF(G239="Perdida","Perdida",IF(AND(J239&lt;&gt;"",J239&lt;Config!$B$5),"Previsão vencida",IF(AND(O239&lt;&gt;"",O239&gt;Config!$B$7),"Parada","Ativa")))))</f>
        <v/>
      </c>
      <c r="R239" s="37">
        <f>IF(OR(G239="",Q239="Fechada",Q239="Perdida"),0,IF(Q239="Previsão vencida",3,IF(Q239="Parada",2,1))*1E+15+MIN(N(O239),500)*1E+12+MIN(ROUND(N(F239)*100,0),99999999)*1E+4+(304+1-ROW()))</f>
        <v>0</v>
      </c>
    </row>
    <row r="240">
      <c r="A240" s="31" t="n"/>
      <c r="B240" s="34" t="n"/>
      <c r="C240" s="31" t="n"/>
      <c r="D240" s="34" t="n"/>
      <c r="E240" s="34" t="n"/>
      <c r="F240" s="33" t="n"/>
      <c r="G240" s="34" t="n"/>
      <c r="H240" s="36" t="n"/>
      <c r="I240" s="36" t="n"/>
      <c r="J240" s="36" t="n"/>
      <c r="K240" s="36" t="n"/>
      <c r="L240" s="31" t="n"/>
      <c r="M240" s="27">
        <f>IF(G240="","",IFERROR(INDEX(Config!$B$10:$B$15,MATCH(G240,Config!$A$10:$A$15,0)),0))</f>
        <v/>
      </c>
      <c r="N240" s="26">
        <f>IF(OR(G240="",F240=""),"",F240*M240)</f>
        <v/>
      </c>
      <c r="O240" s="29">
        <f>IF(OR(G240="",G240="Fechada",G240="Perdida",AND(H240="",I240="")),"",Config!$B$5-IF(I240="",H240,I240))</f>
        <v/>
      </c>
      <c r="P240" s="29">
        <f>IF(AND(G240="Fechada",K240&lt;&gt;"",H240&lt;&gt;""),K240-H240,"")</f>
        <v/>
      </c>
      <c r="Q240" s="25">
        <f>IF(G240="","",IF(G240="Fechada","Fechada",IF(G240="Perdida","Perdida",IF(AND(J240&lt;&gt;"",J240&lt;Config!$B$5),"Previsão vencida",IF(AND(O240&lt;&gt;"",O240&gt;Config!$B$7),"Parada","Ativa")))))</f>
        <v/>
      </c>
      <c r="R240" s="37">
        <f>IF(OR(G240="",Q240="Fechada",Q240="Perdida"),0,IF(Q240="Previsão vencida",3,IF(Q240="Parada",2,1))*1E+15+MIN(N(O240),500)*1E+12+MIN(ROUND(N(F240)*100,0),99999999)*1E+4+(304+1-ROW()))</f>
        <v>0</v>
      </c>
    </row>
    <row r="241">
      <c r="A241" s="31" t="n"/>
      <c r="B241" s="34" t="n"/>
      <c r="C241" s="31" t="n"/>
      <c r="D241" s="34" t="n"/>
      <c r="E241" s="34" t="n"/>
      <c r="F241" s="33" t="n"/>
      <c r="G241" s="34" t="n"/>
      <c r="H241" s="36" t="n"/>
      <c r="I241" s="36" t="n"/>
      <c r="J241" s="36" t="n"/>
      <c r="K241" s="36" t="n"/>
      <c r="L241" s="31" t="n"/>
      <c r="M241" s="27">
        <f>IF(G241="","",IFERROR(INDEX(Config!$B$10:$B$15,MATCH(G241,Config!$A$10:$A$15,0)),0))</f>
        <v/>
      </c>
      <c r="N241" s="26">
        <f>IF(OR(G241="",F241=""),"",F241*M241)</f>
        <v/>
      </c>
      <c r="O241" s="29">
        <f>IF(OR(G241="",G241="Fechada",G241="Perdida",AND(H241="",I241="")),"",Config!$B$5-IF(I241="",H241,I241))</f>
        <v/>
      </c>
      <c r="P241" s="29">
        <f>IF(AND(G241="Fechada",K241&lt;&gt;"",H241&lt;&gt;""),K241-H241,"")</f>
        <v/>
      </c>
      <c r="Q241" s="25">
        <f>IF(G241="","",IF(G241="Fechada","Fechada",IF(G241="Perdida","Perdida",IF(AND(J241&lt;&gt;"",J241&lt;Config!$B$5),"Previsão vencida",IF(AND(O241&lt;&gt;"",O241&gt;Config!$B$7),"Parada","Ativa")))))</f>
        <v/>
      </c>
      <c r="R241" s="37">
        <f>IF(OR(G241="",Q241="Fechada",Q241="Perdida"),0,IF(Q241="Previsão vencida",3,IF(Q241="Parada",2,1))*1E+15+MIN(N(O241),500)*1E+12+MIN(ROUND(N(F241)*100,0),99999999)*1E+4+(304+1-ROW()))</f>
        <v>0</v>
      </c>
    </row>
    <row r="242">
      <c r="A242" s="31" t="n"/>
      <c r="B242" s="34" t="n"/>
      <c r="C242" s="31" t="n"/>
      <c r="D242" s="34" t="n"/>
      <c r="E242" s="34" t="n"/>
      <c r="F242" s="33" t="n"/>
      <c r="G242" s="34" t="n"/>
      <c r="H242" s="36" t="n"/>
      <c r="I242" s="36" t="n"/>
      <c r="J242" s="36" t="n"/>
      <c r="K242" s="36" t="n"/>
      <c r="L242" s="31" t="n"/>
      <c r="M242" s="27">
        <f>IF(G242="","",IFERROR(INDEX(Config!$B$10:$B$15,MATCH(G242,Config!$A$10:$A$15,0)),0))</f>
        <v/>
      </c>
      <c r="N242" s="26">
        <f>IF(OR(G242="",F242=""),"",F242*M242)</f>
        <v/>
      </c>
      <c r="O242" s="29">
        <f>IF(OR(G242="",G242="Fechada",G242="Perdida",AND(H242="",I242="")),"",Config!$B$5-IF(I242="",H242,I242))</f>
        <v/>
      </c>
      <c r="P242" s="29">
        <f>IF(AND(G242="Fechada",K242&lt;&gt;"",H242&lt;&gt;""),K242-H242,"")</f>
        <v/>
      </c>
      <c r="Q242" s="25">
        <f>IF(G242="","",IF(G242="Fechada","Fechada",IF(G242="Perdida","Perdida",IF(AND(J242&lt;&gt;"",J242&lt;Config!$B$5),"Previsão vencida",IF(AND(O242&lt;&gt;"",O242&gt;Config!$B$7),"Parada","Ativa")))))</f>
        <v/>
      </c>
      <c r="R242" s="37">
        <f>IF(OR(G242="",Q242="Fechada",Q242="Perdida"),0,IF(Q242="Previsão vencida",3,IF(Q242="Parada",2,1))*1E+15+MIN(N(O242),500)*1E+12+MIN(ROUND(N(F242)*100,0),99999999)*1E+4+(304+1-ROW()))</f>
        <v>0</v>
      </c>
    </row>
    <row r="243">
      <c r="A243" s="31" t="n"/>
      <c r="B243" s="34" t="n"/>
      <c r="C243" s="31" t="n"/>
      <c r="D243" s="34" t="n"/>
      <c r="E243" s="34" t="n"/>
      <c r="F243" s="33" t="n"/>
      <c r="G243" s="34" t="n"/>
      <c r="H243" s="36" t="n"/>
      <c r="I243" s="36" t="n"/>
      <c r="J243" s="36" t="n"/>
      <c r="K243" s="36" t="n"/>
      <c r="L243" s="31" t="n"/>
      <c r="M243" s="27">
        <f>IF(G243="","",IFERROR(INDEX(Config!$B$10:$B$15,MATCH(G243,Config!$A$10:$A$15,0)),0))</f>
        <v/>
      </c>
      <c r="N243" s="26">
        <f>IF(OR(G243="",F243=""),"",F243*M243)</f>
        <v/>
      </c>
      <c r="O243" s="29">
        <f>IF(OR(G243="",G243="Fechada",G243="Perdida",AND(H243="",I243="")),"",Config!$B$5-IF(I243="",H243,I243))</f>
        <v/>
      </c>
      <c r="P243" s="29">
        <f>IF(AND(G243="Fechada",K243&lt;&gt;"",H243&lt;&gt;""),K243-H243,"")</f>
        <v/>
      </c>
      <c r="Q243" s="25">
        <f>IF(G243="","",IF(G243="Fechada","Fechada",IF(G243="Perdida","Perdida",IF(AND(J243&lt;&gt;"",J243&lt;Config!$B$5),"Previsão vencida",IF(AND(O243&lt;&gt;"",O243&gt;Config!$B$7),"Parada","Ativa")))))</f>
        <v/>
      </c>
      <c r="R243" s="37">
        <f>IF(OR(G243="",Q243="Fechada",Q243="Perdida"),0,IF(Q243="Previsão vencida",3,IF(Q243="Parada",2,1))*1E+15+MIN(N(O243),500)*1E+12+MIN(ROUND(N(F243)*100,0),99999999)*1E+4+(304+1-ROW()))</f>
        <v>0</v>
      </c>
    </row>
    <row r="244">
      <c r="A244" s="31" t="n"/>
      <c r="B244" s="34" t="n"/>
      <c r="C244" s="31" t="n"/>
      <c r="D244" s="34" t="n"/>
      <c r="E244" s="34" t="n"/>
      <c r="F244" s="33" t="n"/>
      <c r="G244" s="34" t="n"/>
      <c r="H244" s="36" t="n"/>
      <c r="I244" s="36" t="n"/>
      <c r="J244" s="36" t="n"/>
      <c r="K244" s="36" t="n"/>
      <c r="L244" s="31" t="n"/>
      <c r="M244" s="27">
        <f>IF(G244="","",IFERROR(INDEX(Config!$B$10:$B$15,MATCH(G244,Config!$A$10:$A$15,0)),0))</f>
        <v/>
      </c>
      <c r="N244" s="26">
        <f>IF(OR(G244="",F244=""),"",F244*M244)</f>
        <v/>
      </c>
      <c r="O244" s="29">
        <f>IF(OR(G244="",G244="Fechada",G244="Perdida",AND(H244="",I244="")),"",Config!$B$5-IF(I244="",H244,I244))</f>
        <v/>
      </c>
      <c r="P244" s="29">
        <f>IF(AND(G244="Fechada",K244&lt;&gt;"",H244&lt;&gt;""),K244-H244,"")</f>
        <v/>
      </c>
      <c r="Q244" s="25">
        <f>IF(G244="","",IF(G244="Fechada","Fechada",IF(G244="Perdida","Perdida",IF(AND(J244&lt;&gt;"",J244&lt;Config!$B$5),"Previsão vencida",IF(AND(O244&lt;&gt;"",O244&gt;Config!$B$7),"Parada","Ativa")))))</f>
        <v/>
      </c>
      <c r="R244" s="37">
        <f>IF(OR(G244="",Q244="Fechada",Q244="Perdida"),0,IF(Q244="Previsão vencida",3,IF(Q244="Parada",2,1))*1E+15+MIN(N(O244),500)*1E+12+MIN(ROUND(N(F244)*100,0),99999999)*1E+4+(304+1-ROW()))</f>
        <v>0</v>
      </c>
    </row>
    <row r="245">
      <c r="A245" s="31" t="n"/>
      <c r="B245" s="34" t="n"/>
      <c r="C245" s="31" t="n"/>
      <c r="D245" s="34" t="n"/>
      <c r="E245" s="34" t="n"/>
      <c r="F245" s="33" t="n"/>
      <c r="G245" s="34" t="n"/>
      <c r="H245" s="36" t="n"/>
      <c r="I245" s="36" t="n"/>
      <c r="J245" s="36" t="n"/>
      <c r="K245" s="36" t="n"/>
      <c r="L245" s="31" t="n"/>
      <c r="M245" s="27">
        <f>IF(G245="","",IFERROR(INDEX(Config!$B$10:$B$15,MATCH(G245,Config!$A$10:$A$15,0)),0))</f>
        <v/>
      </c>
      <c r="N245" s="26">
        <f>IF(OR(G245="",F245=""),"",F245*M245)</f>
        <v/>
      </c>
      <c r="O245" s="29">
        <f>IF(OR(G245="",G245="Fechada",G245="Perdida",AND(H245="",I245="")),"",Config!$B$5-IF(I245="",H245,I245))</f>
        <v/>
      </c>
      <c r="P245" s="29">
        <f>IF(AND(G245="Fechada",K245&lt;&gt;"",H245&lt;&gt;""),K245-H245,"")</f>
        <v/>
      </c>
      <c r="Q245" s="25">
        <f>IF(G245="","",IF(G245="Fechada","Fechada",IF(G245="Perdida","Perdida",IF(AND(J245&lt;&gt;"",J245&lt;Config!$B$5),"Previsão vencida",IF(AND(O245&lt;&gt;"",O245&gt;Config!$B$7),"Parada","Ativa")))))</f>
        <v/>
      </c>
      <c r="R245" s="37">
        <f>IF(OR(G245="",Q245="Fechada",Q245="Perdida"),0,IF(Q245="Previsão vencida",3,IF(Q245="Parada",2,1))*1E+15+MIN(N(O245),500)*1E+12+MIN(ROUND(N(F245)*100,0),99999999)*1E+4+(304+1-ROW()))</f>
        <v>0</v>
      </c>
    </row>
    <row r="246">
      <c r="A246" s="31" t="n"/>
      <c r="B246" s="34" t="n"/>
      <c r="C246" s="31" t="n"/>
      <c r="D246" s="34" t="n"/>
      <c r="E246" s="34" t="n"/>
      <c r="F246" s="33" t="n"/>
      <c r="G246" s="34" t="n"/>
      <c r="H246" s="36" t="n"/>
      <c r="I246" s="36" t="n"/>
      <c r="J246" s="36" t="n"/>
      <c r="K246" s="36" t="n"/>
      <c r="L246" s="31" t="n"/>
      <c r="M246" s="27">
        <f>IF(G246="","",IFERROR(INDEX(Config!$B$10:$B$15,MATCH(G246,Config!$A$10:$A$15,0)),0))</f>
        <v/>
      </c>
      <c r="N246" s="26">
        <f>IF(OR(G246="",F246=""),"",F246*M246)</f>
        <v/>
      </c>
      <c r="O246" s="29">
        <f>IF(OR(G246="",G246="Fechada",G246="Perdida",AND(H246="",I246="")),"",Config!$B$5-IF(I246="",H246,I246))</f>
        <v/>
      </c>
      <c r="P246" s="29">
        <f>IF(AND(G246="Fechada",K246&lt;&gt;"",H246&lt;&gt;""),K246-H246,"")</f>
        <v/>
      </c>
      <c r="Q246" s="25">
        <f>IF(G246="","",IF(G246="Fechada","Fechada",IF(G246="Perdida","Perdida",IF(AND(J246&lt;&gt;"",J246&lt;Config!$B$5),"Previsão vencida",IF(AND(O246&lt;&gt;"",O246&gt;Config!$B$7),"Parada","Ativa")))))</f>
        <v/>
      </c>
      <c r="R246" s="37">
        <f>IF(OR(G246="",Q246="Fechada",Q246="Perdida"),0,IF(Q246="Previsão vencida",3,IF(Q246="Parada",2,1))*1E+15+MIN(N(O246),500)*1E+12+MIN(ROUND(N(F246)*100,0),99999999)*1E+4+(304+1-ROW()))</f>
        <v>0</v>
      </c>
    </row>
    <row r="247">
      <c r="A247" s="31" t="n"/>
      <c r="B247" s="34" t="n"/>
      <c r="C247" s="31" t="n"/>
      <c r="D247" s="34" t="n"/>
      <c r="E247" s="34" t="n"/>
      <c r="F247" s="33" t="n"/>
      <c r="G247" s="34" t="n"/>
      <c r="H247" s="36" t="n"/>
      <c r="I247" s="36" t="n"/>
      <c r="J247" s="36" t="n"/>
      <c r="K247" s="36" t="n"/>
      <c r="L247" s="31" t="n"/>
      <c r="M247" s="27">
        <f>IF(G247="","",IFERROR(INDEX(Config!$B$10:$B$15,MATCH(G247,Config!$A$10:$A$15,0)),0))</f>
        <v/>
      </c>
      <c r="N247" s="26">
        <f>IF(OR(G247="",F247=""),"",F247*M247)</f>
        <v/>
      </c>
      <c r="O247" s="29">
        <f>IF(OR(G247="",G247="Fechada",G247="Perdida",AND(H247="",I247="")),"",Config!$B$5-IF(I247="",H247,I247))</f>
        <v/>
      </c>
      <c r="P247" s="29">
        <f>IF(AND(G247="Fechada",K247&lt;&gt;"",H247&lt;&gt;""),K247-H247,"")</f>
        <v/>
      </c>
      <c r="Q247" s="25">
        <f>IF(G247="","",IF(G247="Fechada","Fechada",IF(G247="Perdida","Perdida",IF(AND(J247&lt;&gt;"",J247&lt;Config!$B$5),"Previsão vencida",IF(AND(O247&lt;&gt;"",O247&gt;Config!$B$7),"Parada","Ativa")))))</f>
        <v/>
      </c>
      <c r="R247" s="37">
        <f>IF(OR(G247="",Q247="Fechada",Q247="Perdida"),0,IF(Q247="Previsão vencida",3,IF(Q247="Parada",2,1))*1E+15+MIN(N(O247),500)*1E+12+MIN(ROUND(N(F247)*100,0),99999999)*1E+4+(304+1-ROW()))</f>
        <v>0</v>
      </c>
    </row>
    <row r="248">
      <c r="A248" s="31" t="n"/>
      <c r="B248" s="34" t="n"/>
      <c r="C248" s="31" t="n"/>
      <c r="D248" s="34" t="n"/>
      <c r="E248" s="34" t="n"/>
      <c r="F248" s="33" t="n"/>
      <c r="G248" s="34" t="n"/>
      <c r="H248" s="36" t="n"/>
      <c r="I248" s="36" t="n"/>
      <c r="J248" s="36" t="n"/>
      <c r="K248" s="36" t="n"/>
      <c r="L248" s="31" t="n"/>
      <c r="M248" s="27">
        <f>IF(G248="","",IFERROR(INDEX(Config!$B$10:$B$15,MATCH(G248,Config!$A$10:$A$15,0)),0))</f>
        <v/>
      </c>
      <c r="N248" s="26">
        <f>IF(OR(G248="",F248=""),"",F248*M248)</f>
        <v/>
      </c>
      <c r="O248" s="29">
        <f>IF(OR(G248="",G248="Fechada",G248="Perdida",AND(H248="",I248="")),"",Config!$B$5-IF(I248="",H248,I248))</f>
        <v/>
      </c>
      <c r="P248" s="29">
        <f>IF(AND(G248="Fechada",K248&lt;&gt;"",H248&lt;&gt;""),K248-H248,"")</f>
        <v/>
      </c>
      <c r="Q248" s="25">
        <f>IF(G248="","",IF(G248="Fechada","Fechada",IF(G248="Perdida","Perdida",IF(AND(J248&lt;&gt;"",J248&lt;Config!$B$5),"Previsão vencida",IF(AND(O248&lt;&gt;"",O248&gt;Config!$B$7),"Parada","Ativa")))))</f>
        <v/>
      </c>
      <c r="R248" s="37">
        <f>IF(OR(G248="",Q248="Fechada",Q248="Perdida"),0,IF(Q248="Previsão vencida",3,IF(Q248="Parada",2,1))*1E+15+MIN(N(O248),500)*1E+12+MIN(ROUND(N(F248)*100,0),99999999)*1E+4+(304+1-ROW()))</f>
        <v>0</v>
      </c>
    </row>
    <row r="249">
      <c r="A249" s="31" t="n"/>
      <c r="B249" s="34" t="n"/>
      <c r="C249" s="31" t="n"/>
      <c r="D249" s="34" t="n"/>
      <c r="E249" s="34" t="n"/>
      <c r="F249" s="33" t="n"/>
      <c r="G249" s="34" t="n"/>
      <c r="H249" s="36" t="n"/>
      <c r="I249" s="36" t="n"/>
      <c r="J249" s="36" t="n"/>
      <c r="K249" s="36" t="n"/>
      <c r="L249" s="31" t="n"/>
      <c r="M249" s="27">
        <f>IF(G249="","",IFERROR(INDEX(Config!$B$10:$B$15,MATCH(G249,Config!$A$10:$A$15,0)),0))</f>
        <v/>
      </c>
      <c r="N249" s="26">
        <f>IF(OR(G249="",F249=""),"",F249*M249)</f>
        <v/>
      </c>
      <c r="O249" s="29">
        <f>IF(OR(G249="",G249="Fechada",G249="Perdida",AND(H249="",I249="")),"",Config!$B$5-IF(I249="",H249,I249))</f>
        <v/>
      </c>
      <c r="P249" s="29">
        <f>IF(AND(G249="Fechada",K249&lt;&gt;"",H249&lt;&gt;""),K249-H249,"")</f>
        <v/>
      </c>
      <c r="Q249" s="25">
        <f>IF(G249="","",IF(G249="Fechada","Fechada",IF(G249="Perdida","Perdida",IF(AND(J249&lt;&gt;"",J249&lt;Config!$B$5),"Previsão vencida",IF(AND(O249&lt;&gt;"",O249&gt;Config!$B$7),"Parada","Ativa")))))</f>
        <v/>
      </c>
      <c r="R249" s="37">
        <f>IF(OR(G249="",Q249="Fechada",Q249="Perdida"),0,IF(Q249="Previsão vencida",3,IF(Q249="Parada",2,1))*1E+15+MIN(N(O249),500)*1E+12+MIN(ROUND(N(F249)*100,0),99999999)*1E+4+(304+1-ROW()))</f>
        <v>0</v>
      </c>
    </row>
    <row r="250">
      <c r="A250" s="31" t="n"/>
      <c r="B250" s="34" t="n"/>
      <c r="C250" s="31" t="n"/>
      <c r="D250" s="34" t="n"/>
      <c r="E250" s="34" t="n"/>
      <c r="F250" s="33" t="n"/>
      <c r="G250" s="34" t="n"/>
      <c r="H250" s="36" t="n"/>
      <c r="I250" s="36" t="n"/>
      <c r="J250" s="36" t="n"/>
      <c r="K250" s="36" t="n"/>
      <c r="L250" s="31" t="n"/>
      <c r="M250" s="27">
        <f>IF(G250="","",IFERROR(INDEX(Config!$B$10:$B$15,MATCH(G250,Config!$A$10:$A$15,0)),0))</f>
        <v/>
      </c>
      <c r="N250" s="26">
        <f>IF(OR(G250="",F250=""),"",F250*M250)</f>
        <v/>
      </c>
      <c r="O250" s="29">
        <f>IF(OR(G250="",G250="Fechada",G250="Perdida",AND(H250="",I250="")),"",Config!$B$5-IF(I250="",H250,I250))</f>
        <v/>
      </c>
      <c r="P250" s="29">
        <f>IF(AND(G250="Fechada",K250&lt;&gt;"",H250&lt;&gt;""),K250-H250,"")</f>
        <v/>
      </c>
      <c r="Q250" s="25">
        <f>IF(G250="","",IF(G250="Fechada","Fechada",IF(G250="Perdida","Perdida",IF(AND(J250&lt;&gt;"",J250&lt;Config!$B$5),"Previsão vencida",IF(AND(O250&lt;&gt;"",O250&gt;Config!$B$7),"Parada","Ativa")))))</f>
        <v/>
      </c>
      <c r="R250" s="37">
        <f>IF(OR(G250="",Q250="Fechada",Q250="Perdida"),0,IF(Q250="Previsão vencida",3,IF(Q250="Parada",2,1))*1E+15+MIN(N(O250),500)*1E+12+MIN(ROUND(N(F250)*100,0),99999999)*1E+4+(304+1-ROW()))</f>
        <v>0</v>
      </c>
    </row>
    <row r="251">
      <c r="A251" s="31" t="n"/>
      <c r="B251" s="34" t="n"/>
      <c r="C251" s="31" t="n"/>
      <c r="D251" s="34" t="n"/>
      <c r="E251" s="34" t="n"/>
      <c r="F251" s="33" t="n"/>
      <c r="G251" s="34" t="n"/>
      <c r="H251" s="36" t="n"/>
      <c r="I251" s="36" t="n"/>
      <c r="J251" s="36" t="n"/>
      <c r="K251" s="36" t="n"/>
      <c r="L251" s="31" t="n"/>
      <c r="M251" s="27">
        <f>IF(G251="","",IFERROR(INDEX(Config!$B$10:$B$15,MATCH(G251,Config!$A$10:$A$15,0)),0))</f>
        <v/>
      </c>
      <c r="N251" s="26">
        <f>IF(OR(G251="",F251=""),"",F251*M251)</f>
        <v/>
      </c>
      <c r="O251" s="29">
        <f>IF(OR(G251="",G251="Fechada",G251="Perdida",AND(H251="",I251="")),"",Config!$B$5-IF(I251="",H251,I251))</f>
        <v/>
      </c>
      <c r="P251" s="29">
        <f>IF(AND(G251="Fechada",K251&lt;&gt;"",H251&lt;&gt;""),K251-H251,"")</f>
        <v/>
      </c>
      <c r="Q251" s="25">
        <f>IF(G251="","",IF(G251="Fechada","Fechada",IF(G251="Perdida","Perdida",IF(AND(J251&lt;&gt;"",J251&lt;Config!$B$5),"Previsão vencida",IF(AND(O251&lt;&gt;"",O251&gt;Config!$B$7),"Parada","Ativa")))))</f>
        <v/>
      </c>
      <c r="R251" s="37">
        <f>IF(OR(G251="",Q251="Fechada",Q251="Perdida"),0,IF(Q251="Previsão vencida",3,IF(Q251="Parada",2,1))*1E+15+MIN(N(O251),500)*1E+12+MIN(ROUND(N(F251)*100,0),99999999)*1E+4+(304+1-ROW()))</f>
        <v>0</v>
      </c>
    </row>
    <row r="252">
      <c r="A252" s="31" t="n"/>
      <c r="B252" s="34" t="n"/>
      <c r="C252" s="31" t="n"/>
      <c r="D252" s="34" t="n"/>
      <c r="E252" s="34" t="n"/>
      <c r="F252" s="33" t="n"/>
      <c r="G252" s="34" t="n"/>
      <c r="H252" s="36" t="n"/>
      <c r="I252" s="36" t="n"/>
      <c r="J252" s="36" t="n"/>
      <c r="K252" s="36" t="n"/>
      <c r="L252" s="31" t="n"/>
      <c r="M252" s="27">
        <f>IF(G252="","",IFERROR(INDEX(Config!$B$10:$B$15,MATCH(G252,Config!$A$10:$A$15,0)),0))</f>
        <v/>
      </c>
      <c r="N252" s="26">
        <f>IF(OR(G252="",F252=""),"",F252*M252)</f>
        <v/>
      </c>
      <c r="O252" s="29">
        <f>IF(OR(G252="",G252="Fechada",G252="Perdida",AND(H252="",I252="")),"",Config!$B$5-IF(I252="",H252,I252))</f>
        <v/>
      </c>
      <c r="P252" s="29">
        <f>IF(AND(G252="Fechada",K252&lt;&gt;"",H252&lt;&gt;""),K252-H252,"")</f>
        <v/>
      </c>
      <c r="Q252" s="25">
        <f>IF(G252="","",IF(G252="Fechada","Fechada",IF(G252="Perdida","Perdida",IF(AND(J252&lt;&gt;"",J252&lt;Config!$B$5),"Previsão vencida",IF(AND(O252&lt;&gt;"",O252&gt;Config!$B$7),"Parada","Ativa")))))</f>
        <v/>
      </c>
      <c r="R252" s="37">
        <f>IF(OR(G252="",Q252="Fechada",Q252="Perdida"),0,IF(Q252="Previsão vencida",3,IF(Q252="Parada",2,1))*1E+15+MIN(N(O252),500)*1E+12+MIN(ROUND(N(F252)*100,0),99999999)*1E+4+(304+1-ROW()))</f>
        <v>0</v>
      </c>
    </row>
    <row r="253">
      <c r="A253" s="31" t="n"/>
      <c r="B253" s="34" t="n"/>
      <c r="C253" s="31" t="n"/>
      <c r="D253" s="34" t="n"/>
      <c r="E253" s="34" t="n"/>
      <c r="F253" s="33" t="n"/>
      <c r="G253" s="34" t="n"/>
      <c r="H253" s="36" t="n"/>
      <c r="I253" s="36" t="n"/>
      <c r="J253" s="36" t="n"/>
      <c r="K253" s="36" t="n"/>
      <c r="L253" s="31" t="n"/>
      <c r="M253" s="27">
        <f>IF(G253="","",IFERROR(INDEX(Config!$B$10:$B$15,MATCH(G253,Config!$A$10:$A$15,0)),0))</f>
        <v/>
      </c>
      <c r="N253" s="26">
        <f>IF(OR(G253="",F253=""),"",F253*M253)</f>
        <v/>
      </c>
      <c r="O253" s="29">
        <f>IF(OR(G253="",G253="Fechada",G253="Perdida",AND(H253="",I253="")),"",Config!$B$5-IF(I253="",H253,I253))</f>
        <v/>
      </c>
      <c r="P253" s="29">
        <f>IF(AND(G253="Fechada",K253&lt;&gt;"",H253&lt;&gt;""),K253-H253,"")</f>
        <v/>
      </c>
      <c r="Q253" s="25">
        <f>IF(G253="","",IF(G253="Fechada","Fechada",IF(G253="Perdida","Perdida",IF(AND(J253&lt;&gt;"",J253&lt;Config!$B$5),"Previsão vencida",IF(AND(O253&lt;&gt;"",O253&gt;Config!$B$7),"Parada","Ativa")))))</f>
        <v/>
      </c>
      <c r="R253" s="37">
        <f>IF(OR(G253="",Q253="Fechada",Q253="Perdida"),0,IF(Q253="Previsão vencida",3,IF(Q253="Parada",2,1))*1E+15+MIN(N(O253),500)*1E+12+MIN(ROUND(N(F253)*100,0),99999999)*1E+4+(304+1-ROW()))</f>
        <v>0</v>
      </c>
    </row>
    <row r="254">
      <c r="A254" s="31" t="n"/>
      <c r="B254" s="34" t="n"/>
      <c r="C254" s="31" t="n"/>
      <c r="D254" s="34" t="n"/>
      <c r="E254" s="34" t="n"/>
      <c r="F254" s="33" t="n"/>
      <c r="G254" s="34" t="n"/>
      <c r="H254" s="36" t="n"/>
      <c r="I254" s="36" t="n"/>
      <c r="J254" s="36" t="n"/>
      <c r="K254" s="36" t="n"/>
      <c r="L254" s="31" t="n"/>
      <c r="M254" s="27">
        <f>IF(G254="","",IFERROR(INDEX(Config!$B$10:$B$15,MATCH(G254,Config!$A$10:$A$15,0)),0))</f>
        <v/>
      </c>
      <c r="N254" s="26">
        <f>IF(OR(G254="",F254=""),"",F254*M254)</f>
        <v/>
      </c>
      <c r="O254" s="29">
        <f>IF(OR(G254="",G254="Fechada",G254="Perdida",AND(H254="",I254="")),"",Config!$B$5-IF(I254="",H254,I254))</f>
        <v/>
      </c>
      <c r="P254" s="29">
        <f>IF(AND(G254="Fechada",K254&lt;&gt;"",H254&lt;&gt;""),K254-H254,"")</f>
        <v/>
      </c>
      <c r="Q254" s="25">
        <f>IF(G254="","",IF(G254="Fechada","Fechada",IF(G254="Perdida","Perdida",IF(AND(J254&lt;&gt;"",J254&lt;Config!$B$5),"Previsão vencida",IF(AND(O254&lt;&gt;"",O254&gt;Config!$B$7),"Parada","Ativa")))))</f>
        <v/>
      </c>
      <c r="R254" s="37">
        <f>IF(OR(G254="",Q254="Fechada",Q254="Perdida"),0,IF(Q254="Previsão vencida",3,IF(Q254="Parada",2,1))*1E+15+MIN(N(O254),500)*1E+12+MIN(ROUND(N(F254)*100,0),99999999)*1E+4+(304+1-ROW()))</f>
        <v>0</v>
      </c>
    </row>
    <row r="255">
      <c r="A255" s="31" t="n"/>
      <c r="B255" s="34" t="n"/>
      <c r="C255" s="31" t="n"/>
      <c r="D255" s="34" t="n"/>
      <c r="E255" s="34" t="n"/>
      <c r="F255" s="33" t="n"/>
      <c r="G255" s="34" t="n"/>
      <c r="H255" s="36" t="n"/>
      <c r="I255" s="36" t="n"/>
      <c r="J255" s="36" t="n"/>
      <c r="K255" s="36" t="n"/>
      <c r="L255" s="31" t="n"/>
      <c r="M255" s="27">
        <f>IF(G255="","",IFERROR(INDEX(Config!$B$10:$B$15,MATCH(G255,Config!$A$10:$A$15,0)),0))</f>
        <v/>
      </c>
      <c r="N255" s="26">
        <f>IF(OR(G255="",F255=""),"",F255*M255)</f>
        <v/>
      </c>
      <c r="O255" s="29">
        <f>IF(OR(G255="",G255="Fechada",G255="Perdida",AND(H255="",I255="")),"",Config!$B$5-IF(I255="",H255,I255))</f>
        <v/>
      </c>
      <c r="P255" s="29">
        <f>IF(AND(G255="Fechada",K255&lt;&gt;"",H255&lt;&gt;""),K255-H255,"")</f>
        <v/>
      </c>
      <c r="Q255" s="25">
        <f>IF(G255="","",IF(G255="Fechada","Fechada",IF(G255="Perdida","Perdida",IF(AND(J255&lt;&gt;"",J255&lt;Config!$B$5),"Previsão vencida",IF(AND(O255&lt;&gt;"",O255&gt;Config!$B$7),"Parada","Ativa")))))</f>
        <v/>
      </c>
      <c r="R255" s="37">
        <f>IF(OR(G255="",Q255="Fechada",Q255="Perdida"),0,IF(Q255="Previsão vencida",3,IF(Q255="Parada",2,1))*1E+15+MIN(N(O255),500)*1E+12+MIN(ROUND(N(F255)*100,0),99999999)*1E+4+(304+1-ROW()))</f>
        <v>0</v>
      </c>
    </row>
    <row r="256">
      <c r="A256" s="31" t="n"/>
      <c r="B256" s="34" t="n"/>
      <c r="C256" s="31" t="n"/>
      <c r="D256" s="34" t="n"/>
      <c r="E256" s="34" t="n"/>
      <c r="F256" s="33" t="n"/>
      <c r="G256" s="34" t="n"/>
      <c r="H256" s="36" t="n"/>
      <c r="I256" s="36" t="n"/>
      <c r="J256" s="36" t="n"/>
      <c r="K256" s="36" t="n"/>
      <c r="L256" s="31" t="n"/>
      <c r="M256" s="27">
        <f>IF(G256="","",IFERROR(INDEX(Config!$B$10:$B$15,MATCH(G256,Config!$A$10:$A$15,0)),0))</f>
        <v/>
      </c>
      <c r="N256" s="26">
        <f>IF(OR(G256="",F256=""),"",F256*M256)</f>
        <v/>
      </c>
      <c r="O256" s="29">
        <f>IF(OR(G256="",G256="Fechada",G256="Perdida",AND(H256="",I256="")),"",Config!$B$5-IF(I256="",H256,I256))</f>
        <v/>
      </c>
      <c r="P256" s="29">
        <f>IF(AND(G256="Fechada",K256&lt;&gt;"",H256&lt;&gt;""),K256-H256,"")</f>
        <v/>
      </c>
      <c r="Q256" s="25">
        <f>IF(G256="","",IF(G256="Fechada","Fechada",IF(G256="Perdida","Perdida",IF(AND(J256&lt;&gt;"",J256&lt;Config!$B$5),"Previsão vencida",IF(AND(O256&lt;&gt;"",O256&gt;Config!$B$7),"Parada","Ativa")))))</f>
        <v/>
      </c>
      <c r="R256" s="37">
        <f>IF(OR(G256="",Q256="Fechada",Q256="Perdida"),0,IF(Q256="Previsão vencida",3,IF(Q256="Parada",2,1))*1E+15+MIN(N(O256),500)*1E+12+MIN(ROUND(N(F256)*100,0),99999999)*1E+4+(304+1-ROW()))</f>
        <v>0</v>
      </c>
    </row>
    <row r="257">
      <c r="A257" s="31" t="n"/>
      <c r="B257" s="34" t="n"/>
      <c r="C257" s="31" t="n"/>
      <c r="D257" s="34" t="n"/>
      <c r="E257" s="34" t="n"/>
      <c r="F257" s="33" t="n"/>
      <c r="G257" s="34" t="n"/>
      <c r="H257" s="36" t="n"/>
      <c r="I257" s="36" t="n"/>
      <c r="J257" s="36" t="n"/>
      <c r="K257" s="36" t="n"/>
      <c r="L257" s="31" t="n"/>
      <c r="M257" s="27">
        <f>IF(G257="","",IFERROR(INDEX(Config!$B$10:$B$15,MATCH(G257,Config!$A$10:$A$15,0)),0))</f>
        <v/>
      </c>
      <c r="N257" s="26">
        <f>IF(OR(G257="",F257=""),"",F257*M257)</f>
        <v/>
      </c>
      <c r="O257" s="29">
        <f>IF(OR(G257="",G257="Fechada",G257="Perdida",AND(H257="",I257="")),"",Config!$B$5-IF(I257="",H257,I257))</f>
        <v/>
      </c>
      <c r="P257" s="29">
        <f>IF(AND(G257="Fechada",K257&lt;&gt;"",H257&lt;&gt;""),K257-H257,"")</f>
        <v/>
      </c>
      <c r="Q257" s="25">
        <f>IF(G257="","",IF(G257="Fechada","Fechada",IF(G257="Perdida","Perdida",IF(AND(J257&lt;&gt;"",J257&lt;Config!$B$5),"Previsão vencida",IF(AND(O257&lt;&gt;"",O257&gt;Config!$B$7),"Parada","Ativa")))))</f>
        <v/>
      </c>
      <c r="R257" s="37">
        <f>IF(OR(G257="",Q257="Fechada",Q257="Perdida"),0,IF(Q257="Previsão vencida",3,IF(Q257="Parada",2,1))*1E+15+MIN(N(O257),500)*1E+12+MIN(ROUND(N(F257)*100,0),99999999)*1E+4+(304+1-ROW()))</f>
        <v>0</v>
      </c>
    </row>
    <row r="258">
      <c r="A258" s="31" t="n"/>
      <c r="B258" s="34" t="n"/>
      <c r="C258" s="31" t="n"/>
      <c r="D258" s="34" t="n"/>
      <c r="E258" s="34" t="n"/>
      <c r="F258" s="33" t="n"/>
      <c r="G258" s="34" t="n"/>
      <c r="H258" s="36" t="n"/>
      <c r="I258" s="36" t="n"/>
      <c r="J258" s="36" t="n"/>
      <c r="K258" s="36" t="n"/>
      <c r="L258" s="31" t="n"/>
      <c r="M258" s="27">
        <f>IF(G258="","",IFERROR(INDEX(Config!$B$10:$B$15,MATCH(G258,Config!$A$10:$A$15,0)),0))</f>
        <v/>
      </c>
      <c r="N258" s="26">
        <f>IF(OR(G258="",F258=""),"",F258*M258)</f>
        <v/>
      </c>
      <c r="O258" s="29">
        <f>IF(OR(G258="",G258="Fechada",G258="Perdida",AND(H258="",I258="")),"",Config!$B$5-IF(I258="",H258,I258))</f>
        <v/>
      </c>
      <c r="P258" s="29">
        <f>IF(AND(G258="Fechada",K258&lt;&gt;"",H258&lt;&gt;""),K258-H258,"")</f>
        <v/>
      </c>
      <c r="Q258" s="25">
        <f>IF(G258="","",IF(G258="Fechada","Fechada",IF(G258="Perdida","Perdida",IF(AND(J258&lt;&gt;"",J258&lt;Config!$B$5),"Previsão vencida",IF(AND(O258&lt;&gt;"",O258&gt;Config!$B$7),"Parada","Ativa")))))</f>
        <v/>
      </c>
      <c r="R258" s="37">
        <f>IF(OR(G258="",Q258="Fechada",Q258="Perdida"),0,IF(Q258="Previsão vencida",3,IF(Q258="Parada",2,1))*1E+15+MIN(N(O258),500)*1E+12+MIN(ROUND(N(F258)*100,0),99999999)*1E+4+(304+1-ROW()))</f>
        <v>0</v>
      </c>
    </row>
    <row r="259">
      <c r="A259" s="31" t="n"/>
      <c r="B259" s="34" t="n"/>
      <c r="C259" s="31" t="n"/>
      <c r="D259" s="34" t="n"/>
      <c r="E259" s="34" t="n"/>
      <c r="F259" s="33" t="n"/>
      <c r="G259" s="34" t="n"/>
      <c r="H259" s="36" t="n"/>
      <c r="I259" s="36" t="n"/>
      <c r="J259" s="36" t="n"/>
      <c r="K259" s="36" t="n"/>
      <c r="L259" s="31" t="n"/>
      <c r="M259" s="27">
        <f>IF(G259="","",IFERROR(INDEX(Config!$B$10:$B$15,MATCH(G259,Config!$A$10:$A$15,0)),0))</f>
        <v/>
      </c>
      <c r="N259" s="26">
        <f>IF(OR(G259="",F259=""),"",F259*M259)</f>
        <v/>
      </c>
      <c r="O259" s="29">
        <f>IF(OR(G259="",G259="Fechada",G259="Perdida",AND(H259="",I259="")),"",Config!$B$5-IF(I259="",H259,I259))</f>
        <v/>
      </c>
      <c r="P259" s="29">
        <f>IF(AND(G259="Fechada",K259&lt;&gt;"",H259&lt;&gt;""),K259-H259,"")</f>
        <v/>
      </c>
      <c r="Q259" s="25">
        <f>IF(G259="","",IF(G259="Fechada","Fechada",IF(G259="Perdida","Perdida",IF(AND(J259&lt;&gt;"",J259&lt;Config!$B$5),"Previsão vencida",IF(AND(O259&lt;&gt;"",O259&gt;Config!$B$7),"Parada","Ativa")))))</f>
        <v/>
      </c>
      <c r="R259" s="37">
        <f>IF(OR(G259="",Q259="Fechada",Q259="Perdida"),0,IF(Q259="Previsão vencida",3,IF(Q259="Parada",2,1))*1E+15+MIN(N(O259),500)*1E+12+MIN(ROUND(N(F259)*100,0),99999999)*1E+4+(304+1-ROW()))</f>
        <v>0</v>
      </c>
    </row>
    <row r="260">
      <c r="A260" s="31" t="n"/>
      <c r="B260" s="34" t="n"/>
      <c r="C260" s="31" t="n"/>
      <c r="D260" s="34" t="n"/>
      <c r="E260" s="34" t="n"/>
      <c r="F260" s="33" t="n"/>
      <c r="G260" s="34" t="n"/>
      <c r="H260" s="36" t="n"/>
      <c r="I260" s="36" t="n"/>
      <c r="J260" s="36" t="n"/>
      <c r="K260" s="36" t="n"/>
      <c r="L260" s="31" t="n"/>
      <c r="M260" s="27">
        <f>IF(G260="","",IFERROR(INDEX(Config!$B$10:$B$15,MATCH(G260,Config!$A$10:$A$15,0)),0))</f>
        <v/>
      </c>
      <c r="N260" s="26">
        <f>IF(OR(G260="",F260=""),"",F260*M260)</f>
        <v/>
      </c>
      <c r="O260" s="29">
        <f>IF(OR(G260="",G260="Fechada",G260="Perdida",AND(H260="",I260="")),"",Config!$B$5-IF(I260="",H260,I260))</f>
        <v/>
      </c>
      <c r="P260" s="29">
        <f>IF(AND(G260="Fechada",K260&lt;&gt;"",H260&lt;&gt;""),K260-H260,"")</f>
        <v/>
      </c>
      <c r="Q260" s="25">
        <f>IF(G260="","",IF(G260="Fechada","Fechada",IF(G260="Perdida","Perdida",IF(AND(J260&lt;&gt;"",J260&lt;Config!$B$5),"Previsão vencida",IF(AND(O260&lt;&gt;"",O260&gt;Config!$B$7),"Parada","Ativa")))))</f>
        <v/>
      </c>
      <c r="R260" s="37">
        <f>IF(OR(G260="",Q260="Fechada",Q260="Perdida"),0,IF(Q260="Previsão vencida",3,IF(Q260="Parada",2,1))*1E+15+MIN(N(O260),500)*1E+12+MIN(ROUND(N(F260)*100,0),99999999)*1E+4+(304+1-ROW()))</f>
        <v>0</v>
      </c>
    </row>
    <row r="261">
      <c r="A261" s="31" t="n"/>
      <c r="B261" s="34" t="n"/>
      <c r="C261" s="31" t="n"/>
      <c r="D261" s="34" t="n"/>
      <c r="E261" s="34" t="n"/>
      <c r="F261" s="33" t="n"/>
      <c r="G261" s="34" t="n"/>
      <c r="H261" s="36" t="n"/>
      <c r="I261" s="36" t="n"/>
      <c r="J261" s="36" t="n"/>
      <c r="K261" s="36" t="n"/>
      <c r="L261" s="31" t="n"/>
      <c r="M261" s="27">
        <f>IF(G261="","",IFERROR(INDEX(Config!$B$10:$B$15,MATCH(G261,Config!$A$10:$A$15,0)),0))</f>
        <v/>
      </c>
      <c r="N261" s="26">
        <f>IF(OR(G261="",F261=""),"",F261*M261)</f>
        <v/>
      </c>
      <c r="O261" s="29">
        <f>IF(OR(G261="",G261="Fechada",G261="Perdida",AND(H261="",I261="")),"",Config!$B$5-IF(I261="",H261,I261))</f>
        <v/>
      </c>
      <c r="P261" s="29">
        <f>IF(AND(G261="Fechada",K261&lt;&gt;"",H261&lt;&gt;""),K261-H261,"")</f>
        <v/>
      </c>
      <c r="Q261" s="25">
        <f>IF(G261="","",IF(G261="Fechada","Fechada",IF(G261="Perdida","Perdida",IF(AND(J261&lt;&gt;"",J261&lt;Config!$B$5),"Previsão vencida",IF(AND(O261&lt;&gt;"",O261&gt;Config!$B$7),"Parada","Ativa")))))</f>
        <v/>
      </c>
      <c r="R261" s="37">
        <f>IF(OR(G261="",Q261="Fechada",Q261="Perdida"),0,IF(Q261="Previsão vencida",3,IF(Q261="Parada",2,1))*1E+15+MIN(N(O261),500)*1E+12+MIN(ROUND(N(F261)*100,0),99999999)*1E+4+(304+1-ROW()))</f>
        <v>0</v>
      </c>
    </row>
    <row r="262">
      <c r="A262" s="31" t="n"/>
      <c r="B262" s="34" t="n"/>
      <c r="C262" s="31" t="n"/>
      <c r="D262" s="34" t="n"/>
      <c r="E262" s="34" t="n"/>
      <c r="F262" s="33" t="n"/>
      <c r="G262" s="34" t="n"/>
      <c r="H262" s="36" t="n"/>
      <c r="I262" s="36" t="n"/>
      <c r="J262" s="36" t="n"/>
      <c r="K262" s="36" t="n"/>
      <c r="L262" s="31" t="n"/>
      <c r="M262" s="27">
        <f>IF(G262="","",IFERROR(INDEX(Config!$B$10:$B$15,MATCH(G262,Config!$A$10:$A$15,0)),0))</f>
        <v/>
      </c>
      <c r="N262" s="26">
        <f>IF(OR(G262="",F262=""),"",F262*M262)</f>
        <v/>
      </c>
      <c r="O262" s="29">
        <f>IF(OR(G262="",G262="Fechada",G262="Perdida",AND(H262="",I262="")),"",Config!$B$5-IF(I262="",H262,I262))</f>
        <v/>
      </c>
      <c r="P262" s="29">
        <f>IF(AND(G262="Fechada",K262&lt;&gt;"",H262&lt;&gt;""),K262-H262,"")</f>
        <v/>
      </c>
      <c r="Q262" s="25">
        <f>IF(G262="","",IF(G262="Fechada","Fechada",IF(G262="Perdida","Perdida",IF(AND(J262&lt;&gt;"",J262&lt;Config!$B$5),"Previsão vencida",IF(AND(O262&lt;&gt;"",O262&gt;Config!$B$7),"Parada","Ativa")))))</f>
        <v/>
      </c>
      <c r="R262" s="37">
        <f>IF(OR(G262="",Q262="Fechada",Q262="Perdida"),0,IF(Q262="Previsão vencida",3,IF(Q262="Parada",2,1))*1E+15+MIN(N(O262),500)*1E+12+MIN(ROUND(N(F262)*100,0),99999999)*1E+4+(304+1-ROW()))</f>
        <v>0</v>
      </c>
    </row>
    <row r="263">
      <c r="A263" s="31" t="n"/>
      <c r="B263" s="34" t="n"/>
      <c r="C263" s="31" t="n"/>
      <c r="D263" s="34" t="n"/>
      <c r="E263" s="34" t="n"/>
      <c r="F263" s="33" t="n"/>
      <c r="G263" s="34" t="n"/>
      <c r="H263" s="36" t="n"/>
      <c r="I263" s="36" t="n"/>
      <c r="J263" s="36" t="n"/>
      <c r="K263" s="36" t="n"/>
      <c r="L263" s="31" t="n"/>
      <c r="M263" s="27">
        <f>IF(G263="","",IFERROR(INDEX(Config!$B$10:$B$15,MATCH(G263,Config!$A$10:$A$15,0)),0))</f>
        <v/>
      </c>
      <c r="N263" s="26">
        <f>IF(OR(G263="",F263=""),"",F263*M263)</f>
        <v/>
      </c>
      <c r="O263" s="29">
        <f>IF(OR(G263="",G263="Fechada",G263="Perdida",AND(H263="",I263="")),"",Config!$B$5-IF(I263="",H263,I263))</f>
        <v/>
      </c>
      <c r="P263" s="29">
        <f>IF(AND(G263="Fechada",K263&lt;&gt;"",H263&lt;&gt;""),K263-H263,"")</f>
        <v/>
      </c>
      <c r="Q263" s="25">
        <f>IF(G263="","",IF(G263="Fechada","Fechada",IF(G263="Perdida","Perdida",IF(AND(J263&lt;&gt;"",J263&lt;Config!$B$5),"Previsão vencida",IF(AND(O263&lt;&gt;"",O263&gt;Config!$B$7),"Parada","Ativa")))))</f>
        <v/>
      </c>
      <c r="R263" s="37">
        <f>IF(OR(G263="",Q263="Fechada",Q263="Perdida"),0,IF(Q263="Previsão vencida",3,IF(Q263="Parada",2,1))*1E+15+MIN(N(O263),500)*1E+12+MIN(ROUND(N(F263)*100,0),99999999)*1E+4+(304+1-ROW()))</f>
        <v>0</v>
      </c>
    </row>
    <row r="264">
      <c r="A264" s="31" t="n"/>
      <c r="B264" s="34" t="n"/>
      <c r="C264" s="31" t="n"/>
      <c r="D264" s="34" t="n"/>
      <c r="E264" s="34" t="n"/>
      <c r="F264" s="33" t="n"/>
      <c r="G264" s="34" t="n"/>
      <c r="H264" s="36" t="n"/>
      <c r="I264" s="36" t="n"/>
      <c r="J264" s="36" t="n"/>
      <c r="K264" s="36" t="n"/>
      <c r="L264" s="31" t="n"/>
      <c r="M264" s="27">
        <f>IF(G264="","",IFERROR(INDEX(Config!$B$10:$B$15,MATCH(G264,Config!$A$10:$A$15,0)),0))</f>
        <v/>
      </c>
      <c r="N264" s="26">
        <f>IF(OR(G264="",F264=""),"",F264*M264)</f>
        <v/>
      </c>
      <c r="O264" s="29">
        <f>IF(OR(G264="",G264="Fechada",G264="Perdida",AND(H264="",I264="")),"",Config!$B$5-IF(I264="",H264,I264))</f>
        <v/>
      </c>
      <c r="P264" s="29">
        <f>IF(AND(G264="Fechada",K264&lt;&gt;"",H264&lt;&gt;""),K264-H264,"")</f>
        <v/>
      </c>
      <c r="Q264" s="25">
        <f>IF(G264="","",IF(G264="Fechada","Fechada",IF(G264="Perdida","Perdida",IF(AND(J264&lt;&gt;"",J264&lt;Config!$B$5),"Previsão vencida",IF(AND(O264&lt;&gt;"",O264&gt;Config!$B$7),"Parada","Ativa")))))</f>
        <v/>
      </c>
      <c r="R264" s="37">
        <f>IF(OR(G264="",Q264="Fechada",Q264="Perdida"),0,IF(Q264="Previsão vencida",3,IF(Q264="Parada",2,1))*1E+15+MIN(N(O264),500)*1E+12+MIN(ROUND(N(F264)*100,0),99999999)*1E+4+(304+1-ROW()))</f>
        <v>0</v>
      </c>
    </row>
    <row r="265">
      <c r="A265" s="31" t="n"/>
      <c r="B265" s="34" t="n"/>
      <c r="C265" s="31" t="n"/>
      <c r="D265" s="34" t="n"/>
      <c r="E265" s="34" t="n"/>
      <c r="F265" s="33" t="n"/>
      <c r="G265" s="34" t="n"/>
      <c r="H265" s="36" t="n"/>
      <c r="I265" s="36" t="n"/>
      <c r="J265" s="36" t="n"/>
      <c r="K265" s="36" t="n"/>
      <c r="L265" s="31" t="n"/>
      <c r="M265" s="27">
        <f>IF(G265="","",IFERROR(INDEX(Config!$B$10:$B$15,MATCH(G265,Config!$A$10:$A$15,0)),0))</f>
        <v/>
      </c>
      <c r="N265" s="26">
        <f>IF(OR(G265="",F265=""),"",F265*M265)</f>
        <v/>
      </c>
      <c r="O265" s="29">
        <f>IF(OR(G265="",G265="Fechada",G265="Perdida",AND(H265="",I265="")),"",Config!$B$5-IF(I265="",H265,I265))</f>
        <v/>
      </c>
      <c r="P265" s="29">
        <f>IF(AND(G265="Fechada",K265&lt;&gt;"",H265&lt;&gt;""),K265-H265,"")</f>
        <v/>
      </c>
      <c r="Q265" s="25">
        <f>IF(G265="","",IF(G265="Fechada","Fechada",IF(G265="Perdida","Perdida",IF(AND(J265&lt;&gt;"",J265&lt;Config!$B$5),"Previsão vencida",IF(AND(O265&lt;&gt;"",O265&gt;Config!$B$7),"Parada","Ativa")))))</f>
        <v/>
      </c>
      <c r="R265" s="37">
        <f>IF(OR(G265="",Q265="Fechada",Q265="Perdida"),0,IF(Q265="Previsão vencida",3,IF(Q265="Parada",2,1))*1E+15+MIN(N(O265),500)*1E+12+MIN(ROUND(N(F265)*100,0),99999999)*1E+4+(304+1-ROW()))</f>
        <v>0</v>
      </c>
    </row>
    <row r="266">
      <c r="A266" s="31" t="n"/>
      <c r="B266" s="34" t="n"/>
      <c r="C266" s="31" t="n"/>
      <c r="D266" s="34" t="n"/>
      <c r="E266" s="34" t="n"/>
      <c r="F266" s="33" t="n"/>
      <c r="G266" s="34" t="n"/>
      <c r="H266" s="36" t="n"/>
      <c r="I266" s="36" t="n"/>
      <c r="J266" s="36" t="n"/>
      <c r="K266" s="36" t="n"/>
      <c r="L266" s="31" t="n"/>
      <c r="M266" s="27">
        <f>IF(G266="","",IFERROR(INDEX(Config!$B$10:$B$15,MATCH(G266,Config!$A$10:$A$15,0)),0))</f>
        <v/>
      </c>
      <c r="N266" s="26">
        <f>IF(OR(G266="",F266=""),"",F266*M266)</f>
        <v/>
      </c>
      <c r="O266" s="29">
        <f>IF(OR(G266="",G266="Fechada",G266="Perdida",AND(H266="",I266="")),"",Config!$B$5-IF(I266="",H266,I266))</f>
        <v/>
      </c>
      <c r="P266" s="29">
        <f>IF(AND(G266="Fechada",K266&lt;&gt;"",H266&lt;&gt;""),K266-H266,"")</f>
        <v/>
      </c>
      <c r="Q266" s="25">
        <f>IF(G266="","",IF(G266="Fechada","Fechada",IF(G266="Perdida","Perdida",IF(AND(J266&lt;&gt;"",J266&lt;Config!$B$5),"Previsão vencida",IF(AND(O266&lt;&gt;"",O266&gt;Config!$B$7),"Parada","Ativa")))))</f>
        <v/>
      </c>
      <c r="R266" s="37">
        <f>IF(OR(G266="",Q266="Fechada",Q266="Perdida"),0,IF(Q266="Previsão vencida",3,IF(Q266="Parada",2,1))*1E+15+MIN(N(O266),500)*1E+12+MIN(ROUND(N(F266)*100,0),99999999)*1E+4+(304+1-ROW()))</f>
        <v>0</v>
      </c>
    </row>
    <row r="267">
      <c r="A267" s="31" t="n"/>
      <c r="B267" s="34" t="n"/>
      <c r="C267" s="31" t="n"/>
      <c r="D267" s="34" t="n"/>
      <c r="E267" s="34" t="n"/>
      <c r="F267" s="33" t="n"/>
      <c r="G267" s="34" t="n"/>
      <c r="H267" s="36" t="n"/>
      <c r="I267" s="36" t="n"/>
      <c r="J267" s="36" t="n"/>
      <c r="K267" s="36" t="n"/>
      <c r="L267" s="31" t="n"/>
      <c r="M267" s="27">
        <f>IF(G267="","",IFERROR(INDEX(Config!$B$10:$B$15,MATCH(G267,Config!$A$10:$A$15,0)),0))</f>
        <v/>
      </c>
      <c r="N267" s="26">
        <f>IF(OR(G267="",F267=""),"",F267*M267)</f>
        <v/>
      </c>
      <c r="O267" s="29">
        <f>IF(OR(G267="",G267="Fechada",G267="Perdida",AND(H267="",I267="")),"",Config!$B$5-IF(I267="",H267,I267))</f>
        <v/>
      </c>
      <c r="P267" s="29">
        <f>IF(AND(G267="Fechada",K267&lt;&gt;"",H267&lt;&gt;""),K267-H267,"")</f>
        <v/>
      </c>
      <c r="Q267" s="25">
        <f>IF(G267="","",IF(G267="Fechada","Fechada",IF(G267="Perdida","Perdida",IF(AND(J267&lt;&gt;"",J267&lt;Config!$B$5),"Previsão vencida",IF(AND(O267&lt;&gt;"",O267&gt;Config!$B$7),"Parada","Ativa")))))</f>
        <v/>
      </c>
      <c r="R267" s="37">
        <f>IF(OR(G267="",Q267="Fechada",Q267="Perdida"),0,IF(Q267="Previsão vencida",3,IF(Q267="Parada",2,1))*1E+15+MIN(N(O267),500)*1E+12+MIN(ROUND(N(F267)*100,0),99999999)*1E+4+(304+1-ROW()))</f>
        <v>0</v>
      </c>
    </row>
    <row r="268">
      <c r="A268" s="31" t="n"/>
      <c r="B268" s="34" t="n"/>
      <c r="C268" s="31" t="n"/>
      <c r="D268" s="34" t="n"/>
      <c r="E268" s="34" t="n"/>
      <c r="F268" s="33" t="n"/>
      <c r="G268" s="34" t="n"/>
      <c r="H268" s="36" t="n"/>
      <c r="I268" s="36" t="n"/>
      <c r="J268" s="36" t="n"/>
      <c r="K268" s="36" t="n"/>
      <c r="L268" s="31" t="n"/>
      <c r="M268" s="27">
        <f>IF(G268="","",IFERROR(INDEX(Config!$B$10:$B$15,MATCH(G268,Config!$A$10:$A$15,0)),0))</f>
        <v/>
      </c>
      <c r="N268" s="26">
        <f>IF(OR(G268="",F268=""),"",F268*M268)</f>
        <v/>
      </c>
      <c r="O268" s="29">
        <f>IF(OR(G268="",G268="Fechada",G268="Perdida",AND(H268="",I268="")),"",Config!$B$5-IF(I268="",H268,I268))</f>
        <v/>
      </c>
      <c r="P268" s="29">
        <f>IF(AND(G268="Fechada",K268&lt;&gt;"",H268&lt;&gt;""),K268-H268,"")</f>
        <v/>
      </c>
      <c r="Q268" s="25">
        <f>IF(G268="","",IF(G268="Fechada","Fechada",IF(G268="Perdida","Perdida",IF(AND(J268&lt;&gt;"",J268&lt;Config!$B$5),"Previsão vencida",IF(AND(O268&lt;&gt;"",O268&gt;Config!$B$7),"Parada","Ativa")))))</f>
        <v/>
      </c>
      <c r="R268" s="37">
        <f>IF(OR(G268="",Q268="Fechada",Q268="Perdida"),0,IF(Q268="Previsão vencida",3,IF(Q268="Parada",2,1))*1E+15+MIN(N(O268),500)*1E+12+MIN(ROUND(N(F268)*100,0),99999999)*1E+4+(304+1-ROW()))</f>
        <v>0</v>
      </c>
    </row>
    <row r="269">
      <c r="A269" s="31" t="n"/>
      <c r="B269" s="34" t="n"/>
      <c r="C269" s="31" t="n"/>
      <c r="D269" s="34" t="n"/>
      <c r="E269" s="34" t="n"/>
      <c r="F269" s="33" t="n"/>
      <c r="G269" s="34" t="n"/>
      <c r="H269" s="36" t="n"/>
      <c r="I269" s="36" t="n"/>
      <c r="J269" s="36" t="n"/>
      <c r="K269" s="36" t="n"/>
      <c r="L269" s="31" t="n"/>
      <c r="M269" s="27">
        <f>IF(G269="","",IFERROR(INDEX(Config!$B$10:$B$15,MATCH(G269,Config!$A$10:$A$15,0)),0))</f>
        <v/>
      </c>
      <c r="N269" s="26">
        <f>IF(OR(G269="",F269=""),"",F269*M269)</f>
        <v/>
      </c>
      <c r="O269" s="29">
        <f>IF(OR(G269="",G269="Fechada",G269="Perdida",AND(H269="",I269="")),"",Config!$B$5-IF(I269="",H269,I269))</f>
        <v/>
      </c>
      <c r="P269" s="29">
        <f>IF(AND(G269="Fechada",K269&lt;&gt;"",H269&lt;&gt;""),K269-H269,"")</f>
        <v/>
      </c>
      <c r="Q269" s="25">
        <f>IF(G269="","",IF(G269="Fechada","Fechada",IF(G269="Perdida","Perdida",IF(AND(J269&lt;&gt;"",J269&lt;Config!$B$5),"Previsão vencida",IF(AND(O269&lt;&gt;"",O269&gt;Config!$B$7),"Parada","Ativa")))))</f>
        <v/>
      </c>
      <c r="R269" s="37">
        <f>IF(OR(G269="",Q269="Fechada",Q269="Perdida"),0,IF(Q269="Previsão vencida",3,IF(Q269="Parada",2,1))*1E+15+MIN(N(O269),500)*1E+12+MIN(ROUND(N(F269)*100,0),99999999)*1E+4+(304+1-ROW()))</f>
        <v>0</v>
      </c>
    </row>
    <row r="270">
      <c r="A270" s="31" t="n"/>
      <c r="B270" s="34" t="n"/>
      <c r="C270" s="31" t="n"/>
      <c r="D270" s="34" t="n"/>
      <c r="E270" s="34" t="n"/>
      <c r="F270" s="33" t="n"/>
      <c r="G270" s="34" t="n"/>
      <c r="H270" s="36" t="n"/>
      <c r="I270" s="36" t="n"/>
      <c r="J270" s="36" t="n"/>
      <c r="K270" s="36" t="n"/>
      <c r="L270" s="31" t="n"/>
      <c r="M270" s="27">
        <f>IF(G270="","",IFERROR(INDEX(Config!$B$10:$B$15,MATCH(G270,Config!$A$10:$A$15,0)),0))</f>
        <v/>
      </c>
      <c r="N270" s="26">
        <f>IF(OR(G270="",F270=""),"",F270*M270)</f>
        <v/>
      </c>
      <c r="O270" s="29">
        <f>IF(OR(G270="",G270="Fechada",G270="Perdida",AND(H270="",I270="")),"",Config!$B$5-IF(I270="",H270,I270))</f>
        <v/>
      </c>
      <c r="P270" s="29">
        <f>IF(AND(G270="Fechada",K270&lt;&gt;"",H270&lt;&gt;""),K270-H270,"")</f>
        <v/>
      </c>
      <c r="Q270" s="25">
        <f>IF(G270="","",IF(G270="Fechada","Fechada",IF(G270="Perdida","Perdida",IF(AND(J270&lt;&gt;"",J270&lt;Config!$B$5),"Previsão vencida",IF(AND(O270&lt;&gt;"",O270&gt;Config!$B$7),"Parada","Ativa")))))</f>
        <v/>
      </c>
      <c r="R270" s="37">
        <f>IF(OR(G270="",Q270="Fechada",Q270="Perdida"),0,IF(Q270="Previsão vencida",3,IF(Q270="Parada",2,1))*1E+15+MIN(N(O270),500)*1E+12+MIN(ROUND(N(F270)*100,0),99999999)*1E+4+(304+1-ROW()))</f>
        <v>0</v>
      </c>
    </row>
    <row r="271">
      <c r="A271" s="31" t="n"/>
      <c r="B271" s="34" t="n"/>
      <c r="C271" s="31" t="n"/>
      <c r="D271" s="34" t="n"/>
      <c r="E271" s="34" t="n"/>
      <c r="F271" s="33" t="n"/>
      <c r="G271" s="34" t="n"/>
      <c r="H271" s="36" t="n"/>
      <c r="I271" s="36" t="n"/>
      <c r="J271" s="36" t="n"/>
      <c r="K271" s="36" t="n"/>
      <c r="L271" s="31" t="n"/>
      <c r="M271" s="27">
        <f>IF(G271="","",IFERROR(INDEX(Config!$B$10:$B$15,MATCH(G271,Config!$A$10:$A$15,0)),0))</f>
        <v/>
      </c>
      <c r="N271" s="26">
        <f>IF(OR(G271="",F271=""),"",F271*M271)</f>
        <v/>
      </c>
      <c r="O271" s="29">
        <f>IF(OR(G271="",G271="Fechada",G271="Perdida",AND(H271="",I271="")),"",Config!$B$5-IF(I271="",H271,I271))</f>
        <v/>
      </c>
      <c r="P271" s="29">
        <f>IF(AND(G271="Fechada",K271&lt;&gt;"",H271&lt;&gt;""),K271-H271,"")</f>
        <v/>
      </c>
      <c r="Q271" s="25">
        <f>IF(G271="","",IF(G271="Fechada","Fechada",IF(G271="Perdida","Perdida",IF(AND(J271&lt;&gt;"",J271&lt;Config!$B$5),"Previsão vencida",IF(AND(O271&lt;&gt;"",O271&gt;Config!$B$7),"Parada","Ativa")))))</f>
        <v/>
      </c>
      <c r="R271" s="37">
        <f>IF(OR(G271="",Q271="Fechada",Q271="Perdida"),0,IF(Q271="Previsão vencida",3,IF(Q271="Parada",2,1))*1E+15+MIN(N(O271),500)*1E+12+MIN(ROUND(N(F271)*100,0),99999999)*1E+4+(304+1-ROW()))</f>
        <v>0</v>
      </c>
    </row>
    <row r="272">
      <c r="A272" s="31" t="n"/>
      <c r="B272" s="34" t="n"/>
      <c r="C272" s="31" t="n"/>
      <c r="D272" s="34" t="n"/>
      <c r="E272" s="34" t="n"/>
      <c r="F272" s="33" t="n"/>
      <c r="G272" s="34" t="n"/>
      <c r="H272" s="36" t="n"/>
      <c r="I272" s="36" t="n"/>
      <c r="J272" s="36" t="n"/>
      <c r="K272" s="36" t="n"/>
      <c r="L272" s="31" t="n"/>
      <c r="M272" s="27">
        <f>IF(G272="","",IFERROR(INDEX(Config!$B$10:$B$15,MATCH(G272,Config!$A$10:$A$15,0)),0))</f>
        <v/>
      </c>
      <c r="N272" s="26">
        <f>IF(OR(G272="",F272=""),"",F272*M272)</f>
        <v/>
      </c>
      <c r="O272" s="29">
        <f>IF(OR(G272="",G272="Fechada",G272="Perdida",AND(H272="",I272="")),"",Config!$B$5-IF(I272="",H272,I272))</f>
        <v/>
      </c>
      <c r="P272" s="29">
        <f>IF(AND(G272="Fechada",K272&lt;&gt;"",H272&lt;&gt;""),K272-H272,"")</f>
        <v/>
      </c>
      <c r="Q272" s="25">
        <f>IF(G272="","",IF(G272="Fechada","Fechada",IF(G272="Perdida","Perdida",IF(AND(J272&lt;&gt;"",J272&lt;Config!$B$5),"Previsão vencida",IF(AND(O272&lt;&gt;"",O272&gt;Config!$B$7),"Parada","Ativa")))))</f>
        <v/>
      </c>
      <c r="R272" s="37">
        <f>IF(OR(G272="",Q272="Fechada",Q272="Perdida"),0,IF(Q272="Previsão vencida",3,IF(Q272="Parada",2,1))*1E+15+MIN(N(O272),500)*1E+12+MIN(ROUND(N(F272)*100,0),99999999)*1E+4+(304+1-ROW()))</f>
        <v>0</v>
      </c>
    </row>
    <row r="273">
      <c r="A273" s="31" t="n"/>
      <c r="B273" s="34" t="n"/>
      <c r="C273" s="31" t="n"/>
      <c r="D273" s="34" t="n"/>
      <c r="E273" s="34" t="n"/>
      <c r="F273" s="33" t="n"/>
      <c r="G273" s="34" t="n"/>
      <c r="H273" s="36" t="n"/>
      <c r="I273" s="36" t="n"/>
      <c r="J273" s="36" t="n"/>
      <c r="K273" s="36" t="n"/>
      <c r="L273" s="31" t="n"/>
      <c r="M273" s="27">
        <f>IF(G273="","",IFERROR(INDEX(Config!$B$10:$B$15,MATCH(G273,Config!$A$10:$A$15,0)),0))</f>
        <v/>
      </c>
      <c r="N273" s="26">
        <f>IF(OR(G273="",F273=""),"",F273*M273)</f>
        <v/>
      </c>
      <c r="O273" s="29">
        <f>IF(OR(G273="",G273="Fechada",G273="Perdida",AND(H273="",I273="")),"",Config!$B$5-IF(I273="",H273,I273))</f>
        <v/>
      </c>
      <c r="P273" s="29">
        <f>IF(AND(G273="Fechada",K273&lt;&gt;"",H273&lt;&gt;""),K273-H273,"")</f>
        <v/>
      </c>
      <c r="Q273" s="25">
        <f>IF(G273="","",IF(G273="Fechada","Fechada",IF(G273="Perdida","Perdida",IF(AND(J273&lt;&gt;"",J273&lt;Config!$B$5),"Previsão vencida",IF(AND(O273&lt;&gt;"",O273&gt;Config!$B$7),"Parada","Ativa")))))</f>
        <v/>
      </c>
      <c r="R273" s="37">
        <f>IF(OR(G273="",Q273="Fechada",Q273="Perdida"),0,IF(Q273="Previsão vencida",3,IF(Q273="Parada",2,1))*1E+15+MIN(N(O273),500)*1E+12+MIN(ROUND(N(F273)*100,0),99999999)*1E+4+(304+1-ROW()))</f>
        <v>0</v>
      </c>
    </row>
    <row r="274">
      <c r="A274" s="31" t="n"/>
      <c r="B274" s="34" t="n"/>
      <c r="C274" s="31" t="n"/>
      <c r="D274" s="34" t="n"/>
      <c r="E274" s="34" t="n"/>
      <c r="F274" s="33" t="n"/>
      <c r="G274" s="34" t="n"/>
      <c r="H274" s="36" t="n"/>
      <c r="I274" s="36" t="n"/>
      <c r="J274" s="36" t="n"/>
      <c r="K274" s="36" t="n"/>
      <c r="L274" s="31" t="n"/>
      <c r="M274" s="27">
        <f>IF(G274="","",IFERROR(INDEX(Config!$B$10:$B$15,MATCH(G274,Config!$A$10:$A$15,0)),0))</f>
        <v/>
      </c>
      <c r="N274" s="26">
        <f>IF(OR(G274="",F274=""),"",F274*M274)</f>
        <v/>
      </c>
      <c r="O274" s="29">
        <f>IF(OR(G274="",G274="Fechada",G274="Perdida",AND(H274="",I274="")),"",Config!$B$5-IF(I274="",H274,I274))</f>
        <v/>
      </c>
      <c r="P274" s="29">
        <f>IF(AND(G274="Fechada",K274&lt;&gt;"",H274&lt;&gt;""),K274-H274,"")</f>
        <v/>
      </c>
      <c r="Q274" s="25">
        <f>IF(G274="","",IF(G274="Fechada","Fechada",IF(G274="Perdida","Perdida",IF(AND(J274&lt;&gt;"",J274&lt;Config!$B$5),"Previsão vencida",IF(AND(O274&lt;&gt;"",O274&gt;Config!$B$7),"Parada","Ativa")))))</f>
        <v/>
      </c>
      <c r="R274" s="37">
        <f>IF(OR(G274="",Q274="Fechada",Q274="Perdida"),0,IF(Q274="Previsão vencida",3,IF(Q274="Parada",2,1))*1E+15+MIN(N(O274),500)*1E+12+MIN(ROUND(N(F274)*100,0),99999999)*1E+4+(304+1-ROW()))</f>
        <v>0</v>
      </c>
    </row>
    <row r="275">
      <c r="A275" s="31" t="n"/>
      <c r="B275" s="34" t="n"/>
      <c r="C275" s="31" t="n"/>
      <c r="D275" s="34" t="n"/>
      <c r="E275" s="34" t="n"/>
      <c r="F275" s="33" t="n"/>
      <c r="G275" s="34" t="n"/>
      <c r="H275" s="36" t="n"/>
      <c r="I275" s="36" t="n"/>
      <c r="J275" s="36" t="n"/>
      <c r="K275" s="36" t="n"/>
      <c r="L275" s="31" t="n"/>
      <c r="M275" s="27">
        <f>IF(G275="","",IFERROR(INDEX(Config!$B$10:$B$15,MATCH(G275,Config!$A$10:$A$15,0)),0))</f>
        <v/>
      </c>
      <c r="N275" s="26">
        <f>IF(OR(G275="",F275=""),"",F275*M275)</f>
        <v/>
      </c>
      <c r="O275" s="29">
        <f>IF(OR(G275="",G275="Fechada",G275="Perdida",AND(H275="",I275="")),"",Config!$B$5-IF(I275="",H275,I275))</f>
        <v/>
      </c>
      <c r="P275" s="29">
        <f>IF(AND(G275="Fechada",K275&lt;&gt;"",H275&lt;&gt;""),K275-H275,"")</f>
        <v/>
      </c>
      <c r="Q275" s="25">
        <f>IF(G275="","",IF(G275="Fechada","Fechada",IF(G275="Perdida","Perdida",IF(AND(J275&lt;&gt;"",J275&lt;Config!$B$5),"Previsão vencida",IF(AND(O275&lt;&gt;"",O275&gt;Config!$B$7),"Parada","Ativa")))))</f>
        <v/>
      </c>
      <c r="R275" s="37">
        <f>IF(OR(G275="",Q275="Fechada",Q275="Perdida"),0,IF(Q275="Previsão vencida",3,IF(Q275="Parada",2,1))*1E+15+MIN(N(O275),500)*1E+12+MIN(ROUND(N(F275)*100,0),99999999)*1E+4+(304+1-ROW()))</f>
        <v>0</v>
      </c>
    </row>
    <row r="276">
      <c r="A276" s="31" t="n"/>
      <c r="B276" s="34" t="n"/>
      <c r="C276" s="31" t="n"/>
      <c r="D276" s="34" t="n"/>
      <c r="E276" s="34" t="n"/>
      <c r="F276" s="33" t="n"/>
      <c r="G276" s="34" t="n"/>
      <c r="H276" s="36" t="n"/>
      <c r="I276" s="36" t="n"/>
      <c r="J276" s="36" t="n"/>
      <c r="K276" s="36" t="n"/>
      <c r="L276" s="31" t="n"/>
      <c r="M276" s="27">
        <f>IF(G276="","",IFERROR(INDEX(Config!$B$10:$B$15,MATCH(G276,Config!$A$10:$A$15,0)),0))</f>
        <v/>
      </c>
      <c r="N276" s="26">
        <f>IF(OR(G276="",F276=""),"",F276*M276)</f>
        <v/>
      </c>
      <c r="O276" s="29">
        <f>IF(OR(G276="",G276="Fechada",G276="Perdida",AND(H276="",I276="")),"",Config!$B$5-IF(I276="",H276,I276))</f>
        <v/>
      </c>
      <c r="P276" s="29">
        <f>IF(AND(G276="Fechada",K276&lt;&gt;"",H276&lt;&gt;""),K276-H276,"")</f>
        <v/>
      </c>
      <c r="Q276" s="25">
        <f>IF(G276="","",IF(G276="Fechada","Fechada",IF(G276="Perdida","Perdida",IF(AND(J276&lt;&gt;"",J276&lt;Config!$B$5),"Previsão vencida",IF(AND(O276&lt;&gt;"",O276&gt;Config!$B$7),"Parada","Ativa")))))</f>
        <v/>
      </c>
      <c r="R276" s="37">
        <f>IF(OR(G276="",Q276="Fechada",Q276="Perdida"),0,IF(Q276="Previsão vencida",3,IF(Q276="Parada",2,1))*1E+15+MIN(N(O276),500)*1E+12+MIN(ROUND(N(F276)*100,0),99999999)*1E+4+(304+1-ROW()))</f>
        <v>0</v>
      </c>
    </row>
    <row r="277">
      <c r="A277" s="31" t="n"/>
      <c r="B277" s="34" t="n"/>
      <c r="C277" s="31" t="n"/>
      <c r="D277" s="34" t="n"/>
      <c r="E277" s="34" t="n"/>
      <c r="F277" s="33" t="n"/>
      <c r="G277" s="34" t="n"/>
      <c r="H277" s="36" t="n"/>
      <c r="I277" s="36" t="n"/>
      <c r="J277" s="36" t="n"/>
      <c r="K277" s="36" t="n"/>
      <c r="L277" s="31" t="n"/>
      <c r="M277" s="27">
        <f>IF(G277="","",IFERROR(INDEX(Config!$B$10:$B$15,MATCH(G277,Config!$A$10:$A$15,0)),0))</f>
        <v/>
      </c>
      <c r="N277" s="26">
        <f>IF(OR(G277="",F277=""),"",F277*M277)</f>
        <v/>
      </c>
      <c r="O277" s="29">
        <f>IF(OR(G277="",G277="Fechada",G277="Perdida",AND(H277="",I277="")),"",Config!$B$5-IF(I277="",H277,I277))</f>
        <v/>
      </c>
      <c r="P277" s="29">
        <f>IF(AND(G277="Fechada",K277&lt;&gt;"",H277&lt;&gt;""),K277-H277,"")</f>
        <v/>
      </c>
      <c r="Q277" s="25">
        <f>IF(G277="","",IF(G277="Fechada","Fechada",IF(G277="Perdida","Perdida",IF(AND(J277&lt;&gt;"",J277&lt;Config!$B$5),"Previsão vencida",IF(AND(O277&lt;&gt;"",O277&gt;Config!$B$7),"Parada","Ativa")))))</f>
        <v/>
      </c>
      <c r="R277" s="37">
        <f>IF(OR(G277="",Q277="Fechada",Q277="Perdida"),0,IF(Q277="Previsão vencida",3,IF(Q277="Parada",2,1))*1E+15+MIN(N(O277),500)*1E+12+MIN(ROUND(N(F277)*100,0),99999999)*1E+4+(304+1-ROW()))</f>
        <v>0</v>
      </c>
    </row>
    <row r="278">
      <c r="A278" s="31" t="n"/>
      <c r="B278" s="34" t="n"/>
      <c r="C278" s="31" t="n"/>
      <c r="D278" s="34" t="n"/>
      <c r="E278" s="34" t="n"/>
      <c r="F278" s="33" t="n"/>
      <c r="G278" s="34" t="n"/>
      <c r="H278" s="36" t="n"/>
      <c r="I278" s="36" t="n"/>
      <c r="J278" s="36" t="n"/>
      <c r="K278" s="36" t="n"/>
      <c r="L278" s="31" t="n"/>
      <c r="M278" s="27">
        <f>IF(G278="","",IFERROR(INDEX(Config!$B$10:$B$15,MATCH(G278,Config!$A$10:$A$15,0)),0))</f>
        <v/>
      </c>
      <c r="N278" s="26">
        <f>IF(OR(G278="",F278=""),"",F278*M278)</f>
        <v/>
      </c>
      <c r="O278" s="29">
        <f>IF(OR(G278="",G278="Fechada",G278="Perdida",AND(H278="",I278="")),"",Config!$B$5-IF(I278="",H278,I278))</f>
        <v/>
      </c>
      <c r="P278" s="29">
        <f>IF(AND(G278="Fechada",K278&lt;&gt;"",H278&lt;&gt;""),K278-H278,"")</f>
        <v/>
      </c>
      <c r="Q278" s="25">
        <f>IF(G278="","",IF(G278="Fechada","Fechada",IF(G278="Perdida","Perdida",IF(AND(J278&lt;&gt;"",J278&lt;Config!$B$5),"Previsão vencida",IF(AND(O278&lt;&gt;"",O278&gt;Config!$B$7),"Parada","Ativa")))))</f>
        <v/>
      </c>
      <c r="R278" s="37">
        <f>IF(OR(G278="",Q278="Fechada",Q278="Perdida"),0,IF(Q278="Previsão vencida",3,IF(Q278="Parada",2,1))*1E+15+MIN(N(O278),500)*1E+12+MIN(ROUND(N(F278)*100,0),99999999)*1E+4+(304+1-ROW()))</f>
        <v>0</v>
      </c>
    </row>
    <row r="279">
      <c r="A279" s="31" t="n"/>
      <c r="B279" s="34" t="n"/>
      <c r="C279" s="31" t="n"/>
      <c r="D279" s="34" t="n"/>
      <c r="E279" s="34" t="n"/>
      <c r="F279" s="33" t="n"/>
      <c r="G279" s="34" t="n"/>
      <c r="H279" s="36" t="n"/>
      <c r="I279" s="36" t="n"/>
      <c r="J279" s="36" t="n"/>
      <c r="K279" s="36" t="n"/>
      <c r="L279" s="31" t="n"/>
      <c r="M279" s="27">
        <f>IF(G279="","",IFERROR(INDEX(Config!$B$10:$B$15,MATCH(G279,Config!$A$10:$A$15,0)),0))</f>
        <v/>
      </c>
      <c r="N279" s="26">
        <f>IF(OR(G279="",F279=""),"",F279*M279)</f>
        <v/>
      </c>
      <c r="O279" s="29">
        <f>IF(OR(G279="",G279="Fechada",G279="Perdida",AND(H279="",I279="")),"",Config!$B$5-IF(I279="",H279,I279))</f>
        <v/>
      </c>
      <c r="P279" s="29">
        <f>IF(AND(G279="Fechada",K279&lt;&gt;"",H279&lt;&gt;""),K279-H279,"")</f>
        <v/>
      </c>
      <c r="Q279" s="25">
        <f>IF(G279="","",IF(G279="Fechada","Fechada",IF(G279="Perdida","Perdida",IF(AND(J279&lt;&gt;"",J279&lt;Config!$B$5),"Previsão vencida",IF(AND(O279&lt;&gt;"",O279&gt;Config!$B$7),"Parada","Ativa")))))</f>
        <v/>
      </c>
      <c r="R279" s="37">
        <f>IF(OR(G279="",Q279="Fechada",Q279="Perdida"),0,IF(Q279="Previsão vencida",3,IF(Q279="Parada",2,1))*1E+15+MIN(N(O279),500)*1E+12+MIN(ROUND(N(F279)*100,0),99999999)*1E+4+(304+1-ROW()))</f>
        <v>0</v>
      </c>
    </row>
    <row r="280">
      <c r="A280" s="31" t="n"/>
      <c r="B280" s="34" t="n"/>
      <c r="C280" s="31" t="n"/>
      <c r="D280" s="34" t="n"/>
      <c r="E280" s="34" t="n"/>
      <c r="F280" s="33" t="n"/>
      <c r="G280" s="34" t="n"/>
      <c r="H280" s="36" t="n"/>
      <c r="I280" s="36" t="n"/>
      <c r="J280" s="36" t="n"/>
      <c r="K280" s="36" t="n"/>
      <c r="L280" s="31" t="n"/>
      <c r="M280" s="27">
        <f>IF(G280="","",IFERROR(INDEX(Config!$B$10:$B$15,MATCH(G280,Config!$A$10:$A$15,0)),0))</f>
        <v/>
      </c>
      <c r="N280" s="26">
        <f>IF(OR(G280="",F280=""),"",F280*M280)</f>
        <v/>
      </c>
      <c r="O280" s="29">
        <f>IF(OR(G280="",G280="Fechada",G280="Perdida",AND(H280="",I280="")),"",Config!$B$5-IF(I280="",H280,I280))</f>
        <v/>
      </c>
      <c r="P280" s="29">
        <f>IF(AND(G280="Fechada",K280&lt;&gt;"",H280&lt;&gt;""),K280-H280,"")</f>
        <v/>
      </c>
      <c r="Q280" s="25">
        <f>IF(G280="","",IF(G280="Fechada","Fechada",IF(G280="Perdida","Perdida",IF(AND(J280&lt;&gt;"",J280&lt;Config!$B$5),"Previsão vencida",IF(AND(O280&lt;&gt;"",O280&gt;Config!$B$7),"Parada","Ativa")))))</f>
        <v/>
      </c>
      <c r="R280" s="37">
        <f>IF(OR(G280="",Q280="Fechada",Q280="Perdida"),0,IF(Q280="Previsão vencida",3,IF(Q280="Parada",2,1))*1E+15+MIN(N(O280),500)*1E+12+MIN(ROUND(N(F280)*100,0),99999999)*1E+4+(304+1-ROW()))</f>
        <v>0</v>
      </c>
    </row>
    <row r="281">
      <c r="A281" s="31" t="n"/>
      <c r="B281" s="34" t="n"/>
      <c r="C281" s="31" t="n"/>
      <c r="D281" s="34" t="n"/>
      <c r="E281" s="34" t="n"/>
      <c r="F281" s="33" t="n"/>
      <c r="G281" s="34" t="n"/>
      <c r="H281" s="36" t="n"/>
      <c r="I281" s="36" t="n"/>
      <c r="J281" s="36" t="n"/>
      <c r="K281" s="36" t="n"/>
      <c r="L281" s="31" t="n"/>
      <c r="M281" s="27">
        <f>IF(G281="","",IFERROR(INDEX(Config!$B$10:$B$15,MATCH(G281,Config!$A$10:$A$15,0)),0))</f>
        <v/>
      </c>
      <c r="N281" s="26">
        <f>IF(OR(G281="",F281=""),"",F281*M281)</f>
        <v/>
      </c>
      <c r="O281" s="29">
        <f>IF(OR(G281="",G281="Fechada",G281="Perdida",AND(H281="",I281="")),"",Config!$B$5-IF(I281="",H281,I281))</f>
        <v/>
      </c>
      <c r="P281" s="29">
        <f>IF(AND(G281="Fechada",K281&lt;&gt;"",H281&lt;&gt;""),K281-H281,"")</f>
        <v/>
      </c>
      <c r="Q281" s="25">
        <f>IF(G281="","",IF(G281="Fechada","Fechada",IF(G281="Perdida","Perdida",IF(AND(J281&lt;&gt;"",J281&lt;Config!$B$5),"Previsão vencida",IF(AND(O281&lt;&gt;"",O281&gt;Config!$B$7),"Parada","Ativa")))))</f>
        <v/>
      </c>
      <c r="R281" s="37">
        <f>IF(OR(G281="",Q281="Fechada",Q281="Perdida"),0,IF(Q281="Previsão vencida",3,IF(Q281="Parada",2,1))*1E+15+MIN(N(O281),500)*1E+12+MIN(ROUND(N(F281)*100,0),99999999)*1E+4+(304+1-ROW()))</f>
        <v>0</v>
      </c>
    </row>
    <row r="282">
      <c r="A282" s="31" t="n"/>
      <c r="B282" s="34" t="n"/>
      <c r="C282" s="31" t="n"/>
      <c r="D282" s="34" t="n"/>
      <c r="E282" s="34" t="n"/>
      <c r="F282" s="33" t="n"/>
      <c r="G282" s="34" t="n"/>
      <c r="H282" s="36" t="n"/>
      <c r="I282" s="36" t="n"/>
      <c r="J282" s="36" t="n"/>
      <c r="K282" s="36" t="n"/>
      <c r="L282" s="31" t="n"/>
      <c r="M282" s="27">
        <f>IF(G282="","",IFERROR(INDEX(Config!$B$10:$B$15,MATCH(G282,Config!$A$10:$A$15,0)),0))</f>
        <v/>
      </c>
      <c r="N282" s="26">
        <f>IF(OR(G282="",F282=""),"",F282*M282)</f>
        <v/>
      </c>
      <c r="O282" s="29">
        <f>IF(OR(G282="",G282="Fechada",G282="Perdida",AND(H282="",I282="")),"",Config!$B$5-IF(I282="",H282,I282))</f>
        <v/>
      </c>
      <c r="P282" s="29">
        <f>IF(AND(G282="Fechada",K282&lt;&gt;"",H282&lt;&gt;""),K282-H282,"")</f>
        <v/>
      </c>
      <c r="Q282" s="25">
        <f>IF(G282="","",IF(G282="Fechada","Fechada",IF(G282="Perdida","Perdida",IF(AND(J282&lt;&gt;"",J282&lt;Config!$B$5),"Previsão vencida",IF(AND(O282&lt;&gt;"",O282&gt;Config!$B$7),"Parada","Ativa")))))</f>
        <v/>
      </c>
      <c r="R282" s="37">
        <f>IF(OR(G282="",Q282="Fechada",Q282="Perdida"),0,IF(Q282="Previsão vencida",3,IF(Q282="Parada",2,1))*1E+15+MIN(N(O282),500)*1E+12+MIN(ROUND(N(F282)*100,0),99999999)*1E+4+(304+1-ROW()))</f>
        <v>0</v>
      </c>
    </row>
    <row r="283">
      <c r="A283" s="31" t="n"/>
      <c r="B283" s="34" t="n"/>
      <c r="C283" s="31" t="n"/>
      <c r="D283" s="34" t="n"/>
      <c r="E283" s="34" t="n"/>
      <c r="F283" s="33" t="n"/>
      <c r="G283" s="34" t="n"/>
      <c r="H283" s="36" t="n"/>
      <c r="I283" s="36" t="n"/>
      <c r="J283" s="36" t="n"/>
      <c r="K283" s="36" t="n"/>
      <c r="L283" s="31" t="n"/>
      <c r="M283" s="27">
        <f>IF(G283="","",IFERROR(INDEX(Config!$B$10:$B$15,MATCH(G283,Config!$A$10:$A$15,0)),0))</f>
        <v/>
      </c>
      <c r="N283" s="26">
        <f>IF(OR(G283="",F283=""),"",F283*M283)</f>
        <v/>
      </c>
      <c r="O283" s="29">
        <f>IF(OR(G283="",G283="Fechada",G283="Perdida",AND(H283="",I283="")),"",Config!$B$5-IF(I283="",H283,I283))</f>
        <v/>
      </c>
      <c r="P283" s="29">
        <f>IF(AND(G283="Fechada",K283&lt;&gt;"",H283&lt;&gt;""),K283-H283,"")</f>
        <v/>
      </c>
      <c r="Q283" s="25">
        <f>IF(G283="","",IF(G283="Fechada","Fechada",IF(G283="Perdida","Perdida",IF(AND(J283&lt;&gt;"",J283&lt;Config!$B$5),"Previsão vencida",IF(AND(O283&lt;&gt;"",O283&gt;Config!$B$7),"Parada","Ativa")))))</f>
        <v/>
      </c>
      <c r="R283" s="37">
        <f>IF(OR(G283="",Q283="Fechada",Q283="Perdida"),0,IF(Q283="Previsão vencida",3,IF(Q283="Parada",2,1))*1E+15+MIN(N(O283),500)*1E+12+MIN(ROUND(N(F283)*100,0),99999999)*1E+4+(304+1-ROW()))</f>
        <v>0</v>
      </c>
    </row>
    <row r="284">
      <c r="A284" s="31" t="n"/>
      <c r="B284" s="34" t="n"/>
      <c r="C284" s="31" t="n"/>
      <c r="D284" s="34" t="n"/>
      <c r="E284" s="34" t="n"/>
      <c r="F284" s="33" t="n"/>
      <c r="G284" s="34" t="n"/>
      <c r="H284" s="36" t="n"/>
      <c r="I284" s="36" t="n"/>
      <c r="J284" s="36" t="n"/>
      <c r="K284" s="36" t="n"/>
      <c r="L284" s="31" t="n"/>
      <c r="M284" s="27">
        <f>IF(G284="","",IFERROR(INDEX(Config!$B$10:$B$15,MATCH(G284,Config!$A$10:$A$15,0)),0))</f>
        <v/>
      </c>
      <c r="N284" s="26">
        <f>IF(OR(G284="",F284=""),"",F284*M284)</f>
        <v/>
      </c>
      <c r="O284" s="29">
        <f>IF(OR(G284="",G284="Fechada",G284="Perdida",AND(H284="",I284="")),"",Config!$B$5-IF(I284="",H284,I284))</f>
        <v/>
      </c>
      <c r="P284" s="29">
        <f>IF(AND(G284="Fechada",K284&lt;&gt;"",H284&lt;&gt;""),K284-H284,"")</f>
        <v/>
      </c>
      <c r="Q284" s="25">
        <f>IF(G284="","",IF(G284="Fechada","Fechada",IF(G284="Perdida","Perdida",IF(AND(J284&lt;&gt;"",J284&lt;Config!$B$5),"Previsão vencida",IF(AND(O284&lt;&gt;"",O284&gt;Config!$B$7),"Parada","Ativa")))))</f>
        <v/>
      </c>
      <c r="R284" s="37">
        <f>IF(OR(G284="",Q284="Fechada",Q284="Perdida"),0,IF(Q284="Previsão vencida",3,IF(Q284="Parada",2,1))*1E+15+MIN(N(O284),500)*1E+12+MIN(ROUND(N(F284)*100,0),99999999)*1E+4+(304+1-ROW()))</f>
        <v>0</v>
      </c>
    </row>
    <row r="285">
      <c r="A285" s="31" t="n"/>
      <c r="B285" s="34" t="n"/>
      <c r="C285" s="31" t="n"/>
      <c r="D285" s="34" t="n"/>
      <c r="E285" s="34" t="n"/>
      <c r="F285" s="33" t="n"/>
      <c r="G285" s="34" t="n"/>
      <c r="H285" s="36" t="n"/>
      <c r="I285" s="36" t="n"/>
      <c r="J285" s="36" t="n"/>
      <c r="K285" s="36" t="n"/>
      <c r="L285" s="31" t="n"/>
      <c r="M285" s="27">
        <f>IF(G285="","",IFERROR(INDEX(Config!$B$10:$B$15,MATCH(G285,Config!$A$10:$A$15,0)),0))</f>
        <v/>
      </c>
      <c r="N285" s="26">
        <f>IF(OR(G285="",F285=""),"",F285*M285)</f>
        <v/>
      </c>
      <c r="O285" s="29">
        <f>IF(OR(G285="",G285="Fechada",G285="Perdida",AND(H285="",I285="")),"",Config!$B$5-IF(I285="",H285,I285))</f>
        <v/>
      </c>
      <c r="P285" s="29">
        <f>IF(AND(G285="Fechada",K285&lt;&gt;"",H285&lt;&gt;""),K285-H285,"")</f>
        <v/>
      </c>
      <c r="Q285" s="25">
        <f>IF(G285="","",IF(G285="Fechada","Fechada",IF(G285="Perdida","Perdida",IF(AND(J285&lt;&gt;"",J285&lt;Config!$B$5),"Previsão vencida",IF(AND(O285&lt;&gt;"",O285&gt;Config!$B$7),"Parada","Ativa")))))</f>
        <v/>
      </c>
      <c r="R285" s="37">
        <f>IF(OR(G285="",Q285="Fechada",Q285="Perdida"),0,IF(Q285="Previsão vencida",3,IF(Q285="Parada",2,1))*1E+15+MIN(N(O285),500)*1E+12+MIN(ROUND(N(F285)*100,0),99999999)*1E+4+(304+1-ROW()))</f>
        <v>0</v>
      </c>
    </row>
    <row r="286">
      <c r="A286" s="31" t="n"/>
      <c r="B286" s="34" t="n"/>
      <c r="C286" s="31" t="n"/>
      <c r="D286" s="34" t="n"/>
      <c r="E286" s="34" t="n"/>
      <c r="F286" s="33" t="n"/>
      <c r="G286" s="34" t="n"/>
      <c r="H286" s="36" t="n"/>
      <c r="I286" s="36" t="n"/>
      <c r="J286" s="36" t="n"/>
      <c r="K286" s="36" t="n"/>
      <c r="L286" s="31" t="n"/>
      <c r="M286" s="27">
        <f>IF(G286="","",IFERROR(INDEX(Config!$B$10:$B$15,MATCH(G286,Config!$A$10:$A$15,0)),0))</f>
        <v/>
      </c>
      <c r="N286" s="26">
        <f>IF(OR(G286="",F286=""),"",F286*M286)</f>
        <v/>
      </c>
      <c r="O286" s="29">
        <f>IF(OR(G286="",G286="Fechada",G286="Perdida",AND(H286="",I286="")),"",Config!$B$5-IF(I286="",H286,I286))</f>
        <v/>
      </c>
      <c r="P286" s="29">
        <f>IF(AND(G286="Fechada",K286&lt;&gt;"",H286&lt;&gt;""),K286-H286,"")</f>
        <v/>
      </c>
      <c r="Q286" s="25">
        <f>IF(G286="","",IF(G286="Fechada","Fechada",IF(G286="Perdida","Perdida",IF(AND(J286&lt;&gt;"",J286&lt;Config!$B$5),"Previsão vencida",IF(AND(O286&lt;&gt;"",O286&gt;Config!$B$7),"Parada","Ativa")))))</f>
        <v/>
      </c>
      <c r="R286" s="37">
        <f>IF(OR(G286="",Q286="Fechada",Q286="Perdida"),0,IF(Q286="Previsão vencida",3,IF(Q286="Parada",2,1))*1E+15+MIN(N(O286),500)*1E+12+MIN(ROUND(N(F286)*100,0),99999999)*1E+4+(304+1-ROW()))</f>
        <v>0</v>
      </c>
    </row>
    <row r="287">
      <c r="A287" s="31" t="n"/>
      <c r="B287" s="34" t="n"/>
      <c r="C287" s="31" t="n"/>
      <c r="D287" s="34" t="n"/>
      <c r="E287" s="34" t="n"/>
      <c r="F287" s="33" t="n"/>
      <c r="G287" s="34" t="n"/>
      <c r="H287" s="36" t="n"/>
      <c r="I287" s="36" t="n"/>
      <c r="J287" s="36" t="n"/>
      <c r="K287" s="36" t="n"/>
      <c r="L287" s="31" t="n"/>
      <c r="M287" s="27">
        <f>IF(G287="","",IFERROR(INDEX(Config!$B$10:$B$15,MATCH(G287,Config!$A$10:$A$15,0)),0))</f>
        <v/>
      </c>
      <c r="N287" s="26">
        <f>IF(OR(G287="",F287=""),"",F287*M287)</f>
        <v/>
      </c>
      <c r="O287" s="29">
        <f>IF(OR(G287="",G287="Fechada",G287="Perdida",AND(H287="",I287="")),"",Config!$B$5-IF(I287="",H287,I287))</f>
        <v/>
      </c>
      <c r="P287" s="29">
        <f>IF(AND(G287="Fechada",K287&lt;&gt;"",H287&lt;&gt;""),K287-H287,"")</f>
        <v/>
      </c>
      <c r="Q287" s="25">
        <f>IF(G287="","",IF(G287="Fechada","Fechada",IF(G287="Perdida","Perdida",IF(AND(J287&lt;&gt;"",J287&lt;Config!$B$5),"Previsão vencida",IF(AND(O287&lt;&gt;"",O287&gt;Config!$B$7),"Parada","Ativa")))))</f>
        <v/>
      </c>
      <c r="R287" s="37">
        <f>IF(OR(G287="",Q287="Fechada",Q287="Perdida"),0,IF(Q287="Previsão vencida",3,IF(Q287="Parada",2,1))*1E+15+MIN(N(O287),500)*1E+12+MIN(ROUND(N(F287)*100,0),99999999)*1E+4+(304+1-ROW()))</f>
        <v>0</v>
      </c>
    </row>
    <row r="288">
      <c r="A288" s="31" t="n"/>
      <c r="B288" s="34" t="n"/>
      <c r="C288" s="31" t="n"/>
      <c r="D288" s="34" t="n"/>
      <c r="E288" s="34" t="n"/>
      <c r="F288" s="33" t="n"/>
      <c r="G288" s="34" t="n"/>
      <c r="H288" s="36" t="n"/>
      <c r="I288" s="36" t="n"/>
      <c r="J288" s="36" t="n"/>
      <c r="K288" s="36" t="n"/>
      <c r="L288" s="31" t="n"/>
      <c r="M288" s="27">
        <f>IF(G288="","",IFERROR(INDEX(Config!$B$10:$B$15,MATCH(G288,Config!$A$10:$A$15,0)),0))</f>
        <v/>
      </c>
      <c r="N288" s="26">
        <f>IF(OR(G288="",F288=""),"",F288*M288)</f>
        <v/>
      </c>
      <c r="O288" s="29">
        <f>IF(OR(G288="",G288="Fechada",G288="Perdida",AND(H288="",I288="")),"",Config!$B$5-IF(I288="",H288,I288))</f>
        <v/>
      </c>
      <c r="P288" s="29">
        <f>IF(AND(G288="Fechada",K288&lt;&gt;"",H288&lt;&gt;""),K288-H288,"")</f>
        <v/>
      </c>
      <c r="Q288" s="25">
        <f>IF(G288="","",IF(G288="Fechada","Fechada",IF(G288="Perdida","Perdida",IF(AND(J288&lt;&gt;"",J288&lt;Config!$B$5),"Previsão vencida",IF(AND(O288&lt;&gt;"",O288&gt;Config!$B$7),"Parada","Ativa")))))</f>
        <v/>
      </c>
      <c r="R288" s="37">
        <f>IF(OR(G288="",Q288="Fechada",Q288="Perdida"),0,IF(Q288="Previsão vencida",3,IF(Q288="Parada",2,1))*1E+15+MIN(N(O288),500)*1E+12+MIN(ROUND(N(F288)*100,0),99999999)*1E+4+(304+1-ROW()))</f>
        <v>0</v>
      </c>
    </row>
    <row r="289">
      <c r="A289" s="31" t="n"/>
      <c r="B289" s="34" t="n"/>
      <c r="C289" s="31" t="n"/>
      <c r="D289" s="34" t="n"/>
      <c r="E289" s="34" t="n"/>
      <c r="F289" s="33" t="n"/>
      <c r="G289" s="34" t="n"/>
      <c r="H289" s="36" t="n"/>
      <c r="I289" s="36" t="n"/>
      <c r="J289" s="36" t="n"/>
      <c r="K289" s="36" t="n"/>
      <c r="L289" s="31" t="n"/>
      <c r="M289" s="27">
        <f>IF(G289="","",IFERROR(INDEX(Config!$B$10:$B$15,MATCH(G289,Config!$A$10:$A$15,0)),0))</f>
        <v/>
      </c>
      <c r="N289" s="26">
        <f>IF(OR(G289="",F289=""),"",F289*M289)</f>
        <v/>
      </c>
      <c r="O289" s="29">
        <f>IF(OR(G289="",G289="Fechada",G289="Perdida",AND(H289="",I289="")),"",Config!$B$5-IF(I289="",H289,I289))</f>
        <v/>
      </c>
      <c r="P289" s="29">
        <f>IF(AND(G289="Fechada",K289&lt;&gt;"",H289&lt;&gt;""),K289-H289,"")</f>
        <v/>
      </c>
      <c r="Q289" s="25">
        <f>IF(G289="","",IF(G289="Fechada","Fechada",IF(G289="Perdida","Perdida",IF(AND(J289&lt;&gt;"",J289&lt;Config!$B$5),"Previsão vencida",IF(AND(O289&lt;&gt;"",O289&gt;Config!$B$7),"Parada","Ativa")))))</f>
        <v/>
      </c>
      <c r="R289" s="37">
        <f>IF(OR(G289="",Q289="Fechada",Q289="Perdida"),0,IF(Q289="Previsão vencida",3,IF(Q289="Parada",2,1))*1E+15+MIN(N(O289),500)*1E+12+MIN(ROUND(N(F289)*100,0),99999999)*1E+4+(304+1-ROW()))</f>
        <v>0</v>
      </c>
    </row>
    <row r="290">
      <c r="A290" s="31" t="n"/>
      <c r="B290" s="34" t="n"/>
      <c r="C290" s="31" t="n"/>
      <c r="D290" s="34" t="n"/>
      <c r="E290" s="34" t="n"/>
      <c r="F290" s="33" t="n"/>
      <c r="G290" s="34" t="n"/>
      <c r="H290" s="36" t="n"/>
      <c r="I290" s="36" t="n"/>
      <c r="J290" s="36" t="n"/>
      <c r="K290" s="36" t="n"/>
      <c r="L290" s="31" t="n"/>
      <c r="M290" s="27">
        <f>IF(G290="","",IFERROR(INDEX(Config!$B$10:$B$15,MATCH(G290,Config!$A$10:$A$15,0)),0))</f>
        <v/>
      </c>
      <c r="N290" s="26">
        <f>IF(OR(G290="",F290=""),"",F290*M290)</f>
        <v/>
      </c>
      <c r="O290" s="29">
        <f>IF(OR(G290="",G290="Fechada",G290="Perdida",AND(H290="",I290="")),"",Config!$B$5-IF(I290="",H290,I290))</f>
        <v/>
      </c>
      <c r="P290" s="29">
        <f>IF(AND(G290="Fechada",K290&lt;&gt;"",H290&lt;&gt;""),K290-H290,"")</f>
        <v/>
      </c>
      <c r="Q290" s="25">
        <f>IF(G290="","",IF(G290="Fechada","Fechada",IF(G290="Perdida","Perdida",IF(AND(J290&lt;&gt;"",J290&lt;Config!$B$5),"Previsão vencida",IF(AND(O290&lt;&gt;"",O290&gt;Config!$B$7),"Parada","Ativa")))))</f>
        <v/>
      </c>
      <c r="R290" s="37">
        <f>IF(OR(G290="",Q290="Fechada",Q290="Perdida"),0,IF(Q290="Previsão vencida",3,IF(Q290="Parada",2,1))*1E+15+MIN(N(O290),500)*1E+12+MIN(ROUND(N(F290)*100,0),99999999)*1E+4+(304+1-ROW()))</f>
        <v>0</v>
      </c>
    </row>
    <row r="291">
      <c r="A291" s="31" t="n"/>
      <c r="B291" s="34" t="n"/>
      <c r="C291" s="31" t="n"/>
      <c r="D291" s="34" t="n"/>
      <c r="E291" s="34" t="n"/>
      <c r="F291" s="33" t="n"/>
      <c r="G291" s="34" t="n"/>
      <c r="H291" s="36" t="n"/>
      <c r="I291" s="36" t="n"/>
      <c r="J291" s="36" t="n"/>
      <c r="K291" s="36" t="n"/>
      <c r="L291" s="31" t="n"/>
      <c r="M291" s="27">
        <f>IF(G291="","",IFERROR(INDEX(Config!$B$10:$B$15,MATCH(G291,Config!$A$10:$A$15,0)),0))</f>
        <v/>
      </c>
      <c r="N291" s="26">
        <f>IF(OR(G291="",F291=""),"",F291*M291)</f>
        <v/>
      </c>
      <c r="O291" s="29">
        <f>IF(OR(G291="",G291="Fechada",G291="Perdida",AND(H291="",I291="")),"",Config!$B$5-IF(I291="",H291,I291))</f>
        <v/>
      </c>
      <c r="P291" s="29">
        <f>IF(AND(G291="Fechada",K291&lt;&gt;"",H291&lt;&gt;""),K291-H291,"")</f>
        <v/>
      </c>
      <c r="Q291" s="25">
        <f>IF(G291="","",IF(G291="Fechada","Fechada",IF(G291="Perdida","Perdida",IF(AND(J291&lt;&gt;"",J291&lt;Config!$B$5),"Previsão vencida",IF(AND(O291&lt;&gt;"",O291&gt;Config!$B$7),"Parada","Ativa")))))</f>
        <v/>
      </c>
      <c r="R291" s="37">
        <f>IF(OR(G291="",Q291="Fechada",Q291="Perdida"),0,IF(Q291="Previsão vencida",3,IF(Q291="Parada",2,1))*1E+15+MIN(N(O291),500)*1E+12+MIN(ROUND(N(F291)*100,0),99999999)*1E+4+(304+1-ROW()))</f>
        <v>0</v>
      </c>
    </row>
    <row r="292">
      <c r="A292" s="31" t="n"/>
      <c r="B292" s="34" t="n"/>
      <c r="C292" s="31" t="n"/>
      <c r="D292" s="34" t="n"/>
      <c r="E292" s="34" t="n"/>
      <c r="F292" s="33" t="n"/>
      <c r="G292" s="34" t="n"/>
      <c r="H292" s="36" t="n"/>
      <c r="I292" s="36" t="n"/>
      <c r="J292" s="36" t="n"/>
      <c r="K292" s="36" t="n"/>
      <c r="L292" s="31" t="n"/>
      <c r="M292" s="27">
        <f>IF(G292="","",IFERROR(INDEX(Config!$B$10:$B$15,MATCH(G292,Config!$A$10:$A$15,0)),0))</f>
        <v/>
      </c>
      <c r="N292" s="26">
        <f>IF(OR(G292="",F292=""),"",F292*M292)</f>
        <v/>
      </c>
      <c r="O292" s="29">
        <f>IF(OR(G292="",G292="Fechada",G292="Perdida",AND(H292="",I292="")),"",Config!$B$5-IF(I292="",H292,I292))</f>
        <v/>
      </c>
      <c r="P292" s="29">
        <f>IF(AND(G292="Fechada",K292&lt;&gt;"",H292&lt;&gt;""),K292-H292,"")</f>
        <v/>
      </c>
      <c r="Q292" s="25">
        <f>IF(G292="","",IF(G292="Fechada","Fechada",IF(G292="Perdida","Perdida",IF(AND(J292&lt;&gt;"",J292&lt;Config!$B$5),"Previsão vencida",IF(AND(O292&lt;&gt;"",O292&gt;Config!$B$7),"Parada","Ativa")))))</f>
        <v/>
      </c>
      <c r="R292" s="37">
        <f>IF(OR(G292="",Q292="Fechada",Q292="Perdida"),0,IF(Q292="Previsão vencida",3,IF(Q292="Parada",2,1))*1E+15+MIN(N(O292),500)*1E+12+MIN(ROUND(N(F292)*100,0),99999999)*1E+4+(304+1-ROW()))</f>
        <v>0</v>
      </c>
    </row>
    <row r="293">
      <c r="A293" s="31" t="n"/>
      <c r="B293" s="34" t="n"/>
      <c r="C293" s="31" t="n"/>
      <c r="D293" s="34" t="n"/>
      <c r="E293" s="34" t="n"/>
      <c r="F293" s="33" t="n"/>
      <c r="G293" s="34" t="n"/>
      <c r="H293" s="36" t="n"/>
      <c r="I293" s="36" t="n"/>
      <c r="J293" s="36" t="n"/>
      <c r="K293" s="36" t="n"/>
      <c r="L293" s="31" t="n"/>
      <c r="M293" s="27">
        <f>IF(G293="","",IFERROR(INDEX(Config!$B$10:$B$15,MATCH(G293,Config!$A$10:$A$15,0)),0))</f>
        <v/>
      </c>
      <c r="N293" s="26">
        <f>IF(OR(G293="",F293=""),"",F293*M293)</f>
        <v/>
      </c>
      <c r="O293" s="29">
        <f>IF(OR(G293="",G293="Fechada",G293="Perdida",AND(H293="",I293="")),"",Config!$B$5-IF(I293="",H293,I293))</f>
        <v/>
      </c>
      <c r="P293" s="29">
        <f>IF(AND(G293="Fechada",K293&lt;&gt;"",H293&lt;&gt;""),K293-H293,"")</f>
        <v/>
      </c>
      <c r="Q293" s="25">
        <f>IF(G293="","",IF(G293="Fechada","Fechada",IF(G293="Perdida","Perdida",IF(AND(J293&lt;&gt;"",J293&lt;Config!$B$5),"Previsão vencida",IF(AND(O293&lt;&gt;"",O293&gt;Config!$B$7),"Parada","Ativa")))))</f>
        <v/>
      </c>
      <c r="R293" s="37">
        <f>IF(OR(G293="",Q293="Fechada",Q293="Perdida"),0,IF(Q293="Previsão vencida",3,IF(Q293="Parada",2,1))*1E+15+MIN(N(O293),500)*1E+12+MIN(ROUND(N(F293)*100,0),99999999)*1E+4+(304+1-ROW()))</f>
        <v>0</v>
      </c>
    </row>
    <row r="294">
      <c r="A294" s="31" t="n"/>
      <c r="B294" s="34" t="n"/>
      <c r="C294" s="31" t="n"/>
      <c r="D294" s="34" t="n"/>
      <c r="E294" s="34" t="n"/>
      <c r="F294" s="33" t="n"/>
      <c r="G294" s="34" t="n"/>
      <c r="H294" s="36" t="n"/>
      <c r="I294" s="36" t="n"/>
      <c r="J294" s="36" t="n"/>
      <c r="K294" s="36" t="n"/>
      <c r="L294" s="31" t="n"/>
      <c r="M294" s="27">
        <f>IF(G294="","",IFERROR(INDEX(Config!$B$10:$B$15,MATCH(G294,Config!$A$10:$A$15,0)),0))</f>
        <v/>
      </c>
      <c r="N294" s="26">
        <f>IF(OR(G294="",F294=""),"",F294*M294)</f>
        <v/>
      </c>
      <c r="O294" s="29">
        <f>IF(OR(G294="",G294="Fechada",G294="Perdida",AND(H294="",I294="")),"",Config!$B$5-IF(I294="",H294,I294))</f>
        <v/>
      </c>
      <c r="P294" s="29">
        <f>IF(AND(G294="Fechada",K294&lt;&gt;"",H294&lt;&gt;""),K294-H294,"")</f>
        <v/>
      </c>
      <c r="Q294" s="25">
        <f>IF(G294="","",IF(G294="Fechada","Fechada",IF(G294="Perdida","Perdida",IF(AND(J294&lt;&gt;"",J294&lt;Config!$B$5),"Previsão vencida",IF(AND(O294&lt;&gt;"",O294&gt;Config!$B$7),"Parada","Ativa")))))</f>
        <v/>
      </c>
      <c r="R294" s="37">
        <f>IF(OR(G294="",Q294="Fechada",Q294="Perdida"),0,IF(Q294="Previsão vencida",3,IF(Q294="Parada",2,1))*1E+15+MIN(N(O294),500)*1E+12+MIN(ROUND(N(F294)*100,0),99999999)*1E+4+(304+1-ROW()))</f>
        <v>0</v>
      </c>
    </row>
    <row r="295">
      <c r="A295" s="31" t="n"/>
      <c r="B295" s="34" t="n"/>
      <c r="C295" s="31" t="n"/>
      <c r="D295" s="34" t="n"/>
      <c r="E295" s="34" t="n"/>
      <c r="F295" s="33" t="n"/>
      <c r="G295" s="34" t="n"/>
      <c r="H295" s="36" t="n"/>
      <c r="I295" s="36" t="n"/>
      <c r="J295" s="36" t="n"/>
      <c r="K295" s="36" t="n"/>
      <c r="L295" s="31" t="n"/>
      <c r="M295" s="27">
        <f>IF(G295="","",IFERROR(INDEX(Config!$B$10:$B$15,MATCH(G295,Config!$A$10:$A$15,0)),0))</f>
        <v/>
      </c>
      <c r="N295" s="26">
        <f>IF(OR(G295="",F295=""),"",F295*M295)</f>
        <v/>
      </c>
      <c r="O295" s="29">
        <f>IF(OR(G295="",G295="Fechada",G295="Perdida",AND(H295="",I295="")),"",Config!$B$5-IF(I295="",H295,I295))</f>
        <v/>
      </c>
      <c r="P295" s="29">
        <f>IF(AND(G295="Fechada",K295&lt;&gt;"",H295&lt;&gt;""),K295-H295,"")</f>
        <v/>
      </c>
      <c r="Q295" s="25">
        <f>IF(G295="","",IF(G295="Fechada","Fechada",IF(G295="Perdida","Perdida",IF(AND(J295&lt;&gt;"",J295&lt;Config!$B$5),"Previsão vencida",IF(AND(O295&lt;&gt;"",O295&gt;Config!$B$7),"Parada","Ativa")))))</f>
        <v/>
      </c>
      <c r="R295" s="37">
        <f>IF(OR(G295="",Q295="Fechada",Q295="Perdida"),0,IF(Q295="Previsão vencida",3,IF(Q295="Parada",2,1))*1E+15+MIN(N(O295),500)*1E+12+MIN(ROUND(N(F295)*100,0),99999999)*1E+4+(304+1-ROW()))</f>
        <v>0</v>
      </c>
    </row>
    <row r="296">
      <c r="A296" s="31" t="n"/>
      <c r="B296" s="34" t="n"/>
      <c r="C296" s="31" t="n"/>
      <c r="D296" s="34" t="n"/>
      <c r="E296" s="34" t="n"/>
      <c r="F296" s="33" t="n"/>
      <c r="G296" s="34" t="n"/>
      <c r="H296" s="36" t="n"/>
      <c r="I296" s="36" t="n"/>
      <c r="J296" s="36" t="n"/>
      <c r="K296" s="36" t="n"/>
      <c r="L296" s="31" t="n"/>
      <c r="M296" s="27">
        <f>IF(G296="","",IFERROR(INDEX(Config!$B$10:$B$15,MATCH(G296,Config!$A$10:$A$15,0)),0))</f>
        <v/>
      </c>
      <c r="N296" s="26">
        <f>IF(OR(G296="",F296=""),"",F296*M296)</f>
        <v/>
      </c>
      <c r="O296" s="29">
        <f>IF(OR(G296="",G296="Fechada",G296="Perdida",AND(H296="",I296="")),"",Config!$B$5-IF(I296="",H296,I296))</f>
        <v/>
      </c>
      <c r="P296" s="29">
        <f>IF(AND(G296="Fechada",K296&lt;&gt;"",H296&lt;&gt;""),K296-H296,"")</f>
        <v/>
      </c>
      <c r="Q296" s="25">
        <f>IF(G296="","",IF(G296="Fechada","Fechada",IF(G296="Perdida","Perdida",IF(AND(J296&lt;&gt;"",J296&lt;Config!$B$5),"Previsão vencida",IF(AND(O296&lt;&gt;"",O296&gt;Config!$B$7),"Parada","Ativa")))))</f>
        <v/>
      </c>
      <c r="R296" s="37">
        <f>IF(OR(G296="",Q296="Fechada",Q296="Perdida"),0,IF(Q296="Previsão vencida",3,IF(Q296="Parada",2,1))*1E+15+MIN(N(O296),500)*1E+12+MIN(ROUND(N(F296)*100,0),99999999)*1E+4+(304+1-ROW()))</f>
        <v>0</v>
      </c>
    </row>
    <row r="297">
      <c r="A297" s="31" t="n"/>
      <c r="B297" s="34" t="n"/>
      <c r="C297" s="31" t="n"/>
      <c r="D297" s="34" t="n"/>
      <c r="E297" s="34" t="n"/>
      <c r="F297" s="33" t="n"/>
      <c r="G297" s="34" t="n"/>
      <c r="H297" s="36" t="n"/>
      <c r="I297" s="36" t="n"/>
      <c r="J297" s="36" t="n"/>
      <c r="K297" s="36" t="n"/>
      <c r="L297" s="31" t="n"/>
      <c r="M297" s="27">
        <f>IF(G297="","",IFERROR(INDEX(Config!$B$10:$B$15,MATCH(G297,Config!$A$10:$A$15,0)),0))</f>
        <v/>
      </c>
      <c r="N297" s="26">
        <f>IF(OR(G297="",F297=""),"",F297*M297)</f>
        <v/>
      </c>
      <c r="O297" s="29">
        <f>IF(OR(G297="",G297="Fechada",G297="Perdida",AND(H297="",I297="")),"",Config!$B$5-IF(I297="",H297,I297))</f>
        <v/>
      </c>
      <c r="P297" s="29">
        <f>IF(AND(G297="Fechada",K297&lt;&gt;"",H297&lt;&gt;""),K297-H297,"")</f>
        <v/>
      </c>
      <c r="Q297" s="25">
        <f>IF(G297="","",IF(G297="Fechada","Fechada",IF(G297="Perdida","Perdida",IF(AND(J297&lt;&gt;"",J297&lt;Config!$B$5),"Previsão vencida",IF(AND(O297&lt;&gt;"",O297&gt;Config!$B$7),"Parada","Ativa")))))</f>
        <v/>
      </c>
      <c r="R297" s="37">
        <f>IF(OR(G297="",Q297="Fechada",Q297="Perdida"),0,IF(Q297="Previsão vencida",3,IF(Q297="Parada",2,1))*1E+15+MIN(N(O297),500)*1E+12+MIN(ROUND(N(F297)*100,0),99999999)*1E+4+(304+1-ROW()))</f>
        <v>0</v>
      </c>
    </row>
    <row r="298">
      <c r="A298" s="31" t="n"/>
      <c r="B298" s="34" t="n"/>
      <c r="C298" s="31" t="n"/>
      <c r="D298" s="34" t="n"/>
      <c r="E298" s="34" t="n"/>
      <c r="F298" s="33" t="n"/>
      <c r="G298" s="34" t="n"/>
      <c r="H298" s="36" t="n"/>
      <c r="I298" s="36" t="n"/>
      <c r="J298" s="36" t="n"/>
      <c r="K298" s="36" t="n"/>
      <c r="L298" s="31" t="n"/>
      <c r="M298" s="27">
        <f>IF(G298="","",IFERROR(INDEX(Config!$B$10:$B$15,MATCH(G298,Config!$A$10:$A$15,0)),0))</f>
        <v/>
      </c>
      <c r="N298" s="26">
        <f>IF(OR(G298="",F298=""),"",F298*M298)</f>
        <v/>
      </c>
      <c r="O298" s="29">
        <f>IF(OR(G298="",G298="Fechada",G298="Perdida",AND(H298="",I298="")),"",Config!$B$5-IF(I298="",H298,I298))</f>
        <v/>
      </c>
      <c r="P298" s="29">
        <f>IF(AND(G298="Fechada",K298&lt;&gt;"",H298&lt;&gt;""),K298-H298,"")</f>
        <v/>
      </c>
      <c r="Q298" s="25">
        <f>IF(G298="","",IF(G298="Fechada","Fechada",IF(G298="Perdida","Perdida",IF(AND(J298&lt;&gt;"",J298&lt;Config!$B$5),"Previsão vencida",IF(AND(O298&lt;&gt;"",O298&gt;Config!$B$7),"Parada","Ativa")))))</f>
        <v/>
      </c>
      <c r="R298" s="37">
        <f>IF(OR(G298="",Q298="Fechada",Q298="Perdida"),0,IF(Q298="Previsão vencida",3,IF(Q298="Parada",2,1))*1E+15+MIN(N(O298),500)*1E+12+MIN(ROUND(N(F298)*100,0),99999999)*1E+4+(304+1-ROW()))</f>
        <v>0</v>
      </c>
    </row>
    <row r="299">
      <c r="A299" s="31" t="n"/>
      <c r="B299" s="34" t="n"/>
      <c r="C299" s="31" t="n"/>
      <c r="D299" s="34" t="n"/>
      <c r="E299" s="34" t="n"/>
      <c r="F299" s="33" t="n"/>
      <c r="G299" s="34" t="n"/>
      <c r="H299" s="36" t="n"/>
      <c r="I299" s="36" t="n"/>
      <c r="J299" s="36" t="n"/>
      <c r="K299" s="36" t="n"/>
      <c r="L299" s="31" t="n"/>
      <c r="M299" s="27">
        <f>IF(G299="","",IFERROR(INDEX(Config!$B$10:$B$15,MATCH(G299,Config!$A$10:$A$15,0)),0))</f>
        <v/>
      </c>
      <c r="N299" s="26">
        <f>IF(OR(G299="",F299=""),"",F299*M299)</f>
        <v/>
      </c>
      <c r="O299" s="29">
        <f>IF(OR(G299="",G299="Fechada",G299="Perdida",AND(H299="",I299="")),"",Config!$B$5-IF(I299="",H299,I299))</f>
        <v/>
      </c>
      <c r="P299" s="29">
        <f>IF(AND(G299="Fechada",K299&lt;&gt;"",H299&lt;&gt;""),K299-H299,"")</f>
        <v/>
      </c>
      <c r="Q299" s="25">
        <f>IF(G299="","",IF(G299="Fechada","Fechada",IF(G299="Perdida","Perdida",IF(AND(J299&lt;&gt;"",J299&lt;Config!$B$5),"Previsão vencida",IF(AND(O299&lt;&gt;"",O299&gt;Config!$B$7),"Parada","Ativa")))))</f>
        <v/>
      </c>
      <c r="R299" s="37">
        <f>IF(OR(G299="",Q299="Fechada",Q299="Perdida"),0,IF(Q299="Previsão vencida",3,IF(Q299="Parada",2,1))*1E+15+MIN(N(O299),500)*1E+12+MIN(ROUND(N(F299)*100,0),99999999)*1E+4+(304+1-ROW()))</f>
        <v>0</v>
      </c>
    </row>
    <row r="300">
      <c r="A300" s="31" t="n"/>
      <c r="B300" s="34" t="n"/>
      <c r="C300" s="31" t="n"/>
      <c r="D300" s="34" t="n"/>
      <c r="E300" s="34" t="n"/>
      <c r="F300" s="33" t="n"/>
      <c r="G300" s="34" t="n"/>
      <c r="H300" s="36" t="n"/>
      <c r="I300" s="36" t="n"/>
      <c r="J300" s="36" t="n"/>
      <c r="K300" s="36" t="n"/>
      <c r="L300" s="31" t="n"/>
      <c r="M300" s="27">
        <f>IF(G300="","",IFERROR(INDEX(Config!$B$10:$B$15,MATCH(G300,Config!$A$10:$A$15,0)),0))</f>
        <v/>
      </c>
      <c r="N300" s="26">
        <f>IF(OR(G300="",F300=""),"",F300*M300)</f>
        <v/>
      </c>
      <c r="O300" s="29">
        <f>IF(OR(G300="",G300="Fechada",G300="Perdida",AND(H300="",I300="")),"",Config!$B$5-IF(I300="",H300,I300))</f>
        <v/>
      </c>
      <c r="P300" s="29">
        <f>IF(AND(G300="Fechada",K300&lt;&gt;"",H300&lt;&gt;""),K300-H300,"")</f>
        <v/>
      </c>
      <c r="Q300" s="25">
        <f>IF(G300="","",IF(G300="Fechada","Fechada",IF(G300="Perdida","Perdida",IF(AND(J300&lt;&gt;"",J300&lt;Config!$B$5),"Previsão vencida",IF(AND(O300&lt;&gt;"",O300&gt;Config!$B$7),"Parada","Ativa")))))</f>
        <v/>
      </c>
      <c r="R300" s="37">
        <f>IF(OR(G300="",Q300="Fechada",Q300="Perdida"),0,IF(Q300="Previsão vencida",3,IF(Q300="Parada",2,1))*1E+15+MIN(N(O300),500)*1E+12+MIN(ROUND(N(F300)*100,0),99999999)*1E+4+(304+1-ROW()))</f>
        <v>0</v>
      </c>
    </row>
    <row r="301">
      <c r="A301" s="31" t="n"/>
      <c r="B301" s="34" t="n"/>
      <c r="C301" s="31" t="n"/>
      <c r="D301" s="34" t="n"/>
      <c r="E301" s="34" t="n"/>
      <c r="F301" s="33" t="n"/>
      <c r="G301" s="34" t="n"/>
      <c r="H301" s="36" t="n"/>
      <c r="I301" s="36" t="n"/>
      <c r="J301" s="36" t="n"/>
      <c r="K301" s="36" t="n"/>
      <c r="L301" s="31" t="n"/>
      <c r="M301" s="27">
        <f>IF(G301="","",IFERROR(INDEX(Config!$B$10:$B$15,MATCH(G301,Config!$A$10:$A$15,0)),0))</f>
        <v/>
      </c>
      <c r="N301" s="26">
        <f>IF(OR(G301="",F301=""),"",F301*M301)</f>
        <v/>
      </c>
      <c r="O301" s="29">
        <f>IF(OR(G301="",G301="Fechada",G301="Perdida",AND(H301="",I301="")),"",Config!$B$5-IF(I301="",H301,I301))</f>
        <v/>
      </c>
      <c r="P301" s="29">
        <f>IF(AND(G301="Fechada",K301&lt;&gt;"",H301&lt;&gt;""),K301-H301,"")</f>
        <v/>
      </c>
      <c r="Q301" s="25">
        <f>IF(G301="","",IF(G301="Fechada","Fechada",IF(G301="Perdida","Perdida",IF(AND(J301&lt;&gt;"",J301&lt;Config!$B$5),"Previsão vencida",IF(AND(O301&lt;&gt;"",O301&gt;Config!$B$7),"Parada","Ativa")))))</f>
        <v/>
      </c>
      <c r="R301" s="37">
        <f>IF(OR(G301="",Q301="Fechada",Q301="Perdida"),0,IF(Q301="Previsão vencida",3,IF(Q301="Parada",2,1))*1E+15+MIN(N(O301),500)*1E+12+MIN(ROUND(N(F301)*100,0),99999999)*1E+4+(304+1-ROW()))</f>
        <v>0</v>
      </c>
    </row>
    <row r="302">
      <c r="A302" s="31" t="n"/>
      <c r="B302" s="34" t="n"/>
      <c r="C302" s="31" t="n"/>
      <c r="D302" s="34" t="n"/>
      <c r="E302" s="34" t="n"/>
      <c r="F302" s="33" t="n"/>
      <c r="G302" s="34" t="n"/>
      <c r="H302" s="36" t="n"/>
      <c r="I302" s="36" t="n"/>
      <c r="J302" s="36" t="n"/>
      <c r="K302" s="36" t="n"/>
      <c r="L302" s="31" t="n"/>
      <c r="M302" s="27">
        <f>IF(G302="","",IFERROR(INDEX(Config!$B$10:$B$15,MATCH(G302,Config!$A$10:$A$15,0)),0))</f>
        <v/>
      </c>
      <c r="N302" s="26">
        <f>IF(OR(G302="",F302=""),"",F302*M302)</f>
        <v/>
      </c>
      <c r="O302" s="29">
        <f>IF(OR(G302="",G302="Fechada",G302="Perdida",AND(H302="",I302="")),"",Config!$B$5-IF(I302="",H302,I302))</f>
        <v/>
      </c>
      <c r="P302" s="29">
        <f>IF(AND(G302="Fechada",K302&lt;&gt;"",H302&lt;&gt;""),K302-H302,"")</f>
        <v/>
      </c>
      <c r="Q302" s="25">
        <f>IF(G302="","",IF(G302="Fechada","Fechada",IF(G302="Perdida","Perdida",IF(AND(J302&lt;&gt;"",J302&lt;Config!$B$5),"Previsão vencida",IF(AND(O302&lt;&gt;"",O302&gt;Config!$B$7),"Parada","Ativa")))))</f>
        <v/>
      </c>
      <c r="R302" s="37">
        <f>IF(OR(G302="",Q302="Fechada",Q302="Perdida"),0,IF(Q302="Previsão vencida",3,IF(Q302="Parada",2,1))*1E+15+MIN(N(O302),500)*1E+12+MIN(ROUND(N(F302)*100,0),99999999)*1E+4+(304+1-ROW()))</f>
        <v>0</v>
      </c>
    </row>
    <row r="303">
      <c r="A303" s="31" t="n"/>
      <c r="B303" s="34" t="n"/>
      <c r="C303" s="31" t="n"/>
      <c r="D303" s="34" t="n"/>
      <c r="E303" s="34" t="n"/>
      <c r="F303" s="33" t="n"/>
      <c r="G303" s="34" t="n"/>
      <c r="H303" s="36" t="n"/>
      <c r="I303" s="36" t="n"/>
      <c r="J303" s="36" t="n"/>
      <c r="K303" s="36" t="n"/>
      <c r="L303" s="31" t="n"/>
      <c r="M303" s="27">
        <f>IF(G303="","",IFERROR(INDEX(Config!$B$10:$B$15,MATCH(G303,Config!$A$10:$A$15,0)),0))</f>
        <v/>
      </c>
      <c r="N303" s="26">
        <f>IF(OR(G303="",F303=""),"",F303*M303)</f>
        <v/>
      </c>
      <c r="O303" s="29">
        <f>IF(OR(G303="",G303="Fechada",G303="Perdida",AND(H303="",I303="")),"",Config!$B$5-IF(I303="",H303,I303))</f>
        <v/>
      </c>
      <c r="P303" s="29">
        <f>IF(AND(G303="Fechada",K303&lt;&gt;"",H303&lt;&gt;""),K303-H303,"")</f>
        <v/>
      </c>
      <c r="Q303" s="25">
        <f>IF(G303="","",IF(G303="Fechada","Fechada",IF(G303="Perdida","Perdida",IF(AND(J303&lt;&gt;"",J303&lt;Config!$B$5),"Previsão vencida",IF(AND(O303&lt;&gt;"",O303&gt;Config!$B$7),"Parada","Ativa")))))</f>
        <v/>
      </c>
      <c r="R303" s="37">
        <f>IF(OR(G303="",Q303="Fechada",Q303="Perdida"),0,IF(Q303="Previsão vencida",3,IF(Q303="Parada",2,1))*1E+15+MIN(N(O303),500)*1E+12+MIN(ROUND(N(F303)*100,0),99999999)*1E+4+(304+1-ROW()))</f>
        <v>0</v>
      </c>
    </row>
    <row r="304">
      <c r="A304" s="31" t="n"/>
      <c r="B304" s="34" t="n"/>
      <c r="C304" s="31" t="n"/>
      <c r="D304" s="34" t="n"/>
      <c r="E304" s="34" t="n"/>
      <c r="F304" s="33" t="n"/>
      <c r="G304" s="34" t="n"/>
      <c r="H304" s="36" t="n"/>
      <c r="I304" s="36" t="n"/>
      <c r="J304" s="36" t="n"/>
      <c r="K304" s="36" t="n"/>
      <c r="L304" s="31" t="n"/>
      <c r="M304" s="27">
        <f>IF(G304="","",IFERROR(INDEX(Config!$B$10:$B$15,MATCH(G304,Config!$A$10:$A$15,0)),0))</f>
        <v/>
      </c>
      <c r="N304" s="26">
        <f>IF(OR(G304="",F304=""),"",F304*M304)</f>
        <v/>
      </c>
      <c r="O304" s="29">
        <f>IF(OR(G304="",G304="Fechada",G304="Perdida",AND(H304="",I304="")),"",Config!$B$5-IF(I304="",H304,I304))</f>
        <v/>
      </c>
      <c r="P304" s="29">
        <f>IF(AND(G304="Fechada",K304&lt;&gt;"",H304&lt;&gt;""),K304-H304,"")</f>
        <v/>
      </c>
      <c r="Q304" s="25">
        <f>IF(G304="","",IF(G304="Fechada","Fechada",IF(G304="Perdida","Perdida",IF(AND(J304&lt;&gt;"",J304&lt;Config!$B$5),"Previsão vencida",IF(AND(O304&lt;&gt;"",O304&gt;Config!$B$7),"Parada","Ativa")))))</f>
        <v/>
      </c>
      <c r="R304" s="37">
        <f>IF(OR(G304="",Q304="Fechada",Q304="Perdida"),0,IF(Q304="Previsão vencida",3,IF(Q304="Parada",2,1))*1E+15+MIN(N(O304),500)*1E+12+MIN(ROUND(N(F304)*100,0),99999999)*1E+4+(304+1-ROW()))</f>
        <v>0</v>
      </c>
    </row>
    <row r="306">
      <c r="A306" s="19" t="inlineStr">
        <is>
          <t>Amarelo: parada há mais dias que o limite da Config. Vermelho: fechamento previsto já passou. Verde: fechada. Cinza: perdida. Motivo em vermelho: perdida sem motivo (preencha, é o que ensina).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Q304"/>
  <mergeCells count="2">
    <mergeCell ref="A2:Q2"/>
    <mergeCell ref="A1:Q1"/>
  </mergeCells>
  <conditionalFormatting sqref="A5:Q304">
    <cfRule type="expression" priority="1" dxfId="1">
      <formula>$Q5="Parada"</formula>
    </cfRule>
    <cfRule type="expression" priority="2" dxfId="0">
      <formula>$Q5="Previsão vencida"</formula>
    </cfRule>
    <cfRule type="expression" priority="3" dxfId="2">
      <formula>$Q5="Fechada"</formula>
    </cfRule>
    <cfRule type="expression" priority="4" dxfId="3">
      <formula>$Q5="Perdida"</formula>
    </cfRule>
  </conditionalFormatting>
  <conditionalFormatting sqref="L5:L304">
    <cfRule type="expression" priority="5" dxfId="4">
      <formula>AND($G5="Perdida",$L5="")</formula>
    </cfRule>
  </conditionalFormatting>
  <dataValidations count="8">
    <dataValidation sqref="B5:B304" showDropDown="0" showInputMessage="0" showErrorMessage="1" allowBlank="1" type="list">
      <formula1>=OFFSET(Config!$A$18,0,0,MAX(1,COUNTA(Config!$A$18:$A$37)),1)</formula1>
    </dataValidation>
    <dataValidation sqref="C5:C304" showDropDown="0" showInputMessage="0" showErrorMessage="0" allowBlank="1" type="list">
      <formula1>=OFFSET(Config!$I$18,0,0,MAX(1,COUNTA(Config!$I$18:$I$37)),1)</formula1>
    </dataValidation>
    <dataValidation sqref="D5:D304" showDropDown="0" showInputMessage="0" showErrorMessage="1" allowBlank="1" type="list">
      <formula1>=OFFSET(Config!$C$18,0,0,MAX(1,COUNTA(Config!$C$18:$C$37)),1)</formula1>
    </dataValidation>
    <dataValidation sqref="E5:E304" showDropDown="0" showInputMessage="0" showErrorMessage="1" allowBlank="1" type="list">
      <formula1>=OFFSET(Config!$G$18,0,0,MAX(1,COUNTA(Config!$G$18:$G$37)),1)</formula1>
    </dataValidation>
    <dataValidation sqref="G5:G304" showDropDown="0" showInputMessage="0" showErrorMessage="1" allowBlank="1" type="list">
      <formula1>=Config!$A$10:$A$15</formula1>
    </dataValidation>
    <dataValidation sqref="L5:L304" showDropDown="0" showInputMessage="0" showErrorMessage="1" allowBlank="1" type="list">
      <formula1>=OFFSET(Config!$E$18,0,0,MAX(1,COUNTA(Config!$E$18:$E$37)),1)</formula1>
    </dataValidation>
    <dataValidation sqref="H5:K304" showDropDown="0" showInputMessage="0" showErrorMessage="1" allowBlank="1" type="date" operator="greaterThan">
      <formula1>1</formula1>
    </dataValidation>
    <dataValidation sqref="F5:F3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Funil de Propostas · Kit de Gestão para Advogados</dc:title>
  <dcterms:created xmlns:dcterms="http://purl.org/dc/terms/" xmlns:xsi="http://www.w3.org/2001/XMLSchema-instance" xsi:type="dcterms:W3CDTF">2026-09-18T16:25:20Z</dcterms:created>
  <dcterms:modified xmlns:dcterms="http://purl.org/dc/terms/" xmlns:xsi="http://www.w3.org/2001/XMLSchema-instance" xsi:type="dcterms:W3CDTF">2026-09-18T16:25:20Z</dcterms:modified>
</cp:coreProperties>
</file>