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8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use o prompt "Honorários 07 · Fixo, hora, êxito ou misto: perguntas antes de escolher" da biblioteca do kit para listar o que falta perguntar antes de fechar o valor. A decisão continua sua.</t>
        </is>
      </c>
    </row>
    <row r="11" ht="46" customHeight="1">
      <c r="A11" s="3" t="inlineStr">
        <is>
          <t>Números em texto</t>
        </is>
      </c>
      <c r="B11" s="4" t="inlineStr">
        <is>
          <t>As frases da comparação ("Hora mínima sem prejuízo: R$ ...") usam a função FIXED: o separador de milhar e de decimal segue o idioma do Excel (no Excel em português: 1.234,56).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 t="str">
        <f>Config!$B$4&amp;" · Simulador de honorários · "&amp;Config!$B$5</f>
        <v>Ferraz &amp; Lima Advocacia (exemplo fictício) · Simulador de honorários · Setembro de 2026</v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 t="str">
        <f>IF(MAX($J$52:$J$55)&lt;=-1E+9,"Nenhuma com risco aceitável",INDEX($A$52:$A$55,MATCH(MAX($J$52:$J$55),$J$52:$J$55,0)))</f>
        <v>Hora</v>
      </c>
      <c r="B5" s="8" t="n"/>
      <c r="C5" s="14">
        <f>IF(MAX($J$52:$J$55)&lt;=-1E+9,"",INDEX($E$52:$E$55,MATCH(MAX($J$52:$J$55),$J$52:$J$55,0)))</f>
        <v>4825.0158</v>
      </c>
      <c r="D5" s="10" t="n"/>
      <c r="E5" s="15" t="str">
        <f>IF(MAX($J$52:$J$55)&lt;=-1E+9,"",INDEX($I$52:$I$55,MATCH(MAX($J$52:$J$55),$J$52:$J$55,0)))</f>
        <v>Baixo</v>
      </c>
      <c r="F5" s="12" t="n"/>
      <c r="G5" s="16">
        <f>$D$40</f>
        <v>3951.7842</v>
      </c>
      <c r="H5" s="12" t="n"/>
      <c r="I5" s="17">
        <f>$B$15</f>
        <v>120.261235544735</v>
      </c>
      <c r="J5" s="12" t="n"/>
    </row>
    <row r="6" ht="30" customHeight="1">
      <c r="A6" s="18" t="str">
        <f>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</f>
        <v>Regra: maior margem esperada entre as modalidades com risco aceitável. Fora por risco alto: Êxito. Compare também a coluna 'Se o caso for perdido' antes de decidir.</v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66.0714</v>
      </c>
      <c r="C11" s="23" t="inlineStr">
        <is>
          <t>Copie da planilha 05 · Custo-hora (Painel, "Custo-hora do escritório"). No exemplo, R$ 66,0714 (18.500 ÷ 280 h): a hora mínima abaixo fica igual à da 05 (R$ 106,57).</t>
        </is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B12*B13</f>
        <v>33000</v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IFERROR(IF($B$29=0,B11/(1-Config!$B$7-Config!$B$8),($D$40/$B$29)/(1-Config!$B$7-Config!$B$8)),"")</f>
        <v>120.261235544735</v>
      </c>
      <c r="C15" s="23" t="inlineStr">
        <is>
          <t>(custo das horas + despesas absorvidas) ÷ horas estimadas ÷ (1 − impostos − margem). Sem caso montado, cai no custo-hora do escritório.</t>
        </is>
      </c>
    </row>
    <row r="17">
      <c r="A17" s="19" t="inlineStr">
        <is>
          <t>2. Horas estimadas por etapa</t>
        </is>
      </c>
    </row>
    <row r="18" ht="26" customHeight="1">
      <c r="A18" s="28" t="inlineStr">
        <is>
          <t>Etapa</t>
        </is>
      </c>
      <c r="B18" s="28" t="inlineStr">
        <is>
          <t>Horas estimadas</t>
        </is>
      </c>
      <c r="C18" s="28" t="inlineStr">
        <is>
          <t>Custo (R$)</t>
        </is>
      </c>
    </row>
    <row r="19">
      <c r="A19" s="21" t="inlineStr">
        <is>
          <t>Reunião inicial e análise dos documentos</t>
        </is>
      </c>
      <c r="B19" s="29" t="n">
        <v>4</v>
      </c>
      <c r="C19" s="27">
        <f>IF(B19="","",B19*$B$11)</f>
        <v>264.2856</v>
      </c>
    </row>
    <row r="20">
      <c r="A20" s="21" t="inlineStr">
        <is>
          <t>Estudo do caso e estratégia</t>
        </is>
      </c>
      <c r="B20" s="29" t="n">
        <v>6</v>
      </c>
      <c r="C20" s="27">
        <f>IF(B20="","",B20*$B$11)</f>
        <v>396.4284</v>
      </c>
    </row>
    <row r="21">
      <c r="A21" s="21" t="inlineStr">
        <is>
          <t>Redação e protocolo inicial</t>
        </is>
      </c>
      <c r="B21" s="29" t="n">
        <v>12</v>
      </c>
      <c r="C21" s="27">
        <f>IF(B21="","",B21*$B$11)</f>
        <v>792.8568</v>
      </c>
    </row>
    <row r="22">
      <c r="A22" s="21" t="inlineStr">
        <is>
          <t>Acompanhamento e manifestações</t>
        </is>
      </c>
      <c r="B22" s="29" t="n">
        <v>20</v>
      </c>
      <c r="C22" s="27">
        <f>IF(B22="","",B22*$B$11)</f>
        <v>1321.428</v>
      </c>
    </row>
    <row r="23">
      <c r="A23" s="21" t="inlineStr">
        <is>
          <t>Audiências e reuniões</t>
        </is>
      </c>
      <c r="B23" s="29" t="n">
        <v>8</v>
      </c>
      <c r="C23" s="27">
        <f>IF(B23="","",B23*$B$11)</f>
        <v>528.5712</v>
      </c>
    </row>
    <row r="24">
      <c r="A24" s="21" t="inlineStr">
        <is>
          <t>Encerramento e prestação de contas</t>
        </is>
      </c>
      <c r="B24" s="29" t="n">
        <v>3</v>
      </c>
      <c r="C24" s="27">
        <f>IF(B24="","",B24*$B$11)</f>
        <v>198.2142</v>
      </c>
    </row>
    <row r="25">
      <c r="A25" s="21" t="n"/>
      <c r="B25" s="29" t="n"/>
      <c r="C25" s="27">
        <f>IF(B25="","",B25*$B$11)</f>
        <v/>
      </c>
    </row>
    <row r="26">
      <c r="A26" s="21" t="n"/>
      <c r="B26" s="29" t="n"/>
      <c r="C26" s="27">
        <f>IF(B26="","",B26*$B$11)</f>
        <v/>
      </c>
    </row>
    <row r="27">
      <c r="A27" s="21" t="n"/>
      <c r="B27" s="29" t="n"/>
      <c r="C27" s="27">
        <f>IF(B27="","",B27*$B$11)</f>
        <v/>
      </c>
    </row>
    <row r="28">
      <c r="A28" s="21" t="n"/>
      <c r="B28" s="29" t="n"/>
      <c r="C28" s="27">
        <f>IF(B28="","",B28*$B$11)</f>
        <v/>
      </c>
    </row>
    <row r="29">
      <c r="A29" s="30" t="inlineStr">
        <is>
          <t>Total de horas e custo das horas</t>
        </is>
      </c>
      <c r="B29" s="31">
        <f>SUM(B19:B28)</f>
        <v>53</v>
      </c>
      <c r="C29" s="32">
        <f>SUM(C19:C28)</f>
        <v>3501.7842</v>
      </c>
    </row>
    <row r="31">
      <c r="A31" s="19" t="inlineStr">
        <is>
          <t>3. Despesas do caso</t>
        </is>
      </c>
    </row>
    <row r="32" ht="26" customHeight="1">
      <c r="A32" s="28" t="inlineStr">
        <is>
          <t>Despesa</t>
        </is>
      </c>
      <c r="B32" s="28" t="inlineStr">
        <is>
          <t>Valor (R$)</t>
        </is>
      </c>
      <c r="C32" s="28" t="inlineStr">
        <is>
          <t>Cliente reembolsa?</t>
        </is>
      </c>
      <c r="D32" s="28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3" t="inlineStr">
        <is>
          <t>Sim</t>
        </is>
      </c>
      <c r="D33" s="27">
        <f>IF(B33="","",IF(C33="Sim",0,B33))</f>
        <v>0</v>
      </c>
    </row>
    <row r="34">
      <c r="A34" s="21" t="inlineStr">
        <is>
          <t>Deslocamentos</t>
        </is>
      </c>
      <c r="B34" s="22" t="n">
        <v>300</v>
      </c>
      <c r="C34" s="33" t="inlineStr">
        <is>
          <t>Não</t>
        </is>
      </c>
      <c r="D34" s="27">
        <f>IF(B34="","",IF(C34="Sim",0,B34))</f>
        <v>300</v>
      </c>
    </row>
    <row r="35">
      <c r="A35" s="21" t="inlineStr">
        <is>
          <t>Cópias e certidões</t>
        </is>
      </c>
      <c r="B35" s="22" t="n">
        <v>150</v>
      </c>
      <c r="C35" s="33" t="inlineStr">
        <is>
          <t>Não</t>
        </is>
      </c>
      <c r="D35" s="27">
        <f>IF(B35="","",IF(C35="Sim",0,B35))</f>
        <v>150</v>
      </c>
    </row>
    <row r="36">
      <c r="A36" s="21" t="inlineStr">
        <is>
          <t>Terceiros (perito, tradutor)</t>
        </is>
      </c>
      <c r="B36" s="22" t="n">
        <v>0</v>
      </c>
      <c r="C36" s="33" t="inlineStr">
        <is>
          <t>Sim</t>
        </is>
      </c>
      <c r="D36" s="27">
        <f>IF(B36="","",IF(C36="Sim",0,B36))</f>
        <v>0</v>
      </c>
    </row>
    <row r="37">
      <c r="A37" s="21" t="n"/>
      <c r="B37" s="22" t="n"/>
      <c r="C37" s="33" t="n"/>
      <c r="D37" s="27">
        <f>IF(B37="","",IF(C37="Sim",0,B37))</f>
        <v/>
      </c>
    </row>
    <row r="38">
      <c r="A38" s="21" t="n"/>
      <c r="B38" s="22" t="n"/>
      <c r="C38" s="33" t="n"/>
      <c r="D38" s="27">
        <f>IF(B38="","",IF(C38="Sim",0,B38))</f>
        <v/>
      </c>
    </row>
    <row r="39">
      <c r="A39" s="30" t="inlineStr">
        <is>
          <t>Total de despesas · custo para o escritório</t>
        </is>
      </c>
      <c r="B39" s="27">
        <f>SUM(B33:B38)</f>
        <v>1250</v>
      </c>
      <c r="D39" s="32">
        <f>SUM(D33:D38)</f>
        <v>450</v>
      </c>
    </row>
    <row r="40">
      <c r="A40" s="30" t="inlineStr">
        <is>
          <t>Custo total do caso (horas + despesas que o escritório absorve)</t>
        </is>
      </c>
      <c r="D40" s="32">
        <f>$C$29+$D$39</f>
        <v>3951.7842</v>
      </c>
    </row>
    <row r="42">
      <c r="A42" s="19" t="inlineStr">
        <is>
          <t>4. O que você pretende cobrar em cada modalidade</t>
        </is>
      </c>
    </row>
    <row r="43" ht="26" customHeight="1">
      <c r="A43" s="28" t="inlineStr">
        <is>
          <t>Modalidade</t>
        </is>
      </c>
      <c r="B43" s="28" t="inlineStr">
        <is>
          <t>Valor</t>
        </is>
      </c>
      <c r="C43" s="28" t="inlineStr">
        <is>
          <t>Como funciona</t>
        </is>
      </c>
    </row>
    <row r="44">
      <c r="A44" s="34" t="inlineStr">
        <is>
          <t>Fixo · valor fechado (R$)</t>
        </is>
      </c>
      <c r="B44" s="24" t="n">
        <v>7000</v>
      </c>
      <c r="C44" s="35" t="inlineStr">
        <is>
          <t>Um valor pelo caso inteiro, independente das horas. Risco: o caso consumir mais horas que o estimado.</t>
        </is>
      </c>
      <c r="D44" s="36" t="n"/>
      <c r="E44" s="36" t="n"/>
      <c r="F44" s="36" t="n"/>
      <c r="G44" s="36" t="n"/>
      <c r="H44" s="37" t="n"/>
    </row>
    <row r="45">
      <c r="A45" s="34" t="inlineStr">
        <is>
          <t>Hora · valor da hora cobrada (R$)</t>
        </is>
      </c>
      <c r="B45" s="22" t="n">
        <v>180</v>
      </c>
      <c r="C45" s="35" t="inlineStr">
        <is>
          <t>Cobra as horas trabalhadas. Risco baixo para o escritório; o cliente pode questionar as horas.</t>
        </is>
      </c>
      <c r="D45" s="36" t="n"/>
      <c r="E45" s="36" t="n"/>
      <c r="F45" s="36" t="n"/>
      <c r="G45" s="36" t="n"/>
      <c r="H45" s="37" t="n"/>
    </row>
    <row r="46">
      <c r="A46" s="34" t="inlineStr">
        <is>
          <t>Êxito · % sobre o resultado</t>
        </is>
      </c>
      <c r="B46" s="25" t="n">
        <v>0.25</v>
      </c>
      <c r="C46" s="35" t="inlineStr">
        <is>
          <t>Só recebe se o caso der certo, no fim. Risco: trabalhar e não receber.</t>
        </is>
      </c>
      <c r="D46" s="36" t="n"/>
      <c r="E46" s="36" t="n"/>
      <c r="F46" s="36" t="n"/>
      <c r="G46" s="36" t="n"/>
      <c r="H46" s="37" t="n"/>
    </row>
    <row r="47">
      <c r="A47" s="34" t="inlineStr">
        <is>
          <t>Misto · entrada fixa (R$)</t>
        </is>
      </c>
      <c r="B47" s="24" t="n">
        <v>4500</v>
      </c>
      <c r="C47" s="35" t="inlineStr">
        <is>
          <t>Uma parte fixa no início (cobre o custo) mais um percentual sobre o resultado.</t>
        </is>
      </c>
      <c r="D47" s="36" t="n"/>
      <c r="E47" s="36" t="n"/>
      <c r="F47" s="36" t="n"/>
      <c r="G47" s="36" t="n"/>
      <c r="H47" s="37" t="n"/>
    </row>
    <row r="48">
      <c r="A48" s="34" t="inlineStr">
        <is>
          <t>Misto · % sobre o resultado</t>
        </is>
      </c>
      <c r="B48" s="25" t="n">
        <v>0.15</v>
      </c>
      <c r="C48" s="35" t="inlineStr"/>
      <c r="D48" s="36" t="n"/>
      <c r="E48" s="36" t="n"/>
      <c r="F48" s="36" t="n"/>
      <c r="G48" s="36" t="n"/>
      <c r="H48" s="37" t="n"/>
    </row>
    <row r="50">
      <c r="A50" s="19" t="inlineStr">
        <is>
          <t>5. Comparação das modalidades</t>
        </is>
      </c>
    </row>
    <row r="51" ht="40" customHeight="1">
      <c r="A51" s="28" t="inlineStr">
        <is>
          <t>Modalidade</t>
        </is>
      </c>
      <c r="B51" s="28" t="inlineStr">
        <is>
          <t>Receita esperada (R$)</t>
        </is>
      </c>
      <c r="C51" s="28" t="inlineStr">
        <is>
          <t>Impostos e taxas (R$)</t>
        </is>
      </c>
      <c r="D51" s="28" t="inlineStr">
        <is>
          <t>Custo do caso (R$)</t>
        </is>
      </c>
      <c r="E51" s="28" t="inlineStr">
        <is>
          <t>Margem esperada (R$)</t>
        </is>
      </c>
      <c r="F51" s="28" t="inlineStr">
        <is>
          <t>Margem (%)</t>
        </is>
      </c>
      <c r="G51" s="28" t="inlineStr">
        <is>
          <t>Se o caso for perdido (R$)</t>
        </is>
      </c>
      <c r="H51" s="28" t="inlineStr">
        <is>
          <t>Ponto de equilíbrio</t>
        </is>
      </c>
      <c r="I51" s="28" t="inlineStr">
        <is>
          <t>Risco</t>
        </is>
      </c>
      <c r="J51" s="28" t="inlineStr">
        <is>
          <t>Pontuação</t>
        </is>
      </c>
      <c r="K51" s="28" t="inlineStr">
        <is>
          <t>Por que este risco</t>
        </is>
      </c>
    </row>
    <row r="52" ht="42" customHeight="1">
      <c r="A52" s="30" t="inlineStr">
        <is>
          <t>Fixo</t>
        </is>
      </c>
      <c r="B52" s="27">
        <f>$B$44</f>
        <v>7000</v>
      </c>
      <c r="C52" s="27">
        <f>B52*Config!$B$7</f>
        <v>560</v>
      </c>
      <c r="D52" s="27">
        <f>$D$40</f>
        <v>3951.7842</v>
      </c>
      <c r="E52" s="27">
        <f>B52-C52-D52</f>
        <v>2488.2158</v>
      </c>
      <c r="F52" s="38">
        <f>IF(B52=0,"",E52/B52)</f>
        <v>0.3554594</v>
      </c>
      <c r="G52" s="27">
        <f>E52</f>
        <v>2488.2158</v>
      </c>
      <c r="H52" s="39" t="str">
        <f>IFERROR("Até "&amp;ROUND(($B$44*(1-Config!$B$7)-$D$39)/$B$11,0)&amp;" horas sem prejuízo (estimadas: "&amp;ROUND($B$29,0)&amp;")","Preencha horas e valores")</f>
        <v>Até 91 horas sem prejuízo (estimadas: 53)</v>
      </c>
      <c r="I52" s="40" t="str">
        <f>IFERROR(IF($B$29=0,"Alto",IF(($B$44*(1-Config!$B$7)-$D$39)/$B$11/$B$29-1&gt;=Config!$B$11,"Baixo",IF(($B$44*(1-Config!$B$7)-$D$39)/$B$11&gt;=$B$29,"Médio","Alto"))),"Alto")</f>
        <v>Baixo</v>
      </c>
      <c r="J52" s="41">
        <f>IF(OR(I52="Alto",AND(I52="Médio",Config!$B$12="Não")),-1E+9,E52)</f>
        <v>2488.2158</v>
      </c>
      <c r="K52" s="42" t="str">
        <f>IFERROR("Folga de horas: "&amp;ROUND((($B$44*(1-Config!$B$7)-$D$39)/$B$11/$B$29-1)*100,0)&amp;"% (mínimo para risco baixo: "&amp;ROUND(Config!$B$11*100,0)&amp;"%)","")</f>
        <v>Folga de horas: 71% (mínimo para risco baixo: 20%)</v>
      </c>
    </row>
    <row r="53" ht="42" customHeight="1">
      <c r="A53" s="30" t="inlineStr">
        <is>
          <t>Hora</t>
        </is>
      </c>
      <c r="B53" s="27">
        <f>$B$45*$B$29</f>
        <v>9540</v>
      </c>
      <c r="C53" s="27">
        <f>B53*Config!$B$7</f>
        <v>763.2</v>
      </c>
      <c r="D53" s="27">
        <f>$D$40</f>
        <v>3951.7842</v>
      </c>
      <c r="E53" s="27">
        <f>B53-C53-D53</f>
        <v>4825.0158</v>
      </c>
      <c r="F53" s="38">
        <f>IF(B53=0,"",E53/B53)</f>
        <v>0.505766855345912</v>
      </c>
      <c r="G53" s="27">
        <f>E53</f>
        <v>4825.0158</v>
      </c>
      <c r="H53" s="39" t="str">
        <f>IFERROR("Hora mínima sem prejuízo: R$ "&amp;FIXED($D$40/($B$29*(1-Config!$B$7)),2)&amp;" (você cobra R$ "&amp;FIXED($B$45,2)&amp;")","Preencha horas e valores")</f>
        <v>Hora mínima sem prejuízo: R$ 81,05 (você cobra R$ 180,00)</v>
      </c>
      <c r="I53" s="40" t="str">
        <f>IFERROR(IF($B$45&gt;=$B$15,"Baixo",IF($B$45*$B$29*(1-Config!$B$7)&gt;=$D$40,"Médio","Alto")),"Alto")</f>
        <v>Baixo</v>
      </c>
      <c r="J53" s="41">
        <f>IF(OR(I53="Alto",AND(I53="Médio",Config!$B$12="Não")),-1E+9,E53)</f>
        <v>4825.0158</v>
      </c>
      <c r="K53" s="42" t="str">
        <f>IFERROR(IF($B$45&gt;=$B$15,"A hora cobrada cobre custo, impostos e margem desejada","A hora cobrada fica abaixo da hora mínima com margem (R$ "&amp;FIXED($B$15,2)&amp;")"),"")</f>
        <v>A hora cobrada cobre custo, impostos e margem desejada</v>
      </c>
    </row>
    <row r="54" ht="42" customHeight="1">
      <c r="A54" s="30" t="inlineStr">
        <is>
          <t>Êxito</t>
        </is>
      </c>
      <c r="B54" s="27">
        <f>$B$46*$B$14</f>
        <v>8250</v>
      </c>
      <c r="C54" s="27">
        <f>B54*Config!$B$7</f>
        <v>660</v>
      </c>
      <c r="D54" s="27">
        <f>$D$40</f>
        <v>3951.7842</v>
      </c>
      <c r="E54" s="27">
        <f>B54-C54-D54</f>
        <v>3638.2158</v>
      </c>
      <c r="F54" s="38">
        <f>IF(B54=0,"",E54/B54)</f>
        <v>0.440995854545455</v>
      </c>
      <c r="G54" s="27">
        <f>-$D$40</f>
        <v>-3951.7842</v>
      </c>
      <c r="H54" s="39" t="str">
        <f>IFERROR("Chance mínima de êxito para não ter prejuízo: "&amp;ROUND($D$40/($B$46*$B$12*(1-Config!$B$7))*100,0)&amp;"% (estimada: "&amp;ROUND($B$13*100,0)&amp;"%)","Preencha horas e valores")</f>
        <v>Chance mínima de êxito para não ter prejuízo: 29% (estimada: 55%)</v>
      </c>
      <c r="I54" s="40" t="str">
        <f>IFERROR(IF(OR($B$13&lt;Config!$B$9,$B$13&lt;$D$40/($B$46*$B$12*(1-Config!$B$7))+Config!$B$10),"Alto","Médio"),"Alto")</f>
        <v>Alto</v>
      </c>
      <c r="J54" s="41">
        <f>IF(OR(I54="Alto",AND(I54="Médio",Config!$B$12="Não")),-1E+9,E54)</f>
        <v>-1000000000</v>
      </c>
      <c r="K54" s="42" t="str">
        <f>IFERROR(IF($B$13&lt;Config!$B$9,"Chance estimada abaixo do mínimo aceitável para êxito puro ("&amp;ROUND(Config!$B$9*100,0)&amp;"%)",IF($B$13&lt;$D$40/($B$46*$B$12*(1-Config!$B$7))+Config!$B$10,"Chance estimada perto demais do ponto de equilíbrio","Só recebe no fim; o caixa precisa aguentar até lá")),"")</f>
        <v>Chance estimada abaixo do mínimo aceitável para êxito puro (60%)</v>
      </c>
    </row>
    <row r="55" ht="42" customHeight="1">
      <c r="A55" s="30" t="inlineStr">
        <is>
          <t>Misto</t>
        </is>
      </c>
      <c r="B55" s="27">
        <f>$B$47+$B$48*$B$14</f>
        <v>9450</v>
      </c>
      <c r="C55" s="27">
        <f>B55*Config!$B$7</f>
        <v>756</v>
      </c>
      <c r="D55" s="27">
        <f>$D$40</f>
        <v>3951.7842</v>
      </c>
      <c r="E55" s="27">
        <f>B55-C55-D55</f>
        <v>4742.2158</v>
      </c>
      <c r="F55" s="38">
        <f>IF(B55=0,"",E55/B55)</f>
        <v>0.501821777777778</v>
      </c>
      <c r="G55" s="27">
        <f>$B$47*(1-Config!$B$7)-$D$40</f>
        <v>188.2158</v>
      </c>
      <c r="H55" s="39" t="str">
        <f>IFERROR(IF($B$47*(1-Config!$B$7)&gt;=$D$40,"A entrada já cobre o custo do caso; o êxito é margem","Chance mínima de êxito para não ter prejuízo: "&amp;ROUND(($D$40-$B$47*(1-Config!$B$7))/($B$48*$B$12*(1-Config!$B$7))*100,0)&amp;"% (estimada: "&amp;ROUND($B$13*100,0)&amp;"%)"),"Preencha horas e valores")</f>
        <v>A entrada já cobre o custo do caso; o êxito é margem</v>
      </c>
      <c r="I55" s="40" t="str">
        <f>IFERROR(IF($B$13&lt;MAX(0,($D$40-$B$47*(1-Config!$B$7))/($B$48*$B$12*(1-Config!$B$7)))+Config!$B$10,"Alto",IF($B$47*(1-Config!$B$7)&lt;$D$40,"Médio","Baixo")),"Alto")</f>
        <v>Baixo</v>
      </c>
      <c r="J55" s="41">
        <f>IF(OR(I55="Alto",AND(I55="Médio",Config!$B$12="Não")),-1E+9,E55)</f>
        <v>4742.2158</v>
      </c>
      <c r="K55" s="42" t="str">
        <f>IFERROR(IF($B$47*(1-Config!$B$7)&gt;=$D$40,"Entrada cobre o custo: mesmo perdendo, não há prejuízo",IF($B$47*(1-Config!$B$7)&lt;$D$40,"Entrada não cobre todo o custo; parte depende do êxito","")),"")</f>
        <v>Entrada cobre o custo: mesmo perdendo, não há prejuízo</v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I52="Alto"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 t="n">
        <v>46279</v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3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2026-09-17T15:51:20Z</dcterms:created>
  <dcterms:modified xmlns:dcterms="http://purl.org/dc/terms/" xmlns:xsi="http://www.w3.org/2001/XMLSchema-instance" xsi:type="dcterms:W3CDTF">2026-09-17T15:51:20Z</dcterms:modified>
</cp:coreProperties>
</file>