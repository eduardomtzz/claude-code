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Simulador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;[Red]-&quot;R$&quot; #,##0.00"/>
    <numFmt numFmtId="167" formatCode="&quot;R$&quot; #,##0;[Red]-&quot;R$&quot; #,##0"/>
    <numFmt numFmtId="168" formatCode="0.0"/>
  </numFmts>
  <fonts count="16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3B1F5E"/>
      <sz val="13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7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FC83D"/>
      </patternFill>
    </fill>
    <fill>
      <patternFill patternType="solid">
        <fgColor rgb="00DDF3E7"/>
      </patternFill>
    </fill>
    <fill>
      <patternFill patternType="solid">
        <fgColor rgb="00F3EEFB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vertical="top"/>
    </xf>
    <xf numFmtId="0" fontId="15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9" fillId="4" borderId="0" applyAlignment="1" pivotButton="0" quotePrefix="0" xfId="0">
      <alignment horizontal="center"/>
    </xf>
    <xf numFmtId="0" fontId="0" fillId="4" borderId="0" pivotButton="0" quotePrefix="0" xfId="0"/>
    <xf numFmtId="0" fontId="10" fillId="5" borderId="0" applyAlignment="1" pivotButton="0" quotePrefix="0" xfId="0">
      <alignment horizontal="center"/>
    </xf>
    <xf numFmtId="0" fontId="0" fillId="5" borderId="0" pivotButton="0" quotePrefix="0" xfId="0"/>
    <xf numFmtId="0" fontId="9" fillId="6" borderId="0" applyAlignment="1" pivotButton="0" quotePrefix="0" xfId="0">
      <alignment horizontal="center"/>
    </xf>
    <xf numFmtId="0" fontId="0" fillId="6" borderId="0" pivotButton="0" quotePrefix="0" xfId="0"/>
    <xf numFmtId="49" fontId="1" fillId="4" borderId="0" applyAlignment="1" pivotButton="0" quotePrefix="0" xfId="0">
      <alignment horizontal="center"/>
    </xf>
    <xf numFmtId="167" fontId="11" fillId="5" borderId="0" applyAlignment="1" pivotButton="0" quotePrefix="0" xfId="0">
      <alignment horizontal="center"/>
    </xf>
    <xf numFmtId="49" fontId="1" fillId="6" borderId="0" applyAlignment="1" pivotButton="0" quotePrefix="0" xfId="0">
      <alignment horizontal="center"/>
    </xf>
    <xf numFmtId="167" fontId="1" fillId="6" borderId="0" applyAlignment="1" pivotButton="0" quotePrefix="0" xfId="0">
      <alignment horizontal="center"/>
    </xf>
    <xf numFmtId="166" fontId="1" fillId="6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6" fontId="4" fillId="2" borderId="1" applyAlignment="1" applyProtection="1" pivotButton="0" quotePrefix="0" xfId="0">
      <alignment horizontal="center"/>
      <protection locked="0" hidden="0"/>
    </xf>
    <xf numFmtId="0" fontId="5" fillId="0" borderId="0" pivotButton="0" quotePrefix="0" xfId="0"/>
    <xf numFmtId="167" fontId="4" fillId="2" borderId="1" applyAlignment="1" applyProtection="1" pivotButton="0" quotePrefix="0" xfId="0">
      <alignment horizontal="center"/>
      <protection locked="0" hidden="0"/>
    </xf>
    <xf numFmtId="9" fontId="4" fillId="2" borderId="1" applyAlignment="1" applyProtection="1" pivotButton="0" quotePrefix="0" xfId="0">
      <alignment horizontal="center"/>
      <protection locked="0" hidden="0"/>
    </xf>
    <xf numFmtId="167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 wrapText="1"/>
    </xf>
    <xf numFmtId="168" fontId="4" fillId="2" borderId="1" applyAlignment="1" applyProtection="1" pivotButton="0" quotePrefix="0" xfId="0">
      <alignment horizontal="center"/>
      <protection locked="0" hidden="0"/>
    </xf>
    <xf numFmtId="0" fontId="3" fillId="0" borderId="1" pivotButton="0" quotePrefix="0" xfId="0"/>
    <xf numFmtId="168" fontId="3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0" fontId="4" fillId="2" borderId="1" applyAlignment="1" applyProtection="1" pivotButton="0" quotePrefix="0" xfId="0">
      <alignment horizontal="center"/>
      <protection locked="0" hidden="0"/>
    </xf>
    <xf numFmtId="0" fontId="4" fillId="0" borderId="1" pivotButton="0" quotePrefix="0" xfId="0"/>
    <xf numFmtId="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9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167" fontId="8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 wrapText="1"/>
    </xf>
    <xf numFmtId="0" fontId="4" fillId="0" borderId="0" pivotButton="0" quotePrefix="0" xfId="0"/>
    <xf numFmtId="165" fontId="4" fillId="0" borderId="1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4CC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b val="1"/>
        <color rgb="00C8402E"/>
        <sz val="10"/>
      </font>
    </dxf>
    <dxf>
      <fill>
        <patternFill patternType="solid">
          <fgColor rgb="00FFC83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Margem esperada × se perder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'Simulador'!E51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'Simulador'!$A$52:$A$55</f>
            </numRef>
          </cat>
          <val>
            <numRef>
              <f>'Simulador'!$E$52:$E$55</f>
            </numRef>
          </val>
        </ser>
        <ser>
          <idx val="1"/>
          <order val="1"/>
          <tx>
            <strRef>
              <f>'Simulador'!G51</f>
            </strRef>
          </tx>
          <spPr>
            <a:solidFill xmlns:a="http://schemas.openxmlformats.org/drawingml/2006/main">
              <a:srgbClr val="B89BE0"/>
            </a:solidFill>
            <a:ln xmlns:a="http://schemas.openxmlformats.org/drawingml/2006/main">
              <a:prstDash val="solid"/>
            </a:ln>
          </spPr>
          <cat>
            <numRef>
              <f>'Simulador'!$A$52:$A$55</f>
            </numRef>
          </cat>
          <val>
            <numRef>
              <f>'Simulador'!$G$52:$G$55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16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Simulador de honorários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Para um caso, estima as horas por etapa e as despesas, calcula o custo do caso e compara quatro formas de cobrar: fixo, por hora, êxito e misto. Mostra a margem esperada, o que acontece se o caso for perdido, o ponto de equilíbrio e o risco de cada uma, e recomenda a de maior margem com risco aceitável.</t>
        </is>
      </c>
    </row>
    <row r="5" ht="46" customHeight="1">
      <c r="A5" s="3" t="inlineStr">
        <is>
          <t>Passo 1</t>
        </is>
      </c>
      <c r="B5" s="4" t="inlineStr">
        <is>
          <t>Em Config, confira impostos, margem e as regras de risco (chance mínima para êxito puro, folgas). Uma vez só.</t>
        </is>
      </c>
    </row>
    <row r="6" ht="46" customHeight="1">
      <c r="A6" s="3" t="inlineStr">
        <is>
          <t>Passo 2</t>
        </is>
      </c>
      <c r="B6" s="4" t="inlineStr">
        <is>
          <t>Em Simulador, bloco 1: cliente, área, custo-hora (copie da planilha 05), valor em discussão e a chance de êxito que você estima.</t>
        </is>
      </c>
    </row>
    <row r="7" ht="46" customHeight="1">
      <c r="A7" s="3" t="inlineStr">
        <is>
          <t>Passo 3</t>
        </is>
      </c>
      <c r="B7" s="4" t="inlineStr">
        <is>
          <t>Blocos 2 e 3: horas por etapa e despesas do caso, marcando o que o cliente reembolsa.</t>
        </is>
      </c>
    </row>
    <row r="8" ht="46" customHeight="1">
      <c r="A8" s="3" t="inlineStr">
        <is>
          <t>Passo 4</t>
        </is>
      </c>
      <c r="B8" s="4" t="inlineStr">
        <is>
          <t>Bloco 4: o valor que você pretende cobrar em cada modalidade. Mude os números e veja a comparação e a recomendação no topo mudarem na hora.</t>
        </is>
      </c>
    </row>
    <row r="9" ht="46" customHeight="1">
      <c r="A9" s="3" t="inlineStr">
        <is>
          <t>Rotina</t>
        </is>
      </c>
      <c r="B9" s="4" t="inlineStr">
        <is>
          <t>Antes de cada proposta: 10 minutos. Depois, leve a modalidade escolhida para a planilha 07 (Proposta de honorários).</t>
        </is>
      </c>
    </row>
    <row r="10" ht="46" customHeight="1">
      <c r="A10" s="3" t="inlineStr">
        <is>
          <t>Com a IA</t>
        </is>
      </c>
      <c r="B10" s="4" t="inlineStr">
        <is>
          <t>Copie o bloco 5 e use o prompt "Honorários 07 · Fixo, hora, êxito ou misto: perguntas antes de escolher" da biblioteca do kit para listar o que falta perguntar antes de fechar o valor. A decisão continua sua.</t>
        </is>
      </c>
    </row>
    <row r="11" ht="46" customHeight="1">
      <c r="A11" s="3" t="inlineStr">
        <is>
          <t>Números em texto</t>
        </is>
      </c>
      <c r="B11" s="4" t="inlineStr">
        <is>
          <t>As frases da comparação ("Hora mínima sem prejuízo: R$ ...") usam a função FIXED: o separador de milhar e de decimal segue o idioma do Excel (no Excel em português: 1.234,56).</t>
        </is>
      </c>
    </row>
    <row r="12" ht="46" customHeight="1">
      <c r="A12" s="3" t="inlineStr">
        <is>
          <t>Legenda</t>
        </is>
      </c>
      <c r="B12" s="4" t="inlineStr">
        <is>
          <t>Células amarelas: você preenche. Brancas: calculadas. Não é preciso mexer em nada fora do amarelo.</t>
        </is>
      </c>
    </row>
    <row r="13" ht="46" customHeight="1">
      <c r="A13" s="3" t="inlineStr">
        <is>
          <t>Proteção</t>
        </is>
      </c>
      <c r="B13" s="4" t="inlineStr">
        <is>
          <t>Fórmulas protegidas sem senha. Para editar: Revisar &gt; Desproteger planilha (Excel) ou Dados &gt; Proteger intervalos (Google Sheets).</t>
        </is>
      </c>
    </row>
    <row r="14" ht="46" customHeight="1">
      <c r="A14" s="3" t="inlineStr">
        <is>
          <t>Requisitos</t>
        </is>
      </c>
      <c r="B14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6" ht="46" customHeight="1">
      <c r="A16" s="3" t="inlineStr">
        <is>
          <t>Exemplos</t>
        </is>
      </c>
      <c r="B16" s="4" t="inlineStr">
        <is>
          <t>Ferraz &amp; Lima Advocacia é um escritório fictício. Clientes, processos, nomes e valores são inventados. Apague-os antes de começar.</t>
        </is>
      </c>
    </row>
    <row r="17" ht="46" customHeight="1">
      <c r="A17" s="3" t="inlineStr">
        <is>
          <t>Data de referência</t>
        </is>
      </c>
      <c r="B17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8" ht="46" customHeight="1">
      <c r="A18" s="3" t="inlineStr">
        <is>
          <t>Suporte</t>
        </is>
      </c>
      <c r="B18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0" customWidth="1" min="6" max="6"/>
    <col width="16" customWidth="1" min="7" max="7"/>
    <col width="40" customWidth="1" min="8" max="8"/>
    <col width="10" customWidth="1" min="9" max="9"/>
    <col width="12" customWidth="1" min="10" max="10"/>
    <col width="44" customWidth="1" min="11" max="11"/>
  </cols>
  <sheetData>
    <row r="1" ht="28" customHeight="1">
      <c r="A1" s="5" t="str">
        <f>Config!$B$4&amp;" · Simulador de honorários · "&amp;Config!$B$5</f>
        <v>Ferraz &amp; Lima Advocacia (exemplo fictício) · Simulador de honorários · Setembro de 2026</v>
      </c>
    </row>
    <row r="2">
      <c r="A2" s="6" t="inlineStr">
        <is>
          <t>Preencha o amarelo: dados do caso, horas por etapa, despesas e o que pretende cobrar em cada modalidade. A comparação e a recomendação são calculadas.</t>
        </is>
      </c>
    </row>
    <row r="4">
      <c r="A4" s="7" t="inlineStr">
        <is>
          <t>Modalidade recomendada</t>
        </is>
      </c>
      <c r="B4" s="8" t="n"/>
      <c r="C4" s="9" t="inlineStr">
        <is>
          <t>Margem esperada</t>
        </is>
      </c>
      <c r="D4" s="10" t="n"/>
      <c r="E4" s="11" t="inlineStr">
        <is>
          <t>Risco da recomendada</t>
        </is>
      </c>
      <c r="F4" s="12" t="n"/>
      <c r="G4" s="11" t="inlineStr">
        <is>
          <t>Custo total do caso</t>
        </is>
      </c>
      <c r="H4" s="12" t="n"/>
      <c r="I4" s="11" t="inlineStr">
        <is>
          <t>Hora mínima para o caso</t>
        </is>
      </c>
      <c r="J4" s="12" t="n"/>
    </row>
    <row r="5" ht="30" customHeight="1">
      <c r="A5" s="13" t="str">
        <f>IF(NOT(ISNUMBER($B$11)),"Preencha o custo-hora primeiro",IF((Config!$B$13&lt;&gt;"Sim"),"Corrija as margens em Config",IF($B$29&lt;=0,"Estime as horas primeiro",IF(MAX($J$52:$J$55)&lt;=-1E+9,"Nenhuma com risco aceitável",INDEX($A$52:$A$55,MATCH(MAX($J$52:$J$55),$J$52:$J$55,0))))))</f>
        <v>Hora</v>
      </c>
      <c r="B5" s="8" t="n"/>
      <c r="C5" s="14">
        <f>IF(MAX($J$52:$J$55)&lt;=-1E+9,"",INDEX($E$52:$E$55,MATCH(MAX($J$52:$J$55),$J$52:$J$55,0)))</f>
        <v>4825.0158</v>
      </c>
      <c r="D5" s="10" t="n"/>
      <c r="E5" s="15" t="str">
        <f>IF(MAX($J$52:$J$55)&lt;=-1E+9,"",INDEX($I$52:$I$55,MATCH(MAX($J$52:$J$55),$J$52:$J$55,0)))</f>
        <v>Baixo</v>
      </c>
      <c r="F5" s="12" t="n"/>
      <c r="G5" s="16">
        <f>$D$40</f>
        <v>3951.7842</v>
      </c>
      <c r="H5" s="12" t="n"/>
      <c r="I5" s="17">
        <f>$B$15</f>
        <v>120.261235544735</v>
      </c>
      <c r="J5" s="12" t="n"/>
    </row>
    <row r="6" ht="30" customHeight="1">
      <c r="A6" s="18" t="str">
        <f>IF(OR(COUNT($E$52:$E$55)=0,$B$29&lt;=0),"Sem recomendação ainda: complete o custo-hora, as horas estimadas e a Config.",IF(MAX($J$52:$J$55)&lt;=-1E+9,"Nenhuma modalidade ficou com risco aceitável. Reveja horas, valores ou a chance de êxito; a maior margem em números seria "&amp;INDEX($A$52:$A$55,MATCH(MAX($E$52:$E$55),$E$52:$E$55,0))&amp;".","Regra: maior margem esperada entre as modalidades com risco aceitável. Fora por risco alto: "&amp;IF(COUNTIF($I$52:$I$55,"Alto")=0,"nenhuma",LEFT(IF($I$52="Alto","Fixo, ","")&amp;IF($I$53="Alto","Hora, ","")&amp;IF($I$54="Alto","Êxito, ","")&amp;IF($I$55="Alto","Misto, ",""),LEN(IF($I$52="Alto","Fixo, ","")&amp;IF($I$53="Alto","Hora, ","")&amp;IF($I$54="Alto","Êxito, ","")&amp;IF($I$55="Alto","Misto, ",""))-2))&amp;". Compare também a coluna 'Se o caso for perdido' antes de decidir."))</f>
        <v>Regra: maior margem esperada entre as modalidades com risco aceitável. Fora por risco alto: Êxito. Compare também a coluna 'Se o caso for perdido' antes de decidir.</v>
      </c>
    </row>
    <row r="7">
      <c r="A7" s="19" t="inlineStr">
        <is>
          <t>1. O caso</t>
        </is>
      </c>
    </row>
    <row r="8">
      <c r="A8" s="20" t="inlineStr">
        <is>
          <t>Cliente</t>
        </is>
      </c>
      <c r="B8" s="21" t="inlineStr">
        <is>
          <t>Roberto Almeida</t>
        </is>
      </c>
    </row>
    <row r="9">
      <c r="A9" s="20" t="inlineStr">
        <is>
          <t>Área</t>
        </is>
      </c>
      <c r="B9" s="21" t="inlineStr">
        <is>
          <t>Cível</t>
        </is>
      </c>
    </row>
    <row r="10">
      <c r="A10" s="20" t="inlineStr">
        <is>
          <t>O que será feito (resumo)</t>
        </is>
      </c>
      <c r="B10" s="21" t="inlineStr">
        <is>
          <t>Discussão de contrato de prestação de serviços</t>
        </is>
      </c>
    </row>
    <row r="11">
      <c r="A11" s="20" t="inlineStr">
        <is>
          <t>Custo-hora do escritório (R$)</t>
        </is>
      </c>
      <c r="B11" s="22" t="n">
        <v>66.0714</v>
      </c>
      <c r="C11" s="23" t="str">
        <f>"Copie da planilha 05 · Custo-hora (Painel, ""Custo-hora do escritório""). No exemplo, R$ "&amp;FIXED(B11,4)&amp;" (18.500 ÷ 280 h). A hora mínima do caso (abaixo) é MAIOR do que a hora mínima do escritório na 05 sempre que o caso tiver despesa que o escritório absorve: a da 05 cobre só a estrutura, a daqui cobre também essas despesas rateadas pelas horas do caso."</f>
        <v>Copie da planilha 05 · Custo-hora (Painel, "Custo-hora do escritório"). No exemplo, R$ 66,0714 (18.500 ÷ 280 h). A hora mínima do caso (abaixo) é MAIOR do que a hora mínima do escritório na 05 sempre que o caso tiver despesa que o escritório absorve: a da 05 cobre só a estrutura, a daqui cobre também essas despesas rateadas pelas horas do caso.</v>
      </c>
    </row>
    <row r="12">
      <c r="A12" s="20" t="inlineStr">
        <is>
          <t>Valor em discussão (R$)</t>
        </is>
      </c>
      <c r="B12" s="24" t="n">
        <v>60000</v>
      </c>
      <c r="C12" s="23" t="inlineStr">
        <is>
          <t>Quanto o cliente recebe, deixa de pagar ou economiza se o caso der certo. Base do cálculo de êxito.</t>
        </is>
      </c>
    </row>
    <row r="13">
      <c r="A13" s="20" t="inlineStr">
        <is>
          <t>Chance de êxito estimada (%)</t>
        </is>
      </c>
      <c r="B13" s="25" t="n">
        <v>0.55</v>
      </c>
      <c r="C13" s="23" t="inlineStr">
        <is>
          <t>Sua estimativa honesta. Ela define o valor esperado e o risco das modalidades com êxito.</t>
        </is>
      </c>
    </row>
    <row r="14">
      <c r="A14" s="20" t="inlineStr">
        <is>
          <t>Valor esperado da causa (R$)</t>
        </is>
      </c>
      <c r="B14" s="26">
        <f>B12*B13</f>
        <v>33000</v>
      </c>
      <c r="C14" s="23" t="inlineStr">
        <is>
          <t>Valor em discussão × chance. É o que se espera receber, em média.</t>
        </is>
      </c>
    </row>
    <row r="15">
      <c r="A15" s="20" t="inlineStr">
        <is>
          <t>Hora mínima para este caso (R$)</t>
        </is>
      </c>
      <c r="B15" s="27">
        <f>IF(NOT(ISNUMBER($B$11)),"Falta o custo-hora (B11)",IF((Config!$B$13&lt;&gt;"Sim"),"Margens inválidas (Config)",IFERROR(IF($B$29=0,B11/(1-Config!$B$7-Config!$B$8),($D$40/$B$29)/(1-Config!$B$7-Config!$B$8)),"")))</f>
        <v>120.261235544735</v>
      </c>
      <c r="C15" s="23" t="inlineStr">
        <is>
          <t>(custo das horas + despesas absorvidas) ÷ horas estimadas ÷ (1 − impostos − margem). Sem caso montado, cai no custo-hora do escritório.</t>
        </is>
      </c>
    </row>
    <row r="17">
      <c r="A17" s="19" t="inlineStr">
        <is>
          <t>2. Horas estimadas por etapa</t>
        </is>
      </c>
    </row>
    <row r="18" ht="26" customHeight="1">
      <c r="A18" s="28" t="inlineStr">
        <is>
          <t>Etapa</t>
        </is>
      </c>
      <c r="B18" s="28" t="inlineStr">
        <is>
          <t>Horas estimadas</t>
        </is>
      </c>
      <c r="C18" s="28" t="inlineStr">
        <is>
          <t>Custo (R$)</t>
        </is>
      </c>
    </row>
    <row r="19">
      <c r="A19" s="21" t="inlineStr">
        <is>
          <t>Reunião inicial e análise dos documentos</t>
        </is>
      </c>
      <c r="B19" s="29" t="n">
        <v>4</v>
      </c>
      <c r="C19" s="27">
        <f>IF(B19="","",IF(ISNUMBER($B$11),B19*$B$11,"falta o custo-hora"))</f>
        <v>264.2856</v>
      </c>
    </row>
    <row r="20">
      <c r="A20" s="21" t="inlineStr">
        <is>
          <t>Estudo do caso e estratégia</t>
        </is>
      </c>
      <c r="B20" s="29" t="n">
        <v>6</v>
      </c>
      <c r="C20" s="27">
        <f>IF(B20="","",IF(ISNUMBER($B$11),B20*$B$11,"falta o custo-hora"))</f>
        <v>396.4284</v>
      </c>
    </row>
    <row r="21">
      <c r="A21" s="21" t="inlineStr">
        <is>
          <t>Redação e protocolo inicial</t>
        </is>
      </c>
      <c r="B21" s="29" t="n">
        <v>12</v>
      </c>
      <c r="C21" s="27">
        <f>IF(B21="","",IF(ISNUMBER($B$11),B21*$B$11,"falta o custo-hora"))</f>
        <v>792.8568</v>
      </c>
    </row>
    <row r="22">
      <c r="A22" s="21" t="inlineStr">
        <is>
          <t>Acompanhamento e manifestações</t>
        </is>
      </c>
      <c r="B22" s="29" t="n">
        <v>20</v>
      </c>
      <c r="C22" s="27">
        <f>IF(B22="","",IF(ISNUMBER($B$11),B22*$B$11,"falta o custo-hora"))</f>
        <v>1321.428</v>
      </c>
    </row>
    <row r="23">
      <c r="A23" s="21" t="inlineStr">
        <is>
          <t>Audiências e reuniões</t>
        </is>
      </c>
      <c r="B23" s="29" t="n">
        <v>8</v>
      </c>
      <c r="C23" s="27">
        <f>IF(B23="","",IF(ISNUMBER($B$11),B23*$B$11,"falta o custo-hora"))</f>
        <v>528.5712</v>
      </c>
    </row>
    <row r="24">
      <c r="A24" s="21" t="inlineStr">
        <is>
          <t>Encerramento e prestação de contas</t>
        </is>
      </c>
      <c r="B24" s="29" t="n">
        <v>3</v>
      </c>
      <c r="C24" s="27">
        <f>IF(B24="","",IF(ISNUMBER($B$11),B24*$B$11,"falta o custo-hora"))</f>
        <v>198.2142</v>
      </c>
    </row>
    <row r="25">
      <c r="A25" s="21" t="n"/>
      <c r="B25" s="29" t="n"/>
      <c r="C25" s="27">
        <f>IF(B25="","",IF(ISNUMBER($B$11),B25*$B$11,"falta o custo-hora"))</f>
        <v/>
      </c>
    </row>
    <row r="26">
      <c r="A26" s="21" t="n"/>
      <c r="B26" s="29" t="n"/>
      <c r="C26" s="27">
        <f>IF(B26="","",IF(ISNUMBER($B$11),B26*$B$11,"falta o custo-hora"))</f>
        <v/>
      </c>
    </row>
    <row r="27">
      <c r="A27" s="21" t="n"/>
      <c r="B27" s="29" t="n"/>
      <c r="C27" s="27">
        <f>IF(B27="","",IF(ISNUMBER($B$11),B27*$B$11,"falta o custo-hora"))</f>
        <v/>
      </c>
    </row>
    <row r="28">
      <c r="A28" s="21" t="n"/>
      <c r="B28" s="29" t="n"/>
      <c r="C28" s="27">
        <f>IF(B28="","",IF(ISNUMBER($B$11),B28*$B$11,"falta o custo-hora"))</f>
        <v/>
      </c>
    </row>
    <row r="29">
      <c r="A29" s="30" t="inlineStr">
        <is>
          <t>Total de horas e custo das horas</t>
        </is>
      </c>
      <c r="B29" s="31">
        <f>SUM(B19:B28)</f>
        <v>53</v>
      </c>
      <c r="C29" s="32">
        <f>IF(ISNUMBER($B$11),SUM(C19:C28),"falta o custo-hora")</f>
        <v>3501.7842</v>
      </c>
    </row>
    <row r="31">
      <c r="A31" s="19" t="inlineStr">
        <is>
          <t>3. Despesas do caso</t>
        </is>
      </c>
    </row>
    <row r="32" ht="26" customHeight="1">
      <c r="A32" s="28" t="inlineStr">
        <is>
          <t>Despesa</t>
        </is>
      </c>
      <c r="B32" s="28" t="inlineStr">
        <is>
          <t>Valor (R$)</t>
        </is>
      </c>
      <c r="C32" s="28" t="inlineStr">
        <is>
          <t>Cliente reembolsa?</t>
        </is>
      </c>
      <c r="D32" s="28" t="inlineStr">
        <is>
          <t>Custo para o escritório (R$)</t>
        </is>
      </c>
    </row>
    <row r="33">
      <c r="A33" s="21" t="inlineStr">
        <is>
          <t>Taxas e custas</t>
        </is>
      </c>
      <c r="B33" s="22" t="n">
        <v>800</v>
      </c>
      <c r="C33" s="33" t="inlineStr">
        <is>
          <t>Sim</t>
        </is>
      </c>
      <c r="D33" s="27">
        <f>IF(B33="","",IF(C33="Sim",0,B33))</f>
        <v>0</v>
      </c>
    </row>
    <row r="34">
      <c r="A34" s="21" t="inlineStr">
        <is>
          <t>Deslocamentos</t>
        </is>
      </c>
      <c r="B34" s="22" t="n">
        <v>300</v>
      </c>
      <c r="C34" s="33" t="inlineStr">
        <is>
          <t>Não</t>
        </is>
      </c>
      <c r="D34" s="27">
        <f>IF(B34="","",IF(C34="Sim",0,B34))</f>
        <v>300</v>
      </c>
    </row>
    <row r="35">
      <c r="A35" s="21" t="inlineStr">
        <is>
          <t>Cópias e certidões</t>
        </is>
      </c>
      <c r="B35" s="22" t="n">
        <v>150</v>
      </c>
      <c r="C35" s="33" t="inlineStr">
        <is>
          <t>Não</t>
        </is>
      </c>
      <c r="D35" s="27">
        <f>IF(B35="","",IF(C35="Sim",0,B35))</f>
        <v>150</v>
      </c>
    </row>
    <row r="36">
      <c r="A36" s="21" t="inlineStr">
        <is>
          <t>Terceiros (perito, tradutor)</t>
        </is>
      </c>
      <c r="B36" s="22" t="n">
        <v>0</v>
      </c>
      <c r="C36" s="33" t="inlineStr">
        <is>
          <t>Sim</t>
        </is>
      </c>
      <c r="D36" s="27">
        <f>IF(B36="","",IF(C36="Sim",0,B36))</f>
        <v>0</v>
      </c>
    </row>
    <row r="37">
      <c r="A37" s="21" t="n"/>
      <c r="B37" s="22" t="n"/>
      <c r="C37" s="33" t="n"/>
      <c r="D37" s="27">
        <f>IF(B37="","",IF(C37="Sim",0,B37))</f>
        <v/>
      </c>
    </row>
    <row r="38">
      <c r="A38" s="21" t="n"/>
      <c r="B38" s="22" t="n"/>
      <c r="C38" s="33" t="n"/>
      <c r="D38" s="27">
        <f>IF(B38="","",IF(C38="Sim",0,B38))</f>
        <v/>
      </c>
    </row>
    <row r="39">
      <c r="A39" s="30" t="inlineStr">
        <is>
          <t>Total de despesas · custo para o escritório</t>
        </is>
      </c>
      <c r="B39" s="27">
        <f>SUM(B33:B38)</f>
        <v>1250</v>
      </c>
      <c r="D39" s="32">
        <f>SUM(D33:D38)</f>
        <v>450</v>
      </c>
    </row>
    <row r="40">
      <c r="A40" s="30" t="inlineStr">
        <is>
          <t>Custo total do caso (horas + despesas que o escritório absorve)</t>
        </is>
      </c>
      <c r="D40" s="32">
        <f>IF(ISNUMBER($B$11),$C$29+$D$39,"Falta o custo-hora (B11)")</f>
        <v>3951.7842</v>
      </c>
    </row>
    <row r="42">
      <c r="A42" s="19" t="inlineStr">
        <is>
          <t>4. O que você pretende cobrar em cada modalidade</t>
        </is>
      </c>
    </row>
    <row r="43" ht="26" customHeight="1">
      <c r="A43" s="28" t="inlineStr">
        <is>
          <t>Modalidade</t>
        </is>
      </c>
      <c r="B43" s="28" t="inlineStr">
        <is>
          <t>Valor</t>
        </is>
      </c>
      <c r="C43" s="28" t="inlineStr">
        <is>
          <t>Como funciona</t>
        </is>
      </c>
    </row>
    <row r="44">
      <c r="A44" s="34" t="inlineStr">
        <is>
          <t>Fixo · valor fechado (R$)</t>
        </is>
      </c>
      <c r="B44" s="24" t="n">
        <v>7000</v>
      </c>
      <c r="C44" s="35" t="inlineStr">
        <is>
          <t>Um valor pelo caso inteiro, independente das horas. Risco: o caso consumir mais horas que o estimado.</t>
        </is>
      </c>
      <c r="D44" s="36" t="n"/>
      <c r="E44" s="36" t="n"/>
      <c r="F44" s="36" t="n"/>
      <c r="G44" s="36" t="n"/>
      <c r="H44" s="37" t="n"/>
    </row>
    <row r="45">
      <c r="A45" s="34" t="inlineStr">
        <is>
          <t>Hora · valor da hora cobrada (R$)</t>
        </is>
      </c>
      <c r="B45" s="22" t="n">
        <v>180</v>
      </c>
      <c r="C45" s="35" t="inlineStr">
        <is>
          <t>Cobra as horas trabalhadas: o escritório não absorve hora a mais, mas o cliente pode questionar as horas. Se a hora cobre a hora mínima do caso ou não, quem diz é a coluna Risco ao lado.</t>
        </is>
      </c>
      <c r="D45" s="36" t="n"/>
      <c r="E45" s="36" t="n"/>
      <c r="F45" s="36" t="n"/>
      <c r="G45" s="36" t="n"/>
      <c r="H45" s="37" t="n"/>
    </row>
    <row r="46">
      <c r="A46" s="34" t="inlineStr">
        <is>
          <t>Êxito · % sobre o resultado</t>
        </is>
      </c>
      <c r="B46" s="25" t="n">
        <v>0.25</v>
      </c>
      <c r="C46" s="35" t="inlineStr">
        <is>
          <t>Só recebe se o caso der certo, no fim. Risco: trabalhar e não receber.</t>
        </is>
      </c>
      <c r="D46" s="36" t="n"/>
      <c r="E46" s="36" t="n"/>
      <c r="F46" s="36" t="n"/>
      <c r="G46" s="36" t="n"/>
      <c r="H46" s="37" t="n"/>
    </row>
    <row r="47">
      <c r="A47" s="34" t="inlineStr">
        <is>
          <t>Misto · entrada fixa (R$)</t>
        </is>
      </c>
      <c r="B47" s="24" t="n">
        <v>4500</v>
      </c>
      <c r="C47" s="35" t="inlineStr">
        <is>
          <t>Uma parte fixa no início (cobre o custo) mais um percentual sobre o resultado.</t>
        </is>
      </c>
      <c r="D47" s="36" t="n"/>
      <c r="E47" s="36" t="n"/>
      <c r="F47" s="36" t="n"/>
      <c r="G47" s="36" t="n"/>
      <c r="H47" s="37" t="n"/>
    </row>
    <row r="48">
      <c r="A48" s="34" t="inlineStr">
        <is>
          <t>Misto · % sobre o resultado</t>
        </is>
      </c>
      <c r="B48" s="25" t="n">
        <v>0.15</v>
      </c>
      <c r="C48" s="35" t="inlineStr"/>
      <c r="D48" s="36" t="n"/>
      <c r="E48" s="36" t="n"/>
      <c r="F48" s="36" t="n"/>
      <c r="G48" s="36" t="n"/>
      <c r="H48" s="37" t="n"/>
    </row>
    <row r="50">
      <c r="A50" s="19" t="inlineStr">
        <is>
          <t>5. Comparação das modalidades</t>
        </is>
      </c>
    </row>
    <row r="51" ht="40" customHeight="1">
      <c r="A51" s="28" t="inlineStr">
        <is>
          <t>Modalidade</t>
        </is>
      </c>
      <c r="B51" s="28" t="inlineStr">
        <is>
          <t>Receita esperada (R$)</t>
        </is>
      </c>
      <c r="C51" s="28" t="inlineStr">
        <is>
          <t>Impostos e taxas (R$)</t>
        </is>
      </c>
      <c r="D51" s="28" t="inlineStr">
        <is>
          <t>Custo do caso (R$)</t>
        </is>
      </c>
      <c r="E51" s="28" t="inlineStr">
        <is>
          <t>Margem esperada (R$)</t>
        </is>
      </c>
      <c r="F51" s="28" t="inlineStr">
        <is>
          <t>Margem (%)</t>
        </is>
      </c>
      <c r="G51" s="28" t="inlineStr">
        <is>
          <t>Se o caso for perdido (R$)</t>
        </is>
      </c>
      <c r="H51" s="28" t="inlineStr">
        <is>
          <t>Ponto de equilíbrio</t>
        </is>
      </c>
      <c r="I51" s="28" t="inlineStr">
        <is>
          <t>Risco</t>
        </is>
      </c>
      <c r="J51" s="28" t="inlineStr">
        <is>
          <t>Pontuação</t>
        </is>
      </c>
      <c r="K51" s="28" t="inlineStr">
        <is>
          <t>Por que este risco</t>
        </is>
      </c>
    </row>
    <row r="52" ht="42" customHeight="1">
      <c r="A52" s="30" t="inlineStr">
        <is>
          <t>Fixo</t>
        </is>
      </c>
      <c r="B52" s="27">
        <f>$B$44</f>
        <v>7000</v>
      </c>
      <c r="C52" s="27">
        <f>IF((Config!$B$13&lt;&gt;"Sim"),"",B52*Config!$B$7)</f>
        <v>560</v>
      </c>
      <c r="D52" s="27">
        <f>$D$40</f>
        <v>3951.7842</v>
      </c>
      <c r="E52" s="27">
        <f>IF(AND(ISNUMBER(C52),ISNUMBER(D52)),B52-C52-D52,"")</f>
        <v>2488.2158</v>
      </c>
      <c r="F52" s="38">
        <f>IF(OR(B52=0,NOT(ISNUMBER(E52))),"",E52/B52)</f>
        <v>0.3554594</v>
      </c>
      <c r="G52" s="27">
        <f>IF(AND(ISNUMBER($D$40),NOT((Config!$B$13&lt;&gt;"Sim"))),E52,"")</f>
        <v>2488.2158</v>
      </c>
      <c r="H52" s="39" t="str">
        <f>IF(NOT(ISNUMBER($D$40)),"Falta o custo-hora (B11)",IF((Config!$B$13&lt;&gt;"Sim"),"Margens inválidas (Config)",IFERROR("Até "&amp;ROUND(($B$44*(1-Config!$B$7)-$D$39)/$B$11,0)&amp;" horas sem prejuízo (estimadas: "&amp;ROUND($B$29,0)&amp;")","Preencha horas e valores")))</f>
        <v>Até 91 horas sem prejuízo (estimadas: 53)</v>
      </c>
      <c r="I52" s="40" t="str">
        <f>IF(NOT(ISNUMBER($D$40)),"Falta o custo-hora",IF((Config!$B$13&lt;&gt;"Sim"),"Margens inválidas",IF($B$29&lt;=0,"Faltam as horas estimadas",IFERROR(IF($B$29=0,"Alto",IF(($B$44*(1-Config!$B$7)-$D$39)/$B$11/$B$29-1&gt;=Config!$B$11,"Baixo",IF(($B$44*(1-Config!$B$7)-$D$39)/$B$11&gt;=$B$29,"Médio","Alto"))),"Alto"))))</f>
        <v>Baixo</v>
      </c>
      <c r="J52" s="41">
        <f>IF(OR(I52="Baixo",AND(I52="Médio",Config!$B$12="Sim")),E52,-1E+9)</f>
        <v>2488.2158</v>
      </c>
      <c r="K52" s="42" t="str">
        <f>IF(NOT(ISNUMBER($D$40)),"Preencha o custo-hora do escritório (B11): sem ele não há custo do caso, margem nem risco.",IF((Config!$B$13&lt;&gt;"Sim"),"Impostos e margem em Config fora do permitido (cada um de 0 % a 99 %, soma abaixo de 100 %). Corrija a Config.",IF($B$29&lt;=0,"Preencha as horas estimadas no bloco 2: sem elas não há custo do caso por hora, nem margem, nem ponto de equilíbrio.",IFERROR("Folga de horas: "&amp;ROUND((($B$44*(1-Config!$B$7)-$D$39)/$B$11/$B$29-1)*100,0)&amp;"% (mínimo para risco baixo: "&amp;ROUND(Config!$B$11*100,0)&amp;"%)",""))))</f>
        <v>Folga de horas: 71% (mínimo para risco baixo: 20%)</v>
      </c>
    </row>
    <row r="53" ht="42" customHeight="1">
      <c r="A53" s="30" t="inlineStr">
        <is>
          <t>Hora</t>
        </is>
      </c>
      <c r="B53" s="27">
        <f>$B$45*$B$29</f>
        <v>9540</v>
      </c>
      <c r="C53" s="27">
        <f>IF((Config!$B$13&lt;&gt;"Sim"),"",B53*Config!$B$7)</f>
        <v>763.2</v>
      </c>
      <c r="D53" s="27">
        <f>$D$40</f>
        <v>3951.7842</v>
      </c>
      <c r="E53" s="27">
        <f>IF(AND(ISNUMBER(C53),ISNUMBER(D53)),B53-C53-D53,"")</f>
        <v>4825.0158</v>
      </c>
      <c r="F53" s="38">
        <f>IF(OR(B53=0,NOT(ISNUMBER(E53))),"",E53/B53)</f>
        <v>0.505766855345912</v>
      </c>
      <c r="G53" s="27">
        <f>IF(AND(ISNUMBER($D$40),NOT((Config!$B$13&lt;&gt;"Sim"))),E53,"")</f>
        <v>4825.0158</v>
      </c>
      <c r="H53" s="39" t="str">
        <f>IF(NOT(ISNUMBER($D$40)),"Falta o custo-hora (B11)",IF((Config!$B$13&lt;&gt;"Sim"),"Margens inválidas (Config)",IFERROR("Hora mínima sem prejuízo: R$ "&amp;FIXED($D$40/($B$29*(1-Config!$B$7)),2)&amp;" (você cobra R$ "&amp;FIXED($B$45,2)&amp;")","Preencha horas e valores")))</f>
        <v>Hora mínima sem prejuízo: R$ 81,05 (você cobra R$ 180,00)</v>
      </c>
      <c r="I53" s="40" t="str">
        <f>IF(NOT(ISNUMBER($D$40)),"Falta o custo-hora",IF((Config!$B$13&lt;&gt;"Sim"),"Margens inválidas",IF($B$29&lt;=0,"Faltam as horas estimadas",IFERROR(IF($B$45&gt;=$B$15,"Baixo",IF($B$45*$B$29*(1-Config!$B$7)&gt;=$D$40,"Médio","Alto")),"Alto"))))</f>
        <v>Baixo</v>
      </c>
      <c r="J53" s="41">
        <f>IF(OR(I53="Baixo",AND(I53="Médio",Config!$B$12="Sim")),E53,-1E+9)</f>
        <v>4825.0158</v>
      </c>
      <c r="K53" s="42" t="str">
        <f>IF(NOT(ISNUMBER($D$40)),"Preencha o custo-hora do escritório (B11): sem ele não há custo do caso, margem nem risco.",IF((Config!$B$13&lt;&gt;"Sim"),"Impostos e margem em Config fora do permitido (cada um de 0 % a 99 %, soma abaixo de 100 %). Corrija a Config.",IF($B$29&lt;=0,"Preencha as horas estimadas no bloco 2: sem elas não há custo do caso por hora, nem margem, nem ponto de equilíbrio.",IFERROR(IF($B$45&gt;=$B$15,"A hora cobrada cobre custo, impostos e margem desejada","A hora cobrada fica abaixo da hora mínima com margem (R$ "&amp;FIXED($B$15,2)&amp;")"),""))))</f>
        <v>A hora cobrada cobre custo, impostos e margem desejada</v>
      </c>
    </row>
    <row r="54" ht="42" customHeight="1">
      <c r="A54" s="30" t="inlineStr">
        <is>
          <t>Êxito</t>
        </is>
      </c>
      <c r="B54" s="27">
        <f>$B$46*$B$14</f>
        <v>8250</v>
      </c>
      <c r="C54" s="27">
        <f>IF((Config!$B$13&lt;&gt;"Sim"),"",B54*Config!$B$7)</f>
        <v>660</v>
      </c>
      <c r="D54" s="27">
        <f>$D$40</f>
        <v>3951.7842</v>
      </c>
      <c r="E54" s="27">
        <f>IF(AND(ISNUMBER(C54),ISNUMBER(D54)),B54-C54-D54,"")</f>
        <v>3638.2158</v>
      </c>
      <c r="F54" s="38">
        <f>IF(OR(B54=0,NOT(ISNUMBER(E54))),"",E54/B54)</f>
        <v>0.440995854545455</v>
      </c>
      <c r="G54" s="27">
        <f>IF(AND(ISNUMBER($D$40),NOT((Config!$B$13&lt;&gt;"Sim"))),-$D$40,"")</f>
        <v>-3951.7842</v>
      </c>
      <c r="H54" s="39" t="str">
        <f>IF(NOT(ISNUMBER($D$40)),"Falta o custo-hora (B11)",IF((Config!$B$13&lt;&gt;"Sim"),"Margens inválidas (Config)",IFERROR("Chance mínima de êxito para não ter prejuízo: "&amp;ROUND($D$40/($B$46*$B$12*(1-Config!$B$7))*100,0)&amp;"% (estimada: "&amp;ROUND($B$13*100,0)&amp;"%)","Preencha horas e valores")))</f>
        <v>Chance mínima de êxito para não ter prejuízo: 29% (estimada: 55%)</v>
      </c>
      <c r="I54" s="40" t="str">
        <f>IF(NOT(ISNUMBER($D$40)),"Falta o custo-hora",IF((Config!$B$13&lt;&gt;"Sim"),"Margens inválidas",IF($B$29&lt;=0,"Faltam as horas estimadas",IFERROR(IF(OR($B$13&lt;Config!$B$9,$B$13&lt;$D$40/($B$46*$B$12*(1-Config!$B$7))+Config!$B$10),"Alto","Médio"),"Alto"))))</f>
        <v>Alto</v>
      </c>
      <c r="J54" s="41">
        <f>IF(OR(I54="Baixo",AND(I54="Médio",Config!$B$12="Sim")),E54,-1E+9)</f>
        <v>-1000000000</v>
      </c>
      <c r="K54" s="42" t="str">
        <f>IF(NOT(ISNUMBER($D$40)),"Preencha o custo-hora do escritório (B11): sem ele não há custo do caso, margem nem risco.",IF((Config!$B$13&lt;&gt;"Sim"),"Impostos e margem em Config fora do permitido (cada um de 0 % a 99 %, soma abaixo de 100 %). Corrija a Config.",IF($B$29&lt;=0,"Preencha as horas estimadas no bloco 2: sem elas não há custo do caso por hora, nem margem, nem ponto de equilíbrio.",IFERROR(IF($B$13&lt;Config!$B$9,"Chance estimada abaixo do mínimo aceitável para êxito puro ("&amp;ROUND(Config!$B$9*100,0)&amp;"%)",IF($B$13&lt;$D$40/($B$46*$B$12*(1-Config!$B$7))+Config!$B$10,"Chance estimada perto demais do ponto de equilíbrio","Só recebe no fim; o caixa precisa aguentar até lá")),""))))</f>
        <v>Chance estimada abaixo do mínimo aceitável para êxito puro (60%)</v>
      </c>
    </row>
    <row r="55" ht="42" customHeight="1">
      <c r="A55" s="30" t="inlineStr">
        <is>
          <t>Misto</t>
        </is>
      </c>
      <c r="B55" s="27">
        <f>$B$47+$B$48*$B$14</f>
        <v>9450</v>
      </c>
      <c r="C55" s="27">
        <f>IF((Config!$B$13&lt;&gt;"Sim"),"",B55*Config!$B$7)</f>
        <v>756</v>
      </c>
      <c r="D55" s="27">
        <f>$D$40</f>
        <v>3951.7842</v>
      </c>
      <c r="E55" s="27">
        <f>IF(AND(ISNUMBER(C55),ISNUMBER(D55)),B55-C55-D55,"")</f>
        <v>4742.2158</v>
      </c>
      <c r="F55" s="38">
        <f>IF(OR(B55=0,NOT(ISNUMBER(E55))),"",E55/B55)</f>
        <v>0.501821777777778</v>
      </c>
      <c r="G55" s="27">
        <f>IF(AND(ISNUMBER($D$40),NOT((Config!$B$13&lt;&gt;"Sim"))),$B$47*(1-Config!$B$7)-$D$40,"")</f>
        <v>188.2158</v>
      </c>
      <c r="H55" s="39" t="str">
        <f>IF(NOT(ISNUMBER($D$40)),"Falta o custo-hora (B11)",IF((Config!$B$13&lt;&gt;"Sim"),"Margens inválidas (Config)",IFERROR(IF($B$47*(1-Config!$B$7)&gt;=$D$40,"A entrada já cobre o custo do caso; o êxito é margem","Chance mínima de êxito para não ter prejuízo: "&amp;ROUND(($D$40-$B$47*(1-Config!$B$7))/($B$48*$B$12*(1-Config!$B$7))*100,0)&amp;"% (estimada: "&amp;ROUND($B$13*100,0)&amp;"%)"),"Preencha horas e valores")))</f>
        <v>A entrada já cobre o custo do caso; o êxito é margem</v>
      </c>
      <c r="I55" s="40" t="str">
        <f>IF(NOT(ISNUMBER($D$40)),"Falta o custo-hora",IF((Config!$B$13&lt;&gt;"Sim"),"Margens inválidas",IF($B$29&lt;=0,"Faltam as horas estimadas",IFERROR(IF($B$13&lt;MAX(0,($D$40-$B$47*(1-Config!$B$7))/($B$48*$B$12*(1-Config!$B$7)))+Config!$B$10,"Alto",IF($B$47*(1-Config!$B$7)&lt;$D$40,"Médio","Baixo")),"Alto"))))</f>
        <v>Baixo</v>
      </c>
      <c r="J55" s="41">
        <f>IF(OR(I55="Baixo",AND(I55="Médio",Config!$B$12="Sim")),E55,-1E+9)</f>
        <v>4742.2158</v>
      </c>
      <c r="K55" s="42" t="str">
        <f>IF(NOT(ISNUMBER($D$40)),"Preencha o custo-hora do escritório (B11): sem ele não há custo do caso, margem nem risco.",IF((Config!$B$13&lt;&gt;"Sim"),"Impostos e margem em Config fora do permitido (cada um de 0 % a 99 %, soma abaixo de 100 %). Corrija a Config.",IF($B$29&lt;=0,"Preencha as horas estimadas no bloco 2: sem elas não há custo do caso por hora, nem margem, nem ponto de equilíbrio.",IFERROR(IF($B$47*(1-Config!$B$7)&gt;=$D$40,"Entrada cobre o custo: mesmo perdendo, não há prejuízo",IF($B$47*(1-Config!$B$7)&lt;$D$40,"Entrada não cobre todo o custo; parte depende do êxito","")),""))))</f>
        <v>Entrada cobre o custo: mesmo perdendo, não há prejuízo</v>
      </c>
    </row>
    <row r="56">
      <c r="A56" s="23" t="inlineStr">
        <is>
          <t>Pontuação: coluna auxiliar da recomendação (margem esperada; modalidade com risco recusado vale −1 bilhão). Receita esperada de êxito e misto = percentual × valor esperado da causa.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8">
    <mergeCell ref="A4:B4"/>
    <mergeCell ref="G4:H4"/>
    <mergeCell ref="C46:H46"/>
    <mergeCell ref="C47:H47"/>
    <mergeCell ref="E4:F4"/>
    <mergeCell ref="I4:J4"/>
    <mergeCell ref="A6:K6"/>
    <mergeCell ref="C44:H44"/>
    <mergeCell ref="C5:D5"/>
    <mergeCell ref="C45:H45"/>
    <mergeCell ref="A2:K2"/>
    <mergeCell ref="A5:B5"/>
    <mergeCell ref="E5:F5"/>
    <mergeCell ref="G5:H5"/>
    <mergeCell ref="I5:J5"/>
    <mergeCell ref="C48:H48"/>
    <mergeCell ref="A1:K1"/>
    <mergeCell ref="C4:D4"/>
  </mergeCells>
  <conditionalFormatting sqref="I52:I55">
    <cfRule type="expression" priority="1" dxfId="0">
      <formula>OR(I52="Alto",I52="Falta o custo-hora",I52="Margens inválidas")</formula>
    </cfRule>
    <cfRule type="expression" priority="2" dxfId="1">
      <formula>I52="Médio"</formula>
    </cfRule>
    <cfRule type="expression" priority="3" dxfId="2">
      <formula>I52="Baixo"</formula>
    </cfRule>
  </conditionalFormatting>
  <conditionalFormatting sqref="E52:G55">
    <cfRule type="expression" priority="4" dxfId="3">
      <formula>AND(ISNUMBER(E52),E52&lt;0)</formula>
    </cfRule>
  </conditionalFormatting>
  <conditionalFormatting sqref="A52:A55">
    <cfRule type="expression" priority="5" dxfId="4">
      <formula>$A52=$A$5</formula>
    </cfRule>
  </conditionalFormatting>
  <dataValidations count="2">
    <dataValidation sqref="B9" showDropDown="0" showInputMessage="0" showErrorMessage="1" allowBlank="1" type="list">
      <formula1>=OFFSET(Config!$E$5,0,0,MAX(1,COUNTA(Config!$E$5:$E$30)),1)</formula1>
    </dataValidation>
    <dataValidation sqref="C33:C38" showDropDown="0" showInputMessage="0" showErrorMessage="1" allowBlank="1" type="list">
      <formula1>"Sim,Não"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80" customWidth="1" min="3" max="3"/>
    <col width="3" customWidth="1" min="4" max="4"/>
    <col width="22" customWidth="1" min="5" max="5"/>
    <col width="3" customWidth="1" min="6" max="6"/>
    <col width="14" customWidth="1" min="7" max="7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Impostos, margem e as regras de risco valem para todos os casos simulados.</t>
        </is>
      </c>
    </row>
    <row r="3">
      <c r="E3" s="23" t="inlineStr">
        <is>
          <t>Preencha de cima para baixo, sem pular linha.</t>
        </is>
      </c>
    </row>
    <row r="4">
      <c r="A4" s="20" t="inlineStr">
        <is>
          <t>Nome do escritório</t>
        </is>
      </c>
      <c r="B4" s="21" t="inlineStr">
        <is>
          <t>Ferraz &amp; Lima Advocacia (exemplo fictício)</t>
        </is>
      </c>
      <c r="E4" s="20" t="inlineStr">
        <is>
          <t>Áreas</t>
        </is>
      </c>
      <c r="G4" s="20" t="inlineStr">
        <is>
          <t>Modalidades</t>
        </is>
      </c>
    </row>
    <row r="5">
      <c r="A5" s="20" t="inlineStr">
        <is>
          <t>Mês de referência</t>
        </is>
      </c>
      <c r="B5" s="21" t="inlineStr">
        <is>
          <t>Setembro de 2026</t>
        </is>
      </c>
      <c r="E5" s="21" t="inlineStr">
        <is>
          <t>Cível</t>
        </is>
      </c>
      <c r="G5" s="43" t="inlineStr">
        <is>
          <t>Fixo</t>
        </is>
      </c>
    </row>
    <row r="6">
      <c r="A6" s="20" t="inlineStr">
        <is>
          <t>Data de referência</t>
        </is>
      </c>
      <c r="B6" s="44" t="n">
        <v>46279</v>
      </c>
      <c r="E6" s="21" t="inlineStr">
        <is>
          <t>Trabalhista</t>
        </is>
      </c>
      <c r="G6" s="43" t="inlineStr">
        <is>
          <t>Hora</t>
        </is>
      </c>
    </row>
    <row r="7">
      <c r="A7" s="20" t="inlineStr">
        <is>
          <t>Impostos e taxas sobre o que entra (%)</t>
        </is>
      </c>
      <c r="B7" s="25" t="n">
        <v>0.08</v>
      </c>
      <c r="C7" s="23" t="inlineStr">
        <is>
          <t>Exemplo; confira com o contador. O mesmo percentual da planilha 05.</t>
        </is>
      </c>
      <c r="E7" s="21" t="inlineStr">
        <is>
          <t>Previdenciário</t>
        </is>
      </c>
      <c r="G7" s="43" t="inlineStr">
        <is>
          <t>Êxito</t>
        </is>
      </c>
    </row>
    <row r="8">
      <c r="A8" s="20" t="inlineStr">
        <is>
          <t>Margem desejada sobre o preço (%)</t>
        </is>
      </c>
      <c r="B8" s="25" t="n">
        <v>0.3</v>
      </c>
      <c r="C8" s="23" t="inlineStr">
        <is>
          <t>Quanto do preço deve sobrar depois do custo. Igual à planilha 05.</t>
        </is>
      </c>
      <c r="E8" s="21" t="inlineStr">
        <is>
          <t>Empresarial</t>
        </is>
      </c>
      <c r="G8" s="43" t="inlineStr">
        <is>
          <t>Misto</t>
        </is>
      </c>
    </row>
    <row r="9">
      <c r="A9" s="20" t="inlineStr">
        <is>
          <t>Chance de êxito mínima para aceitar êxito puro (%)</t>
        </is>
      </c>
      <c r="B9" s="25" t="n">
        <v>0.6</v>
      </c>
      <c r="C9" s="23" t="inlineStr">
        <is>
          <t>Abaixo disso, êxito puro é marcado como risco alto: o escritório trabalha meses e pode não receber.</t>
        </is>
      </c>
      <c r="E9" s="21" t="inlineStr">
        <is>
          <t>Família</t>
        </is>
      </c>
    </row>
    <row r="10">
      <c r="A10" s="20" t="inlineStr">
        <is>
          <t>Folga mínima de chance acima do ponto de equilíbrio (pontos)</t>
        </is>
      </c>
      <c r="B10" s="25" t="n">
        <v>0.15</v>
      </c>
      <c r="C10" s="23" t="inlineStr">
        <is>
          <t>Se a chance estimada está a menos de 15 pontos da chance mínima para não ter prejuízo, o risco é alto.</t>
        </is>
      </c>
      <c r="E10" s="21" t="n"/>
    </row>
    <row r="11">
      <c r="A11" s="20" t="inlineStr">
        <is>
          <t>Folga mínima de horas no valor fixo (%)</t>
        </is>
      </c>
      <c r="B11" s="25" t="n">
        <v>0.2</v>
      </c>
      <c r="C11" s="23" t="inlineStr">
        <is>
          <t>No fixo, o risco é o caso consumir mais horas que o estimado. Com 20% de folga ou mais, risco baixo.</t>
        </is>
      </c>
      <c r="E11" s="21" t="n"/>
    </row>
    <row r="12">
      <c r="A12" s="20" t="inlineStr">
        <is>
          <t>Aceitar risco médio na recomendação?</t>
        </is>
      </c>
      <c r="B12" s="33" t="inlineStr">
        <is>
          <t>Sim</t>
        </is>
      </c>
      <c r="C12" s="23" t="inlineStr">
        <is>
          <t>"Não" faz a recomendação escolher só entre modalidades de risco baixo.</t>
        </is>
      </c>
      <c r="E12" s="21" t="n"/>
    </row>
    <row r="13">
      <c r="A13" s="20" t="inlineStr">
        <is>
          <t>Impostos e margem conferem? (calculado)</t>
        </is>
      </c>
      <c r="B13" s="40" t="str">
        <f>IF(AND(ISNUMBER(B7),ISNUMBER(B8)),IF(AND(B7&gt;=0,B7&lt;1,B8&gt;=0,B8&lt;1,B7+B8&lt;1),"Sim","Não"),"Não")</f>
        <v>Sim</v>
      </c>
      <c r="C13" s="23" t="inlineStr">
        <is>
          <t>"Não" suspende hora mínima, margens, risco e recomendação no Simulador até a Config ser corrigida.</t>
        </is>
      </c>
      <c r="E13" s="21" t="n"/>
    </row>
    <row r="14">
      <c r="E14" s="21" t="n"/>
    </row>
    <row r="15">
      <c r="E15" s="21" t="n"/>
    </row>
    <row r="16">
      <c r="E16" s="21" t="n"/>
    </row>
    <row r="17">
      <c r="E17" s="21" t="n"/>
    </row>
    <row r="18">
      <c r="E18" s="21" t="n"/>
    </row>
    <row r="19">
      <c r="E19" s="21" t="n"/>
    </row>
    <row r="20">
      <c r="E20" s="21" t="n"/>
    </row>
    <row r="21">
      <c r="E21" s="21" t="n"/>
    </row>
    <row r="22">
      <c r="E22" s="21" t="n"/>
    </row>
    <row r="23">
      <c r="E23" s="21" t="n"/>
    </row>
    <row r="24">
      <c r="E24" s="21" t="n"/>
    </row>
    <row r="25">
      <c r="E25" s="21" t="n"/>
    </row>
    <row r="26">
      <c r="E26" s="21" t="n"/>
    </row>
    <row r="27">
      <c r="E27" s="21" t="n"/>
    </row>
    <row r="28">
      <c r="E28" s="21" t="n"/>
    </row>
    <row r="29">
      <c r="E29" s="21" t="n"/>
    </row>
    <row r="30">
      <c r="E30" s="2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H2"/>
    <mergeCell ref="A1:H1"/>
  </mergeCells>
  <dataValidations count="6">
    <dataValidation sqref="B7" showDropDown="0" showInputMessage="0" showErrorMessage="1" allowBlank="0" errorTitle="Percentual" error="Impostos entre 0 % e 99 %, e impostos + margem abaixo de 100 %: senão nenhum preço cobre o custo." type="custom">
      <formula1>=AND(ISNUMBER(B7),B7&gt;=0,B7&lt;1,B7+N(B8)&lt;1)</formula1>
    </dataValidation>
    <dataValidation sqref="B8" showDropDown="0" showInputMessage="0" showErrorMessage="1" allowBlank="0" errorTitle="Percentual" error="Margem entre 0 % e 99 %, e impostos + margem abaixo de 100 %: senão nenhum preço cobre o custo." type="custom">
      <formula1>=AND(ISNUMBER(B8),B8&gt;=0,B8&lt;1,B8+N(B7)&lt;1)</formula1>
    </dataValidation>
    <dataValidation sqref="B9" showDropDown="0" showInputMessage="0" showErrorMessage="1" allowBlank="0" error="Percentual entre 0 % e 100 %." type="decimal" operator="between">
      <formula1>0</formula1>
      <formula2>1</formula2>
    </dataValidation>
    <dataValidation sqref="B10" showDropDown="0" showInputMessage="0" showErrorMessage="1" allowBlank="0" error="Percentual entre 0 % e 100 %." type="decimal" operator="between">
      <formula1>0</formula1>
      <formula2>1</formula2>
    </dataValidation>
    <dataValidation sqref="B11" showDropDown="0" showInputMessage="0" showErrorMessage="1" allowBlank="0" error="Percentual entre 0 % e 100 %." type="decimal" operator="between">
      <formula1>0</formula1>
      <formula2>1</formula2>
    </dataValidation>
    <dataValidation sqref="B12" showDropDown="0" showInputMessage="0" showErrorMessage="1" allowBlank="1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Simulador de honorários · Kit de Gestão para Advogados</dc:title>
  <dcterms:created xmlns:dcterms="http://purl.org/dc/terms/" xmlns:xsi="http://www.w3.org/2001/XMLSchema-instance" xsi:type="dcterms:W3CDTF">2026-09-24T11:31:59Z</dcterms:created>
  <dcterms:modified xmlns:dcterms="http://purl.org/dc/terms/" xmlns:xsi="http://www.w3.org/2001/XMLSchema-instance" xsi:type="dcterms:W3CDTF">2026-09-24T11:31:59Z</dcterms:modified>
</cp:coreProperties>
</file>