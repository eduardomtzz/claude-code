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8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IF(NOT(ISNUMBER($B$11)),"Preencha o custo-hora primeiro",IF((Config!$B$13&lt;&gt;"Sim"),"Corrija as margens em Config",IF($B$29&lt;=0,"Estime as horas primeiro",IF(Config!$B$14&lt;&gt;"Sim","Corrija as regras de risco em Config",IF(MAX($J$52:$J$55)&lt;=-1E+9,"Nenhuma com risco aceitável",INDEX($A$52:$A$55,MATCH(MAX($J$52:$J$55),$J$52:$J$55,0)))))))</f>
        <v>Hora</v>
      </c>
      <c r="B5" s="8" t="n"/>
      <c r="C5" s="14">
        <f>IF(OR(Config!$B$14&lt;&gt;"Sim",MAX($J$52:$J$55)&lt;=-1E+9),"",INDEX($E$52:$E$55,MATCH(MAX($J$52:$J$55),$J$52:$J$55,0)))</f>
        <v>4825.0158</v>
      </c>
      <c r="D5" s="10" t="n"/>
      <c r="E5" s="15" t="str">
        <f>IF(OR(Config!$B$14&lt;&gt;"Sim",MAX($J$52:$J$55)&lt;=-1E+9),"",INDEX($I$52:$I$55,MATCH(MAX($J$52:$J$55),$J$52:$J$55,0)))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120.261235544735</v>
      </c>
      <c r="J5" s="12" t="n"/>
    </row>
    <row r="6" ht="30" customHeight="1">
      <c r="A6" s="18" t="str">
        <f>IF(OR(COUNT($E$52:$E$55)=0,$B$29&lt;=0,Config!$B$14&lt;&gt;"Sim"),"Sem recomendação ainda: complete o custo-hora, as horas estimadas e a Config (margens e regras de risco).",IF(MAX($J$52:$J$55)&lt;=-1E+9,"Nenhuma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inlineStr">
        <is>
          <t>Copie da planilha 05 · Custo-hora (Painel, "Custo-hora do escritório"). No exemplo, R$ 66,0714 (18.500 ÷ 280 h). A hora mínima do caso (abaixo) é MAIOR do que a hora mínima do escritório na 05 sempre que o caso tiver despesa que o escritório absorve: a da 05 cobre só a estrutura, a daqui cobre também essas despesas rateadas pelas horas do caso.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IF(NOT(ISNUMBER($B$11)),"Falta o custo-hora (B11)",IF((Config!$B$13&lt;&gt;"Sim"),"Margens inválidas (Config)",IFERROR(IF($B$29=0,B11/(1-Config!$B$7-Config!$B$8),($D$40/$B$29)/(1-Config!$B$7-Config!$B$8)),"")))</f>
        <v>120.261235544735</v>
      </c>
      <c r="C15" s="23" t="inlineStr">
        <is>
          <t>(custo das horas + despesas absorvidas) ÷ horas estimadas ÷ (1 − impostos − margem). Sem caso montado, cai no custo-hora do escritório.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IF(B19="","",IF(ISNUMBER($B$11),B19*$B$11,"falta o custo-hora"))</f>
        <v>264.2856</v>
      </c>
    </row>
    <row r="20">
      <c r="A20" s="21" t="inlineStr">
        <is>
          <t>Estudo do caso e estratégia</t>
        </is>
      </c>
      <c r="B20" s="29" t="n">
        <v>6</v>
      </c>
      <c r="C20" s="27">
        <f>IF(B20="","",IF(ISNUMBER($B$11),B20*$B$11,"falta o custo-hora"))</f>
        <v>396.4284</v>
      </c>
    </row>
    <row r="21">
      <c r="A21" s="21" t="inlineStr">
        <is>
          <t>Redação e protocolo inicial</t>
        </is>
      </c>
      <c r="B21" s="29" t="n">
        <v>12</v>
      </c>
      <c r="C21" s="27">
        <f>IF(B21="","",IF(ISNUMBER($B$11),B21*$B$11,"falta o custo-hora"))</f>
        <v>792.8568</v>
      </c>
    </row>
    <row r="22">
      <c r="A22" s="21" t="inlineStr">
        <is>
          <t>Acompanhamento e manifestações</t>
        </is>
      </c>
      <c r="B22" s="29" t="n">
        <v>20</v>
      </c>
      <c r="C22" s="27">
        <f>IF(B22="","",IF(ISNUMBER($B$11),B22*$B$11,"falta o custo-hora"))</f>
        <v>1321.428</v>
      </c>
    </row>
    <row r="23">
      <c r="A23" s="21" t="inlineStr">
        <is>
          <t>Audiências e reuniões</t>
        </is>
      </c>
      <c r="B23" s="29" t="n">
        <v>8</v>
      </c>
      <c r="C23" s="27">
        <f>IF(B23="","",IF(ISNUMBER($B$11),B23*$B$11,"falta o custo-hora"))</f>
        <v>528.5712</v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IF(B24="","",IF(ISNUMBER($B$11),B24*$B$11,"falta o custo-hora"))</f>
        <v>198.2142</v>
      </c>
    </row>
    <row r="25">
      <c r="A25" s="21" t="n"/>
      <c r="B25" s="29" t="n"/>
      <c r="C25" s="27">
        <f>IF(B25="","",IF(ISNUMBER($B$11),B25*$B$11,"falta o custo-hora"))</f>
        <v/>
      </c>
    </row>
    <row r="26">
      <c r="A26" s="21" t="n"/>
      <c r="B26" s="29" t="n"/>
      <c r="C26" s="27">
        <f>IF(B26="","",IF(ISNUMBER($B$11),B26*$B$11,"falta o custo-hora"))</f>
        <v/>
      </c>
    </row>
    <row r="27">
      <c r="A27" s="21" t="n"/>
      <c r="B27" s="29" t="n"/>
      <c r="C27" s="27">
        <f>IF(B27="","",IF(ISNUMBER($B$11),B27*$B$11,"falta o custo-hora"))</f>
        <v/>
      </c>
    </row>
    <row r="28">
      <c r="A28" s="21" t="n"/>
      <c r="B28" s="29" t="n"/>
      <c r="C28" s="27">
        <f>IF(B28="","",IF(ISNUMBER($B$11),B28*$B$11,"falta o custo-hora"))</f>
        <v/>
      </c>
    </row>
    <row r="29">
      <c r="A29" s="30" t="inlineStr">
        <is>
          <t>Total de horas e custo das horas</t>
        </is>
      </c>
      <c r="B29" s="31">
        <f>SUM(B19:B28)</f>
        <v>53</v>
      </c>
      <c r="C29" s="32">
        <f>IF(ISNUMBER($B$11),SUM(C19:C28),"falta o custo-hora")</f>
        <v>3501.7842</v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>0</v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>300</v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>150</v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>0</v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>1250</v>
      </c>
      <c r="D39" s="32">
        <f>SUM(D33:D38)</f>
        <v>450</v>
      </c>
    </row>
    <row r="40">
      <c r="A40" s="30" t="inlineStr">
        <is>
          <t>Custo total do caso (horas + despesas que o escritório absorve)</t>
        </is>
      </c>
      <c r="D40" s="32">
        <f>IF(ISNUMBER($B$11),$C$29+$D$39,"Falta o custo-hora (B11)")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180</v>
      </c>
      <c r="C45" s="35" t="inlineStr">
        <is>
          <t>Cobra as horas trabalhadas: o escritório não absorve hora a mais, mas o cliente pode questionar as horas. Se a hora cobre a hora mínima do caso ou não, quem diz é a coluna Risco ao lado.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>7000</v>
      </c>
      <c r="C52" s="27">
        <f>IF((Config!$B$13&lt;&gt;"Sim"),"",B52*Config!$B$7)</f>
        <v>560</v>
      </c>
      <c r="D52" s="27">
        <f>$D$40</f>
        <v>3951.7842</v>
      </c>
      <c r="E52" s="27">
        <f>IF(AND(ISNUMBER(C52),ISNUMBER(D52)),B52-C52-D52,"")</f>
        <v>2488.2158</v>
      </c>
      <c r="F52" s="38">
        <f>IF(OR(B52=0,NOT(ISNUMBER(E52))),"",E52/B52)</f>
        <v>0.3554594</v>
      </c>
      <c r="G52" s="27">
        <f>IF(AND(ISNUMBER($D$40),NOT((Config!$B$13&lt;&gt;"Sim"))),E52,"")</f>
        <v>2488.2158</v>
      </c>
      <c r="H52" s="39" t="str">
        <f>IF(NOT(ISNUMBER($D$40)),"Falta o custo-hora (B11)",IF((Config!$B$13&lt;&gt;"Sim"),"Margens inválidas (Config)",IFERROR(IF($B$11=0,IF(($B$44*(1-Config!$B$7)-$D$39)&gt;=0,"Custo-hora zero: o fixo cobre as despesas absorvidas","Custo-hora zero, mas o fixo não cobre as despesas absorvidas"),"Até "&amp;ROUND(($B$44*(1-Config!$B$7)-$D$39)/$B$11,0)&amp;" horas sem prejuízo (estimadas: "&amp;ROUND($B$29,0)&amp;")"),"Preencha horas e valores")))</f>
        <v>Até 91 horas sem prejuízo (estimadas: 53)</v>
      </c>
      <c r="I52" s="40" t="str">
        <f>IF(NOT(ISNUMBER($D$40)),"Falta o custo-hora",IF((Config!$B$13&lt;&gt;"Sim"),"Margens inválidas",IF($B$29&lt;=0,"Faltam as horas estimadas",IF(NOT(IF(ISNUMBER(Config!$B$11),AND(Config!$B$11&gt;=0,Config!$B$11&lt;=1),FALSE)),"Regra de risco inválida (Config)",IFERROR(IF(($B$44*(1-Config!$B$7)-$D$39)&gt;=$B$11*$B$29*(1+Config!$B$11),"Baixo",IF(($B$44*(1-Config!$B$7)-$D$39)&gt;=$B$11*$B$29,"Médio","Alto")),"Sem base para classificar")))))</f>
        <v>Baixo</v>
      </c>
      <c r="J52" s="41">
        <f>IF(OR(I52="Baixo",AND(I52="Médio",Config!$B$12="Sim")),E52,-1E+9)</f>
        <v>2488.2158</v>
      </c>
      <c r="K52" s="42" t="str">
        <f>IF(NOT(ISNUMBER($D$40)),"Preencha o custo-hora do escritório (B11): sem ele não há custo do caso, margem nem risco.",IF((Config!$B$13&lt;&gt;"Sim"),"Impostos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equilíbrio.",IF(NOT(IF(ISNUMBER(Config!$B$11),AND(Config!$B$11&gt;=0,Config!$B$11&lt;=1),FALSE)),"A regra de risco desta modalidade em Config está vazia ou fora de 0 % a 100 %. Corrija a Config.",IFERROR(IF($B$11=0,IF(($B$44*(1-Config!$B$7)-$D$39)&gt;=0,"Sem custo de hora: só as despesas absorvidas contam, e o fixo as cobre","O fixo não cobre nem as despesas absorvidas"),"Folga de horas: "&amp;ROUND((($B$44*(1-Config!$B$7)-$D$39)/$B$11/$B$29-1)*100,0)&amp;"% (mínimo para risco baixo: "&amp;ROUND(Config!$B$11*100,0)&amp;"%)"),"")))))</f>
        <v>Folga de horas: 71% (mínimo para risco baixo: 20%)</v>
      </c>
    </row>
    <row r="53" ht="42" customHeight="1">
      <c r="A53" s="30" t="inlineStr">
        <is>
          <t>Hora</t>
        </is>
      </c>
      <c r="B53" s="27">
        <f>$B$45*$B$29</f>
        <v>9540</v>
      </c>
      <c r="C53" s="27">
        <f>IF((Config!$B$13&lt;&gt;"Sim"),"",B53*Config!$B$7)</f>
        <v>763.2</v>
      </c>
      <c r="D53" s="27">
        <f>$D$40</f>
        <v>3951.7842</v>
      </c>
      <c r="E53" s="27">
        <f>IF(AND(ISNUMBER(C53),ISNUMBER(D53)),B53-C53-D53,"")</f>
        <v>4825.0158</v>
      </c>
      <c r="F53" s="38">
        <f>IF(OR(B53=0,NOT(ISNUMBER(E53))),"",E53/B53)</f>
        <v>0.505766855345912</v>
      </c>
      <c r="G53" s="27">
        <f>IF(AND(ISNUMBER($D$40),NOT((Config!$B$13&lt;&gt;"Sim"))),E53,"")</f>
        <v>4825.0158</v>
      </c>
      <c r="H53" s="39" t="str">
        <f>IF(NOT(ISNUMBER($D$40)),"Falta o custo-hora (B11)",IF((Config!$B$13&lt;&gt;"Sim"),"Margens inválidas (Config)",IFERROR("Hora mínima sem prejuízo: R$ "&amp;FIXED($D$40/($B$29*(1-Config!$B$7)),2)&amp;" (você cobra R$ "&amp;FIXED($B$45,2)&amp;")","Preencha horas e valores")))</f>
        <v>Hora mínima sem prejuízo: R$ 81,05 (você cobra R$ 180,00)</v>
      </c>
      <c r="I53" s="40" t="str">
        <f>IF(NOT(ISNUMBER($D$40)),"Falta o custo-hora",IF((Config!$B$13&lt;&gt;"Sim"),"Margens inválidas",IF($B$29&lt;=0,"Faltam as horas estimadas",IF(NOT(TRUE),"Regra de risco inválida (Config)",IFERROR(IF($B$45&gt;=$B$15,"Baixo",IF($B$45*$B$29*(1-Config!$B$7)&gt;=$D$40,"Médio","Alto")),"Sem base para classificar")))))</f>
        <v>Baixo</v>
      </c>
      <c r="J53" s="41">
        <f>IF(OR(I53="Baixo",AND(I53="Médio",Config!$B$12="Sim")),E53,-1E+9)</f>
        <v>4825.0158</v>
      </c>
      <c r="K53" s="42" t="str">
        <f>IF(NOT(ISNUMBER($D$40)),"Preencha o custo-hora do escritório (B11): sem ele não há custo do caso, margem nem risco.",IF((Config!$B$13&lt;&gt;"Sim"),"Impostos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equilíbrio.",IF(NOT(TRUE),"A regra de risco desta modalidade em Config está vazia ou fora de 0 % a 100 %. Corrija a Config.",IFERROR(IF($B$45&gt;=$B$15,"A hora cobrada cobre custo, impostos e margem desejada","A hora cobrada fica abaixo da hora mínima com margem (R$ "&amp;FIXED($B$15,2)&amp;")"),"")))))</f>
        <v>A hora cobrada cobre custo, impostos e margem desejada</v>
      </c>
    </row>
    <row r="54" ht="42" customHeight="1">
      <c r="A54" s="30" t="inlineStr">
        <is>
          <t>Êxito</t>
        </is>
      </c>
      <c r="B54" s="27">
        <f>$B$46*$B$14</f>
        <v>8250</v>
      </c>
      <c r="C54" s="27">
        <f>IF((Config!$B$13&lt;&gt;"Sim"),"",B54*Config!$B$7)</f>
        <v>660</v>
      </c>
      <c r="D54" s="27">
        <f>$D$40</f>
        <v>3951.7842</v>
      </c>
      <c r="E54" s="27">
        <f>IF(AND(ISNUMBER(C54),ISNUMBER(D54)),B54-C54-D54,"")</f>
        <v>3638.2158</v>
      </c>
      <c r="F54" s="38">
        <f>IF(OR(B54=0,NOT(ISNUMBER(E54))),"",E54/B54)</f>
        <v>0.440995854545455</v>
      </c>
      <c r="G54" s="27">
        <f>IF(AND(ISNUMBER($D$40),NOT((Config!$B$13&lt;&gt;"Sim"))),-$D$40,"")</f>
        <v>-3951.7842</v>
      </c>
      <c r="H54" s="39" t="str">
        <f>IF(NOT(ISNUMBER($D$40)),"Falta o custo-hora (B11)",IF((Config!$B$13&lt;&gt;"Sim"),"Margens inválidas (Config)",IFERROR(IF(($B$46*$B$12*(1-Config!$B$7))&lt;=0,"Sem percentual de êxito ou valor em discussão: o êxito não paga o custo","Chance mínima de êxito para não ter prejuízo: "&amp;ROUND($D$40/($B$46*$B$12*(1-Config!$B$7))*100,0)&amp;"% (estimada: "&amp;ROUND($B$13*100,0)&amp;"%)"),"Preencha horas e valores")))</f>
        <v>Chance mínima de êxito para não ter prejuízo: 29% (estimada: 55%)</v>
      </c>
      <c r="I54" s="40" t="str">
        <f>IF(NOT(ISNUMBER($D$40)),"Falta o custo-hora",IF((Config!$B$13&lt;&gt;"Sim"),"Margens inválidas",IF($B$29&lt;=0,"Faltam as horas estimadas",IF(NOT(AND(IF(ISNUMBER(Config!$B$9),AND(Config!$B$9&gt;=0,Config!$B$9&lt;=1),FALSE),IF(ISNUMBER(Config!$B$10),AND(Config!$B$10&gt;=0,Config!$B$10&lt;=1),FALSE))),"Regra de risco inválida (Config)",IFERROR(IF(OR($B$13&lt;Config!$B$9,($B$13-Config!$B$10)*($B$46*$B$12*(1-Config!$B$7))&lt;$D$40),"Alto","Médio"),"Sem base para classificar")))))</f>
        <v>Alto</v>
      </c>
      <c r="J54" s="41">
        <f>IF(OR(I54="Baixo",AND(I54="Médio",Config!$B$12="Sim")),E54,-1E+9)</f>
        <v>-1000000000</v>
      </c>
      <c r="K54" s="42" t="str">
        <f>IF(NOT(ISNUMBER($D$40)),"Preencha o custo-hora do escritório (B11): sem ele não há custo do caso, margem nem risco.",IF((Config!$B$13&lt;&gt;"Sim"),"Impostos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equilíbrio.",IF(NOT(AND(IF(ISNUMBER(Config!$B$9),AND(Config!$B$9&gt;=0,Config!$B$9&lt;=1),FALSE),IF(ISNUMBER(Config!$B$10),AND(Config!$B$10&gt;=0,Config!$B$10&lt;=1),FALSE))),"A regra de risco desta modalidade em Config está vazia ou fora de 0 % a 100 %. Corrija a Config.",IFERROR(IF($B$13&lt;Config!$B$9,"Chance estimada abaixo do mínimo aceitável para êxito puro ("&amp;ROUND(Config!$B$9*100,0)&amp;"%)",IF(($B$13-Config!$B$10)*($B$46*$B$12*(1-Config!$B$7))&lt;$D$40,"Chance estimada perto demais do ponto de equilíbrio (ou sem êxito que pague o custo)","Só recebe no fim; o caixa precisa aguentar até lá")),"")))))</f>
        <v>Chance estimada abaixo do mínimo aceitável para êxito puro (60%)</v>
      </c>
    </row>
    <row r="55" ht="42" customHeight="1">
      <c r="A55" s="30" t="inlineStr">
        <is>
          <t>Misto</t>
        </is>
      </c>
      <c r="B55" s="27">
        <f>$B$47+$B$48*$B$14</f>
        <v>9450</v>
      </c>
      <c r="C55" s="27">
        <f>IF((Config!$B$13&lt;&gt;"Sim"),"",B55*Config!$B$7)</f>
        <v>756</v>
      </c>
      <c r="D55" s="27">
        <f>$D$40</f>
        <v>3951.7842</v>
      </c>
      <c r="E55" s="27">
        <f>IF(AND(ISNUMBER(C55),ISNUMBER(D55)),B55-C55-D55,"")</f>
        <v>4742.2158</v>
      </c>
      <c r="F55" s="38">
        <f>IF(OR(B55=0,NOT(ISNUMBER(E55))),"",E55/B55)</f>
        <v>0.501821777777778</v>
      </c>
      <c r="G55" s="27">
        <f>IF(AND(ISNUMBER($D$40),NOT((Config!$B$13&lt;&gt;"Sim"))),$B$47*(1-Config!$B$7)-$D$40,"")</f>
        <v>188.2158</v>
      </c>
      <c r="H55" s="39" t="str">
        <f>IF(NOT(ISNUMBER($D$40)),"Falta o custo-hora (B11)",IF((Config!$B$13&lt;&gt;"Sim"),"Margens inválidas (Config)",IFERROR(IF(($D$40-$B$47*(1-Config!$B$7))&lt;=0,"A entrada já cobre o custo do caso; o êxito é margem",IF(($B$48*$B$12*(1-Config!$B$7))&lt;=0,"A entrada não cobre o custo e não há êxito que complete","Chance mínima de êxito para não ter prejuízo: "&amp;ROUND(($D$40-$B$47*(1-Config!$B$7))/($B$48*$B$12*(1-Config!$B$7))*100,0)&amp;"% (estimada: "&amp;ROUND($B$13*100,0)&amp;"%)")),"Preencha horas e valores")))</f>
        <v>A entrada já cobre o custo do caso; o êxito é margem</v>
      </c>
      <c r="I55" s="40" t="str">
        <f>IF(NOT(ISNUMBER($D$40)),"Falta o custo-hora",IF((Config!$B$13&lt;&gt;"Sim"),"Margens inválidas",IF($B$29&lt;=0,"Faltam as horas estimadas",IF(NOT(IF(ISNUMBER(Config!$B$10),AND(Config!$B$10&gt;=0,Config!$B$10&lt;=1),FALSE)),"Regra de risco inválida (Config)",IFERROR(IF(IF(($D$40-$B$47*(1-Config!$B$7))&lt;=0,$B$13&lt;Config!$B$10,($B$13-Config!$B$10)*($B$48*$B$12*(1-Config!$B$7))&lt;($D$40-$B$47*(1-Config!$B$7))),"Alto",IF(($D$40-$B$47*(1-Config!$B$7))&gt;0,"Médio","Baixo")),"Sem base para classificar")))))</f>
        <v>Baixo</v>
      </c>
      <c r="J55" s="41">
        <f>IF(OR(I55="Baixo",AND(I55="Médio",Config!$B$12="Sim")),E55,-1E+9)</f>
        <v>4742.2158</v>
      </c>
      <c r="K55" s="42" t="str">
        <f>IF(NOT(ISNUMBER($D$40)),"Preencha o custo-hora do escritório (B11): sem ele não há custo do caso, margem nem risco.",IF((Config!$B$13&lt;&gt;"Sim"),"Impostos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equilíbrio.",IF(NOT(IF(ISNUMBER(Config!$B$10),AND(Config!$B$10&gt;=0,Config!$B$10&lt;=1),FALSE)),"A regra de risco desta modalidade em Config está vazia ou fora de 0 % a 100 %. Corrija a Config.",IFERROR(IF(($D$40-$B$47*(1-Config!$B$7))&lt;=0,"Entrada cobre o custo: mesmo perdendo, não há prejuízo","Entrada não cobre todo o custo; parte depende do êxito"),"")))))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OR(I52="Alto",I52="Falta o custo-hora",I52="Margens inválidas",I52="Regra de risco inválida (Config)",I52="Sem base para classificar")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 t="n">
        <v>46279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A13" s="20" t="inlineStr">
        <is>
          <t>Impostos e margem conferem? (calculado)</t>
        </is>
      </c>
      <c r="B13" s="40" t="str">
        <f>IF(AND(ISNUMBER(B7),ISNUMBER(B8)),IF(AND(B7&gt;=0,B7&lt;1,B8&gt;=0,B8&lt;1,B7+B8&lt;1),"Sim","Não"),"Não")</f>
        <v>Sim</v>
      </c>
      <c r="C13" s="23" t="inlineStr">
        <is>
          <t>"Não" suspende hora mínima, margens, risco e recomendação no Simulador até a Config ser corrigida.</t>
        </is>
      </c>
      <c r="E13" s="21" t="n"/>
    </row>
    <row r="14">
      <c r="A14" s="20" t="inlineStr">
        <is>
          <t>Regras de risco conferem? (calculado)</t>
        </is>
      </c>
      <c r="B14" s="40" t="str">
        <f>IF(AND(ISNUMBER(B9),ISNUMBER(B10),ISNUMBER(B11)),IF(AND(B9&gt;=0,B9&lt;=1,B10&gt;=0,B10&lt;=1,B11&gt;=0,B11&lt;=1,OR(B12="Sim",B12="Não")),"Sim","Não"),"Não")</f>
        <v>Sim</v>
      </c>
      <c r="C14" s="23" t="inlineStr">
        <is>
          <t>"Não" suspende a recomendação: chance mínima e folgas de 0 % a 100 %, e "Aceitar risco médio" = Sim ou Não.</t>
        </is>
      </c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6">
    <dataValidation sqref="B7" showDropDown="0" showInputMessage="0" showErrorMessage="1" allowBlank="0" errorTitle="Percentual" error="Impostos entre 0 % e 99 %, e impostos + margem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Margem entre 0 % e 99 %, e impostos + margem abaixo de 100 %: senão nenhum preço cobre o custo." type="custom">
      <formula1>=IF(ISNUMBER(B8),AND(B8&gt;=0,B8&lt;1,B8+N(B7)&lt;1),FALSE)</formula1>
    </dataValidation>
    <dataValidation sqref="B9" showDropDown="0" showInputMessage="0" showErrorMessage="1" allowBlank="0" error="Percentual entre 0 % e 100 %." type="decimal" operator="between">
      <formula1>0</formula1>
      <formula2>1</formula2>
    </dataValidation>
    <dataValidation sqref="B10" showDropDown="0" showInputMessage="0" showErrorMessage="1" allowBlank="0" error="Percentual entre 0 % e 100 %." type="decimal" operator="between">
      <formula1>0</formula1>
      <formula2>1</formula2>
    </dataValidation>
    <dataValidation sqref="B11" showDropDown="0" showInputMessage="0" showErrorMessage="1" allowBlank="0" error="Percentual entre 0 % e 100 %." type="decimal" operator="between">
      <formula1>0</formula1>
      <formula2>1</formula2>
    </dataValidation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2026-09-24T12:24:28Z</dcterms:created>
  <dcterms:modified xmlns:dcterms="http://purl.org/dc/terms/" xmlns:xsi="http://www.w3.org/2001/XMLSchema-instance" xsi:type="dcterms:W3CDTF">2026-09-24T12:24:28Z</dcterms:modified>
</cp:coreProperties>
</file>