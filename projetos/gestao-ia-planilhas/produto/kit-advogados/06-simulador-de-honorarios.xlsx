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IF(NOT(IF(ISNUMBER($B$11),$B$11&gt;=0,FALSE)),"Preencha o custo-hora primeiro",IF(NOT(ISNUMBER($D$40)),"Corrija horas ou despesas",IF($B$16&lt;&gt;"Sim","Complete os dados do caso",IF((Config!$B$13&lt;&gt;"Sim"),"Corrija as margens em Config",IF($B$29&lt;=0,"Estime as horas primeiro",IF(Config!$B$14&lt;&gt;"Sim","Corrija as regras de risco em Config",IF(MAX($J$52:$J$55)&lt;=-1E+9,"Nenhuma com risco aceitável",INDEX($A$52:$A$55,MATCH(MAX($J$52:$J$55),$J$52:$J$55,0)))))))))</f>
        <v>Hora</v>
      </c>
      <c r="B5" s="8" t="n"/>
      <c r="C5" s="14">
        <f>IF(OR(Config!$B$14&lt;&gt;"Sim",$B$16&lt;&gt;"Sim",MAX($J$52:$J$55)&lt;=-1E+9),"",INDEX($E$52:$E$55,MATCH(MAX($J$52:$J$55),$J$52:$J$55,0)))</f>
        <v>4825.0158</v>
      </c>
      <c r="D5" s="10" t="n"/>
      <c r="E5" s="15" t="str">
        <f>IF(OR(Config!$B$14&lt;&gt;"Sim",$B$16&lt;&gt;"Sim",MAX($J$52:$J$55)&lt;=-1E+9),"",INDEX($I$52:$I$55,MATCH(MAX($J$52:$J$55),$J$52:$J$55,0)))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IF(OR(COUNT($E$52:$E$55)=0,$B$29&lt;=0,Config!$B$14&lt;&gt;"Sim",$B$16&lt;&gt;"Sim"),"Sem recomendação ainda: complete o custo-hora, as horas, os dados do caso (B16) e a Config (margens e regras de risco).",IF(MAX($J$52:$J$55)&lt;=-1E+9,"Nenhuma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inlineStr">
        <is>
          <t>Copie da planilha 05 · Custo-hora (Painel, "Custo-hora do escritório"). No exemplo, R$ 66,0714 (18.500 ÷ 280 h). A hora mínima do caso (abaixo) é MAIOR do que a hora mínima do escritório na 05 sempre que o caso tiver despesa que o escritório absorve: a da 05 cobre só a estrutura, a daqui cobre também essas despesas rateadas pelas horas do caso.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IF(AND(IF(ISNUMBER($B$12),AND($B$12&gt;=0),FALSE),IF(ISNUMBER($B$13),AND($B$13&gt;=0,$B$13&lt;=1),FALSE)),B12*B13,"falta valor ou chance")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IF(NOT(IF(ISNUMBER($B$11),$B$11&gt;=0,FALSE)),"Falta o custo-hora (B11)",IF(NOT(ISNUMBER($D$40)),$D$40,IF((Config!$B$13&lt;&gt;"Sim"),"Margens inválidas (Config)",IFERROR(IF($B$29=0,B11/(1-Config!$B$7-Config!$B$8),($D$40/$B$29)/(1-Config!$B$7-Config!$B$8)),""))))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6">
      <c r="A16" s="20" t="inlineStr">
        <is>
          <t>Dados do caso conferem?</t>
        </is>
      </c>
      <c r="B16" s="28" t="str">
        <f>IF(NOT(IF(ISNUMBER($B$12),AND($B$12&gt;=0),FALSE)),"falta o valor em discussão (B12)",IF(NOT(IF(ISNUMBER($B$13),AND($B$13&gt;=0,$B$13&lt;=1),FALSE)),"falta a chance de êxito, de 0 a 100 % (B13)",IF(NOT(IF(ISNUMBER($B$44),AND($B$44&gt;=0),FALSE)),"falta o valor do fixo (B44)",IF(NOT(IF(ISNUMBER($B$45),AND($B$45&gt;=0),FALSE)),"falta a hora cobrada (B45)",IF(NOT(IF(ISNUMBER($B$46),AND($B$46&gt;=0,$B$46&lt;=1),FALSE)),"falta o % de êxito, de 0 a 100 % (B46)",IF(NOT(IF(ISNUMBER($B$47),AND($B$47&gt;=0),FALSE)),"falta a entrada do misto (B47)",IF(NOT(IF(ISNUMBER($B$48),AND($B$48&gt;=0,$B$48&lt;=1),FALSE)),"falta o % do misto, de 0 a 100 % (B48)","Sim")))))))</f>
        <v>Sim</v>
      </c>
      <c r="C16" s="23" t="inlineStr">
        <is>
          <t>"Sim" quando valor em discussão, chance e os valores das quatro modalidades são números no domínio certo. Zero digitado vale; vazio ou texto suspende a modalidade que usa o dado e a recomendação.</t>
        </is>
      </c>
    </row>
    <row r="17">
      <c r="A17" s="19" t="inlineStr">
        <is>
          <t>2. Horas estimadas por etapa</t>
        </is>
      </c>
    </row>
    <row r="18" ht="26" customHeight="1">
      <c r="A18" s="29" t="inlineStr">
        <is>
          <t>Etapa</t>
        </is>
      </c>
      <c r="B18" s="29" t="inlineStr">
        <is>
          <t>Horas estimadas</t>
        </is>
      </c>
      <c r="C18" s="29" t="inlineStr">
        <is>
          <t>Custo (R$)</t>
        </is>
      </c>
    </row>
    <row r="19">
      <c r="A19" s="21" t="inlineStr">
        <is>
          <t>Reunião inicial e análise dos documentos</t>
        </is>
      </c>
      <c r="B19" s="30" t="n">
        <v>4</v>
      </c>
      <c r="C19" s="27">
        <f>IF(AND(A19="",B19=""),"",IF(NOT(IF(ISNUMBER(B19),B19&gt;=0,FALSE)),"faltam as horas",IF(IF(ISNUMBER($B$11),$B$11&gt;=0,FALSE),B19*$B$11,"falta o custo-hora")))</f>
        <v>264.2856</v>
      </c>
    </row>
    <row r="20">
      <c r="A20" s="21" t="inlineStr">
        <is>
          <t>Estudo do caso e estratégia</t>
        </is>
      </c>
      <c r="B20" s="30" t="n">
        <v>6</v>
      </c>
      <c r="C20" s="27">
        <f>IF(AND(A20="",B20=""),"",IF(NOT(IF(ISNUMBER(B20),B20&gt;=0,FALSE)),"faltam as horas",IF(IF(ISNUMBER($B$11),$B$11&gt;=0,FALSE),B20*$B$11,"falta o custo-hora")))</f>
        <v>396.4284</v>
      </c>
    </row>
    <row r="21">
      <c r="A21" s="21" t="inlineStr">
        <is>
          <t>Redação e protocolo inicial</t>
        </is>
      </c>
      <c r="B21" s="30" t="n">
        <v>12</v>
      </c>
      <c r="C21" s="27">
        <f>IF(AND(A21="",B21=""),"",IF(NOT(IF(ISNUMBER(B21),B21&gt;=0,FALSE)),"faltam as horas",IF(IF(ISNUMBER($B$11),$B$11&gt;=0,FALSE),B21*$B$11,"falta o custo-hora")))</f>
        <v>792.8568</v>
      </c>
    </row>
    <row r="22">
      <c r="A22" s="21" t="inlineStr">
        <is>
          <t>Acompanhamento e manifestações</t>
        </is>
      </c>
      <c r="B22" s="30" t="n">
        <v>20</v>
      </c>
      <c r="C22" s="27">
        <f>IF(AND(A22="",B22=""),"",IF(NOT(IF(ISNUMBER(B22),B22&gt;=0,FALSE)),"faltam as horas",IF(IF(ISNUMBER($B$11),$B$11&gt;=0,FALSE),B22*$B$11,"falta o custo-hora")))</f>
        <v>1321.428</v>
      </c>
    </row>
    <row r="23">
      <c r="A23" s="21" t="inlineStr">
        <is>
          <t>Audiências e reuniões</t>
        </is>
      </c>
      <c r="B23" s="30" t="n">
        <v>8</v>
      </c>
      <c r="C23" s="27">
        <f>IF(AND(A23="",B23=""),"",IF(NOT(IF(ISNUMBER(B23),B23&gt;=0,FALSE)),"faltam as horas",IF(IF(ISNUMBER($B$11),$B$11&gt;=0,FALSE),B23*$B$11,"falta o custo-hora")))</f>
        <v>528.5712</v>
      </c>
    </row>
    <row r="24">
      <c r="A24" s="21" t="inlineStr">
        <is>
          <t>Encerramento e prestação de contas</t>
        </is>
      </c>
      <c r="B24" s="30" t="n">
        <v>3</v>
      </c>
      <c r="C24" s="27">
        <f>IF(AND(A24="",B24=""),"",IF(NOT(IF(ISNUMBER(B24),B24&gt;=0,FALSE)),"faltam as horas",IF(IF(ISNUMBER($B$11),$B$11&gt;=0,FALSE),B24*$B$11,"falta o custo-hora")))</f>
        <v>198.2142</v>
      </c>
    </row>
    <row r="25">
      <c r="A25" s="21" t="n"/>
      <c r="B25" s="30" t="n"/>
      <c r="C25" s="27">
        <f>IF(AND(A25="",B25=""),"",IF(NOT(IF(ISNUMBER(B25),B25&gt;=0,FALSE)),"faltam as horas",IF(IF(ISNUMBER($B$11),$B$11&gt;=0,FALSE),B25*$B$11,"falta o custo-hora")))</f>
        <v/>
      </c>
    </row>
    <row r="26">
      <c r="A26" s="21" t="n"/>
      <c r="B26" s="30" t="n"/>
      <c r="C26" s="27">
        <f>IF(AND(A26="",B26=""),"",IF(NOT(IF(ISNUMBER(B26),B26&gt;=0,FALSE)),"faltam as horas",IF(IF(ISNUMBER($B$11),$B$11&gt;=0,FALSE),B26*$B$11,"falta o custo-hora")))</f>
        <v/>
      </c>
    </row>
    <row r="27">
      <c r="A27" s="21" t="n"/>
      <c r="B27" s="30" t="n"/>
      <c r="C27" s="27">
        <f>IF(AND(A27="",B27=""),"",IF(NOT(IF(ISNUMBER(B27),B27&gt;=0,FALSE)),"faltam as horas",IF(IF(ISNUMBER($B$11),$B$11&gt;=0,FALSE),B27*$B$11,"falta o custo-hora")))</f>
        <v/>
      </c>
    </row>
    <row r="28">
      <c r="A28" s="21" t="n"/>
      <c r="B28" s="30" t="n"/>
      <c r="C28" s="27">
        <f>IF(AND(A28="",B28=""),"",IF(NOT(IF(ISNUMBER(B28),B28&gt;=0,FALSE)),"faltam as horas",IF(IF(ISNUMBER($B$11),$B$11&gt;=0,FALSE),B28*$B$11,"falta o custo-hora")))</f>
        <v/>
      </c>
    </row>
    <row r="29">
      <c r="A29" s="31" t="inlineStr">
        <is>
          <t>Total de horas e custo das horas</t>
        </is>
      </c>
      <c r="B29" s="32">
        <f>IF(SUMPRODUCT(((A19:A28&lt;&gt;"")+(B19:B28&lt;&gt;"")&gt;0)*((ISNUMBER(B19:B28)=FALSE)+ISNUMBER(B19:B28)*(B19:B28&lt;0)&gt;0))=0,SUM(B19:B28),"horas faltando ou inválidas")</f>
        <v>53</v>
      </c>
      <c r="C29" s="33">
        <f>IF(NOT(IF(ISNUMBER($B$11),$B$11&gt;=0,FALSE)),"falta o custo-hora",IF(SUMPRODUCT(((A19:A28&lt;&gt;"")+(B19:B28&lt;&gt;"")&gt;0)*((ISNUMBER(B19:B28)=FALSE)+ISNUMBER(B19:B28)*(B19:B28&lt;0)&gt;0))&gt;0,"horas faltando ou inválidas",SUM(C19:C28)))</f>
        <v>3501.7842</v>
      </c>
    </row>
    <row r="31">
      <c r="A31" s="19" t="inlineStr">
        <is>
          <t>3. Despesas do caso</t>
        </is>
      </c>
    </row>
    <row r="32" ht="26" customHeight="1">
      <c r="A32" s="29" t="inlineStr">
        <is>
          <t>Despesa</t>
        </is>
      </c>
      <c r="B32" s="29" t="inlineStr">
        <is>
          <t>Valor (R$)</t>
        </is>
      </c>
      <c r="C32" s="29" t="inlineStr">
        <is>
          <t>Cliente reembolsa?</t>
        </is>
      </c>
      <c r="D32" s="29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4" t="inlineStr">
        <is>
          <t>Sim</t>
        </is>
      </c>
      <c r="D33" s="27">
        <f>IF(AND(A33="",B33="",C33=""),"",IF(NOT(IF(ISNUMBER(B33),B33&gt;=0,FALSE)),"falta o valor",IF(AND(C33&lt;&gt;"Sim",C33&lt;&gt;"Não"),"falta: reembolsa?",IF(C33="Sim",0,B33))))</f>
        <v>0</v>
      </c>
    </row>
    <row r="34">
      <c r="A34" s="21" t="inlineStr">
        <is>
          <t>Deslocamentos</t>
        </is>
      </c>
      <c r="B34" s="22" t="n">
        <v>300</v>
      </c>
      <c r="C34" s="34" t="inlineStr">
        <is>
          <t>Não</t>
        </is>
      </c>
      <c r="D34" s="27">
        <f>IF(AND(A34="",B34="",C34=""),"",IF(NOT(IF(ISNUMBER(B34),B34&gt;=0,FALSE)),"falta o valor",IF(AND(C34&lt;&gt;"Sim",C34&lt;&gt;"Não"),"falta: reembolsa?",IF(C34="Sim",0,B34))))</f>
        <v>300</v>
      </c>
    </row>
    <row r="35">
      <c r="A35" s="21" t="inlineStr">
        <is>
          <t>Cópias e certidões</t>
        </is>
      </c>
      <c r="B35" s="22" t="n">
        <v>150</v>
      </c>
      <c r="C35" s="34" t="inlineStr">
        <is>
          <t>Não</t>
        </is>
      </c>
      <c r="D35" s="27">
        <f>IF(AND(A35="",B35="",C35=""),"",IF(NOT(IF(ISNUMBER(B35),B35&gt;=0,FALSE)),"falta o valor",IF(AND(C35&lt;&gt;"Sim",C35&lt;&gt;"Não"),"falta: reembolsa?",IF(C35="Sim",0,B35))))</f>
        <v>150</v>
      </c>
    </row>
    <row r="36">
      <c r="A36" s="21" t="inlineStr">
        <is>
          <t>Terceiros (perito, tradutor)</t>
        </is>
      </c>
      <c r="B36" s="22" t="n">
        <v>0</v>
      </c>
      <c r="C36" s="34" t="inlineStr">
        <is>
          <t>Sim</t>
        </is>
      </c>
      <c r="D36" s="27">
        <f>IF(AND(A36="",B36="",C36=""),"",IF(NOT(IF(ISNUMBER(B36),B36&gt;=0,FALSE)),"falta o valor",IF(AND(C36&lt;&gt;"Sim",C36&lt;&gt;"Não"),"falta: reembolsa?",IF(C36="Sim",0,B36))))</f>
        <v>0</v>
      </c>
    </row>
    <row r="37">
      <c r="A37" s="21" t="n"/>
      <c r="B37" s="22" t="n"/>
      <c r="C37" s="34" t="n"/>
      <c r="D37" s="27">
        <f>IF(AND(A37="",B37="",C37=""),"",IF(NOT(IF(ISNUMBER(B37),B37&gt;=0,FALSE)),"falta o valor",IF(AND(C37&lt;&gt;"Sim",C37&lt;&gt;"Não"),"falta: reembolsa?",IF(C37="Sim",0,B37))))</f>
        <v/>
      </c>
    </row>
    <row r="38">
      <c r="A38" s="21" t="n"/>
      <c r="B38" s="22" t="n"/>
      <c r="C38" s="34" t="n"/>
      <c r="D38" s="27">
        <f>IF(AND(A38="",B38="",C38=""),"",IF(NOT(IF(ISNUMBER(B38),B38&gt;=0,FALSE)),"falta o valor",IF(AND(C38&lt;&gt;"Sim",C38&lt;&gt;"Não"),"falta: reembolsa?",IF(C38="Sim",0,B38))))</f>
        <v/>
      </c>
    </row>
    <row r="39">
      <c r="A39" s="31" t="inlineStr">
        <is>
          <t>Total de despesas · custo para o escritório</t>
        </is>
      </c>
      <c r="B39" s="27">
        <f>IF(SUMPRODUCT(((A33:A38&lt;&gt;"")+(B33:B38&lt;&gt;"")+(C33:C38&lt;&gt;"")&gt;0)*((ISNUMBER(B33:B38)=FALSE)+ISNUMBER(B33:B38)*(B33:B38&lt;0)&gt;0))&gt;0,"despesa incompleta",SUM(B33:B38))</f>
        <v>1250</v>
      </c>
      <c r="D39" s="33">
        <f>IF(SUMPRODUCT(((A33:A38&lt;&gt;"")+(B33:B38&lt;&gt;"")+(C33:C38&lt;&gt;"")&gt;0)*(ISNUMBER(D33:D38)=FALSE))&gt;0,"despesa incompleta",SUM(D33:D38))</f>
        <v>450</v>
      </c>
    </row>
    <row r="40">
      <c r="A40" s="31" t="inlineStr">
        <is>
          <t>Custo total do caso (horas + despesas que o escritório absorve)</t>
        </is>
      </c>
      <c r="D40" s="33">
        <f>IF(NOT(IF(ISNUMBER($B$11),$B$11&gt;=0,FALSE)),"Falta o custo-hora (B11)",IF(NOT(ISNUMBER($C$29)),"Horas faltando ou inválidas (bloco 2)",IF(NOT(ISNUMBER($D$39)),"Despesa incompleta (bloco 3)",$C$29+$D$39)))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9" t="inlineStr">
        <is>
          <t>Modalidade</t>
        </is>
      </c>
      <c r="B43" s="29" t="inlineStr">
        <is>
          <t>Valor</t>
        </is>
      </c>
      <c r="C43" s="29" t="inlineStr">
        <is>
          <t>Como funciona</t>
        </is>
      </c>
    </row>
    <row r="44">
      <c r="A44" s="35" t="inlineStr">
        <is>
          <t>Fixo · valor fechado (R$)</t>
        </is>
      </c>
      <c r="B44" s="24" t="n">
        <v>7000</v>
      </c>
      <c r="C44" s="36" t="inlineStr">
        <is>
          <t>Um valor pelo caso inteiro, independente das horas. Risco: o caso consumir mais horas que o estimado.</t>
        </is>
      </c>
      <c r="D44" s="37" t="n"/>
      <c r="E44" s="37" t="n"/>
      <c r="F44" s="37" t="n"/>
      <c r="G44" s="37" t="n"/>
      <c r="H44" s="38" t="n"/>
    </row>
    <row r="45">
      <c r="A45" s="35" t="inlineStr">
        <is>
          <t>Hora · valor da hora cobrada (R$)</t>
        </is>
      </c>
      <c r="B45" s="22" t="n">
        <v>180</v>
      </c>
      <c r="C45" s="36" t="inlineStr">
        <is>
          <t>Cobra as horas trabalhadas: o escritório não absorve hora a mais, mas o cliente pode questionar as horas. Se a hora cobre a hora mínima do caso ou não, quem diz é a coluna Risco ao lado.</t>
        </is>
      </c>
      <c r="D45" s="37" t="n"/>
      <c r="E45" s="37" t="n"/>
      <c r="F45" s="37" t="n"/>
      <c r="G45" s="37" t="n"/>
      <c r="H45" s="38" t="n"/>
    </row>
    <row r="46">
      <c r="A46" s="35" t="inlineStr">
        <is>
          <t>Êxito · % sobre o resultado</t>
        </is>
      </c>
      <c r="B46" s="25" t="n">
        <v>0.25</v>
      </c>
      <c r="C46" s="36" t="inlineStr">
        <is>
          <t>Só recebe se o caso der certo, no fim. Risco: trabalhar e não receber.</t>
        </is>
      </c>
      <c r="D46" s="37" t="n"/>
      <c r="E46" s="37" t="n"/>
      <c r="F46" s="37" t="n"/>
      <c r="G46" s="37" t="n"/>
      <c r="H46" s="38" t="n"/>
    </row>
    <row r="47">
      <c r="A47" s="35" t="inlineStr">
        <is>
          <t>Misto · entrada fixa (R$)</t>
        </is>
      </c>
      <c r="B47" s="24" t="n">
        <v>4500</v>
      </c>
      <c r="C47" s="36" t="inlineStr">
        <is>
          <t>Uma parte fixa no início (cobre o custo) mais um percentual sobre o resultado.</t>
        </is>
      </c>
      <c r="D47" s="37" t="n"/>
      <c r="E47" s="37" t="n"/>
      <c r="F47" s="37" t="n"/>
      <c r="G47" s="37" t="n"/>
      <c r="H47" s="38" t="n"/>
    </row>
    <row r="48">
      <c r="A48" s="35" t="inlineStr">
        <is>
          <t>Misto · % sobre o resultado</t>
        </is>
      </c>
      <c r="B48" s="25" t="n">
        <v>0.15</v>
      </c>
      <c r="C48" s="36" t="inlineStr"/>
      <c r="D48" s="37" t="n"/>
      <c r="E48" s="37" t="n"/>
      <c r="F48" s="37" t="n"/>
      <c r="G48" s="37" t="n"/>
      <c r="H48" s="38" t="n"/>
    </row>
    <row r="50">
      <c r="A50" s="19" t="inlineStr">
        <is>
          <t>5. Comparação das modalidades</t>
        </is>
      </c>
    </row>
    <row r="51" ht="40" customHeight="1">
      <c r="A51" s="29" t="inlineStr">
        <is>
          <t>Modalidade</t>
        </is>
      </c>
      <c r="B51" s="29" t="inlineStr">
        <is>
          <t>Receita esperada (R$)</t>
        </is>
      </c>
      <c r="C51" s="29" t="inlineStr">
        <is>
          <t>Impostos e taxas (R$)</t>
        </is>
      </c>
      <c r="D51" s="29" t="inlineStr">
        <is>
          <t>Custo do caso (R$)</t>
        </is>
      </c>
      <c r="E51" s="29" t="inlineStr">
        <is>
          <t>Margem esperada (R$)</t>
        </is>
      </c>
      <c r="F51" s="29" t="inlineStr">
        <is>
          <t>Margem (%)</t>
        </is>
      </c>
      <c r="G51" s="29" t="inlineStr">
        <is>
          <t>Se o caso for perdido (R$)</t>
        </is>
      </c>
      <c r="H51" s="29" t="inlineStr">
        <is>
          <t>Ponto de equilíbrio</t>
        </is>
      </c>
      <c r="I51" s="29" t="inlineStr">
        <is>
          <t>Risco</t>
        </is>
      </c>
      <c r="J51" s="29" t="inlineStr">
        <is>
          <t>Pontuação</t>
        </is>
      </c>
      <c r="K51" s="29" t="inlineStr">
        <is>
          <t>Por que este risco</t>
        </is>
      </c>
    </row>
    <row r="52" ht="42" customHeight="1">
      <c r="A52" s="31" t="inlineStr">
        <is>
          <t>Fixo</t>
        </is>
      </c>
      <c r="B52" s="27">
        <f>IF(IF(ISNUMBER($B$44),AND($B$44&gt;=0),FALSE),$B$44,"")</f>
        <v>7000</v>
      </c>
      <c r="C52" s="27">
        <f>IF(OR((Config!$B$13&lt;&gt;"Sim"),NOT(ISNUMBER(B52))),"",B52*Config!$B$7)</f>
        <v>560</v>
      </c>
      <c r="D52" s="27">
        <f>$D$40</f>
        <v>3951.7842</v>
      </c>
      <c r="E52" s="27">
        <f>IF(AND(ISNUMBER(C52),ISNUMBER(D52)),B52-C52-D52,"")</f>
        <v>2488.2158</v>
      </c>
      <c r="F52" s="39">
        <f>IF(OR(B52=0,NOT(ISNUMBER(E52))),"",E52/B52)</f>
        <v>0.3554594</v>
      </c>
      <c r="G52" s="27">
        <f>IF(AND(ISNUMBER($D$40),NOT((Config!$B$13&lt;&gt;"Sim")),IF(ISNUMBER($B$44),AND($B$44&gt;=0),FALSE)),E52,"")</f>
        <v>2488.2158</v>
      </c>
      <c r="H52" s="40" t="str">
        <f>IF(NOT(ISNUMBER($D$40)),$D$40,IF((Config!$B$13&lt;&gt;"Sim"),"Margens inválidas (Config)",IF(NOT(IF(ISNUMBER($B$44),AND($B$44&gt;=0),FALSE)),"Falta o valor do fixo",IFERROR(IF($B$11=0,IF(($B$44*(1-Config!$B$7)-$D$39)&gt;=0,"Custo-hora zero: o fixo cobre as despesas absorvidas","Custo-hora zero, mas o fixo não cobre as despesas absorvidas"),"Até "&amp;ROUND(($B$44*(1-Config!$B$7)-$D$39)/$B$11,0)&amp;" horas sem prejuízo (estimadas: "&amp;ROUND($B$29,0)&amp;")"),"Preencha horas e valores"))))</f>
        <v>Até 91 horas sem prejuízo (estimadas: 53)</v>
      </c>
      <c r="I52" s="28" t="str">
        <f>IF(NOT(ISNUMBER($D$40)),IF(IF(ISNUMBER($B$11),$B$11&gt;=0,FALSE),"Horas ou despesas incompletas","Falta o custo-hora"),IF((Config!$B$13&lt;&gt;"Sim"),"Margens inválidas",IF($B$29&lt;=0,"Faltam as horas estimadas",IF(NOT(IF(ISNUMBER(Config!$B$11),AND(Config!$B$11&gt;=0,Config!$B$11&lt;=1),FALSE)),"Regra de risco inválida (Config)",IF(NOT(IF(ISNUMBER($B$44),AND($B$44&gt;=0),FALSE)),"Falta o valor do fixo",IFERROR(IF(($B$44*(1-Config!$B$7)-$D$39)&gt;=$B$11*$B$29*(1+Config!$B$11),"Baixo",IF(($B$44*(1-Config!$B$7)-$D$39)&gt;=$B$11*$B$29,"Médio","Alto")),"Sem base para classificar"))))))</f>
        <v>Baixo</v>
      </c>
      <c r="J52" s="41">
        <f>IF(OR(I52="Baixo",AND(I52="Médio",Config!$B$12="Sim")),E52,-1E+9)</f>
        <v>2488.2158</v>
      </c>
      <c r="K52" s="42" t="str">
        <f>IF(NOT(ISNUMBER($D$40)),IF(IF(ISNUMBER($B$11),$B$11&gt;=0,FALSE),"Corrija o bloco 2 ou 3: etapa sem horas (ou negativa), despesa sem valor ou sem a resposta de reembolso.","Preencha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equilíbrio.",IF(NOT(IF(ISNUMBER(Config!$B$11),AND(Config!$B$11&gt;=0,Config!$B$11&lt;=1),FALSE)),"A regra de risco desta modalidade em Config está vazia ou fora de 0 % a 100 %. Corrija a Config.",IF(NOT(IF(ISNUMBER($B$44),AND($B$44&gt;=0),FALSE)),"Preencha no bloco 1 ou 4 o dado que falta: "&amp;$B$16&amp;".",IFERROR(IF($B$11=0,IF(($B$44*(1-Config!$B$7)-$D$39)&gt;=0,"Sem custo de hora: só as despesas absorvidas contam, e o fixo as cobre","O fixo não cobre nem as despesas absorvidas"),"Folga de horas: "&amp;ROUND((($B$44*(1-Config!$B$7)-$D$39)/$B$11/$B$29-1)*100,0)&amp;"% (mínimo para risco baixo: "&amp;ROUND(Config!$B$11*100,0)&amp;"%)"),""))))))</f>
        <v>Folga de horas: 71% (mínimo para risco baixo: 20%)</v>
      </c>
    </row>
    <row r="53" ht="42" customHeight="1">
      <c r="A53" s="31" t="inlineStr">
        <is>
          <t>Hora</t>
        </is>
      </c>
      <c r="B53" s="27">
        <f>IF(IF(ISNUMBER($B$45),AND($B$45&gt;=0),FALSE),IF(SUMPRODUCT((($A$19:$A$28&lt;&gt;"")+($B$19:$B$28&lt;&gt;"")&gt;0)*((ISNUMBER($B$19:$B$28)=FALSE)+ISNUMBER($B$19:$B$28)*($B$19:$B$28&lt;0)&gt;0))=0,$B$45*$B$29,""),"")</f>
        <v>9540</v>
      </c>
      <c r="C53" s="27">
        <f>IF(OR((Config!$B$13&lt;&gt;"Sim"),NOT(ISNUMBER(B53))),"",B53*Config!$B$7)</f>
        <v>763.2</v>
      </c>
      <c r="D53" s="27">
        <f>$D$40</f>
        <v>3951.7842</v>
      </c>
      <c r="E53" s="27">
        <f>IF(AND(ISNUMBER(C53),ISNUMBER(D53)),B53-C53-D53,"")</f>
        <v>4825.0158</v>
      </c>
      <c r="F53" s="39">
        <f>IF(OR(B53=0,NOT(ISNUMBER(E53))),"",E53/B53)</f>
        <v>0.505766855345912</v>
      </c>
      <c r="G53" s="27">
        <f>IF(AND(ISNUMBER($D$40),NOT((Config!$B$13&lt;&gt;"Sim")),IF(ISNUMBER($B$45),AND($B$45&gt;=0),FALSE)),E53,"")</f>
        <v>4825.0158</v>
      </c>
      <c r="H53" s="40" t="str">
        <f>IF(NOT(ISNUMBER($D$40)),$D$40,IF((Config!$B$13&lt;&gt;"Sim"),"Margens inválidas (Config)",IF(NOT(IF(ISNUMBER($B$45),AND($B$45&gt;=0),FALSE)),"Falta a hora cobrada",IFERROR("Hora mínima sem prejuízo: R$ "&amp;FIXED($D$40/($B$29*(1-Config!$B$7)),2)&amp;" (você cobra R$ "&amp;FIXED($B$45,2)&amp;")","Preencha horas e valores"))))</f>
        <v>Hora mínima sem prejuízo: R$ 81,05 (você cobra R$ 180,00)</v>
      </c>
      <c r="I53" s="28" t="str">
        <f>IF(NOT(ISNUMBER($D$40)),IF(IF(ISNUMBER($B$11),$B$11&gt;=0,FALSE),"Horas ou despesas incompletas","Falta o custo-hora"),IF((Config!$B$13&lt;&gt;"Sim"),"Margens inválidas",IF($B$29&lt;=0,"Faltam as horas estimadas",IF(NOT(TRUE),"Regra de risco inválida (Config)",IF(NOT(IF(ISNUMBER($B$45),AND($B$45&gt;=0),FALSE)),"Falta a hora cobrada",IFERROR(IF($B$45&gt;=$B$15,"Baixo",IF($B$45*$B$29*(1-Config!$B$7)&gt;=$D$40,"Médio","Alto")),"Sem base para classificar"))))))</f>
        <v>Baixo</v>
      </c>
      <c r="J53" s="41">
        <f>IF(OR(I53="Baixo",AND(I53="Médio",Config!$B$12="Sim")),E53,-1E+9)</f>
        <v>4825.0158</v>
      </c>
      <c r="K53" s="42" t="str">
        <f>IF(NOT(ISNUMBER($D$40)),IF(IF(ISNUMBER($B$11),$B$11&gt;=0,FALSE),"Corrija o bloco 2 ou 3: etapa sem horas (ou negativa), despesa sem valor ou sem a resposta de reembolso.","Preencha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equilíbrio.",IF(NOT(TRUE),"A regra de risco desta modalidade em Config está vazia ou fora de 0 % a 100 %. Corrija a Config.",IF(NOT(IF(ISNUMBER($B$45),AND($B$45&gt;=0),FALSE)),"Preencha no bloco 1 ou 4 o dado que falta: "&amp;$B$16&amp;".",IFERROR(IF($B$45&gt;=$B$15,"A hora cobrada cobre custo, impostos e margem desejada","A hora cobrada fica abaixo da hora mínima com margem (R$ "&amp;FIXED($B$15,2)&amp;")"),""))))))</f>
        <v>A hora cobrada cobre custo, impostos e margem desejada</v>
      </c>
    </row>
    <row r="54" ht="42" customHeight="1">
      <c r="A54" s="31" t="inlineStr">
        <is>
          <t>Êxito</t>
        </is>
      </c>
      <c r="B54" s="27">
        <f>IF(AND(IF(ISNUMBER($B$46),AND($B$46&gt;=0,$B$46&lt;=1),FALSE),IF(ISNUMBER($B$12),AND($B$12&gt;=0),FALSE),IF(ISNUMBER($B$13),AND($B$13&gt;=0,$B$13&lt;=1),FALSE)),$B$46*$B$14,"")</f>
        <v>8250</v>
      </c>
      <c r="C54" s="27">
        <f>IF(OR((Config!$B$13&lt;&gt;"Sim"),NOT(ISNUMBER(B54))),"",B54*Config!$B$7)</f>
        <v>660</v>
      </c>
      <c r="D54" s="27">
        <f>$D$40</f>
        <v>3951.7842</v>
      </c>
      <c r="E54" s="27">
        <f>IF(AND(ISNUMBER(C54),ISNUMBER(D54)),B54-C54-D54,"")</f>
        <v>3638.2158</v>
      </c>
      <c r="F54" s="39">
        <f>IF(OR(B54=0,NOT(ISNUMBER(E54))),"",E54/B54)</f>
        <v>0.440995854545455</v>
      </c>
      <c r="G54" s="27">
        <f>IF(AND(ISNUMBER($D$40),NOT((Config!$B$13&lt;&gt;"Sim")),AND(IF(ISNUMBER($B$46),AND($B$46&gt;=0,$B$46&lt;=1),FALSE),IF(ISNUMBER($B$12),AND($B$12&gt;=0),FALSE),IF(ISNUMBER($B$13),AND($B$13&gt;=0,$B$13&lt;=1),FALSE))),-$D$40,"")</f>
        <v>-3951.7842</v>
      </c>
      <c r="H54" s="40" t="str">
        <f>IF(NOT(ISNUMBER($D$40)),$D$40,IF((Config!$B$13&lt;&gt;"Sim"),"Margens inválidas (Config)",IF(NOT(AND(IF(ISNUMBER($B$46),AND($B$46&gt;=0,$B$46&lt;=1),FALSE),IF(ISNUMBER($B$12),AND($B$12&gt;=0),FALSE),IF(ISNUMBER($B$13),AND($B$13&gt;=0,$B$13&lt;=1),FALSE))),"Falta % de êxito, valor ou chance",IFERROR(IF(($B$46*$B$12*(1-Config!$B$7))&lt;=0,"Sem percentual de êxito ou valor em discussão: o êxito não paga o custo","Chance mínima de êxito para não ter prejuízo: "&amp;ROUND($D$40/($B$46*$B$12*(1-Config!$B$7))*100,0)&amp;"% (estimada: "&amp;ROUND($B$13*100,0)&amp;"%)"),"Preencha horas e valores"))))</f>
        <v>Chance mínima de êxito para não ter prejuízo: 29% (estimada: 55%)</v>
      </c>
      <c r="I54" s="28" t="str">
        <f>IF(NOT(ISNUMBER($D$40)),IF(IF(ISNUMBER($B$11),$B$11&gt;=0,FALSE),"Horas ou despesas incompletas","Falta o custo-hora"),IF((Config!$B$13&lt;&gt;"Sim"),"Margens inválidas",IF($B$29&lt;=0,"Faltam as horas estimadas",IF(NOT(AND(IF(ISNUMBER(Config!$B$9),AND(Config!$B$9&gt;=0,Config!$B$9&lt;=1),FALSE),IF(ISNUMBER(Config!$B$10),AND(Config!$B$10&gt;=0,Config!$B$10&lt;=1),FALSE))),"Regra de risco inválida (Config)",IF(NOT(AND(IF(ISNUMBER($B$46),AND($B$46&gt;=0,$B$46&lt;=1),FALSE),IF(ISNUMBER($B$12),AND($B$12&gt;=0),FALSE),IF(ISNUMBER($B$13),AND($B$13&gt;=0,$B$13&lt;=1),FALSE))),"Falta % de êxito, valor ou chance",IFERROR(IF(OR($B$13&lt;Config!$B$9,($B$13-Config!$B$10)*($B$46*$B$12*(1-Config!$B$7))&lt;$D$40),"Alto","Médio"),"Sem base para classificar"))))))</f>
        <v>Alto</v>
      </c>
      <c r="J54" s="41">
        <f>IF(OR(I54="Baixo",AND(I54="Médio",Config!$B$12="Sim")),E54,-1E+9)</f>
        <v>-1000000000</v>
      </c>
      <c r="K54" s="42" t="str">
        <f>IF(NOT(ISNUMBER($D$40)),IF(IF(ISNUMBER($B$11),$B$11&gt;=0,FALSE),"Corrija o bloco 2 ou 3: etapa sem horas (ou negativa), despesa sem valor ou sem a resposta de reembolso.","Preencha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equilíbrio.",IF(NOT(AND(IF(ISNUMBER(Config!$B$9),AND(Config!$B$9&gt;=0,Config!$B$9&lt;=1),FALSE),IF(ISNUMBER(Config!$B$10),AND(Config!$B$10&gt;=0,Config!$B$10&lt;=1),FALSE))),"A regra de risco desta modalidade em Config está vazia ou fora de 0 % a 100 %. Corrija a Config.",IF(NOT(AND(IF(ISNUMBER($B$46),AND($B$46&gt;=0,$B$46&lt;=1),FALSE),IF(ISNUMBER($B$12),AND($B$12&gt;=0),FALSE),IF(ISNUMBER($B$13),AND($B$13&gt;=0,$B$13&lt;=1),FALSE))),"Preencha no bloco 1 ou 4 o dado que falta: "&amp;$B$16&amp;".",IFERROR(IF($B$13&lt;Config!$B$9,"Chance estimada abaixo do mínimo aceitável para êxito puro ("&amp;ROUND(Config!$B$9*100,0)&amp;"%)",IF(($B$13-Config!$B$10)*($B$46*$B$12*(1-Config!$B$7))&lt;$D$40,"Chance estimada perto demais do ponto de equilíbrio (ou sem êxito que pague o custo)","Só recebe no fim; o caixa precisa aguentar até lá")),""))))))</f>
        <v>Chance estimada abaixo do mínimo aceitável para êxito puro (60%)</v>
      </c>
    </row>
    <row r="55" ht="42" customHeight="1">
      <c r="A55" s="31" t="inlineStr">
        <is>
          <t>Misto</t>
        </is>
      </c>
      <c r="B55" s="27">
        <f>IF(AND(IF(ISNUMBER($B$47),AND($B$47&gt;=0),FALSE),IF(ISNUMBER($B$48),AND($B$48&gt;=0,$B$48&lt;=1),FALSE),IF(ISNUMBER($B$12),AND($B$12&gt;=0),FALSE),IF(ISNUMBER($B$13),AND($B$13&gt;=0,$B$13&lt;=1),FALSE)),$B$47+$B$48*$B$14,"")</f>
        <v>9450</v>
      </c>
      <c r="C55" s="27">
        <f>IF(OR((Config!$B$13&lt;&gt;"Sim"),NOT(ISNUMBER(B55))),"",B55*Config!$B$7)</f>
        <v>756</v>
      </c>
      <c r="D55" s="27">
        <f>$D$40</f>
        <v>3951.7842</v>
      </c>
      <c r="E55" s="27">
        <f>IF(AND(ISNUMBER(C55),ISNUMBER(D55)),B55-C55-D55,"")</f>
        <v>4742.2158</v>
      </c>
      <c r="F55" s="39">
        <f>IF(OR(B55=0,NOT(ISNUMBER(E55))),"",E55/B55)</f>
        <v>0.501821777777778</v>
      </c>
      <c r="G55" s="27">
        <f>IF(AND(ISNUMBER($D$40),NOT((Config!$B$13&lt;&gt;"Sim")),AND(IF(ISNUMBER($B$47),AND($B$47&gt;=0),FALSE),IF(ISNUMBER($B$48),AND($B$48&gt;=0,$B$48&lt;=1),FALSE),IF(ISNUMBER($B$12),AND($B$12&gt;=0),FALSE),IF(ISNUMBER($B$13),AND($B$13&gt;=0,$B$13&lt;=1),FALSE))),$B$47*(1-Config!$B$7)-$D$40,"")</f>
        <v>188.2158</v>
      </c>
      <c r="H55" s="40" t="str">
        <f>IF(NOT(ISNUMBER($D$40)),$D$40,IF((Config!$B$13&lt;&gt;"Sim"),"Margens inválidas (Config)",IF(NOT(AND(IF(ISNUMBER($B$47),AND($B$47&gt;=0),FALSE),IF(ISNUMBER($B$48),AND($B$48&gt;=0,$B$48&lt;=1),FALSE),IF(ISNUMBER($B$12),AND($B$12&gt;=0),FALSE),IF(ISNUMBER($B$13),AND($B$13&gt;=0,$B$13&lt;=1),FALSE))),"Falta entrada, %, valor ou chance",IFERROR(IF(($D$40-$B$47*(1-Config!$B$7))&lt;=0,"A entrada já cobre o custo do caso; o êxito é margem",IF(($B$48*$B$12*(1-Config!$B$7))&lt;=0,"A entrada não cobre o custo e não há êxito que complete","Chance mínima de êxito para não ter prejuízo: "&amp;ROUND(($D$40-$B$47*(1-Config!$B$7))/($B$48*$B$12*(1-Config!$B$7))*100,0)&amp;"% (estimada: "&amp;ROUND($B$13*100,0)&amp;"%)")),"Preencha horas e valores"))))</f>
        <v>A entrada já cobre o custo do caso; o êxito é margem</v>
      </c>
      <c r="I55" s="28" t="str">
        <f>IF(NOT(ISNUMBER($D$40)),IF(IF(ISNUMBER($B$11),$B$11&gt;=0,FALSE),"Horas ou despesas incompletas","Falta o custo-hora"),IF((Config!$B$13&lt;&gt;"Sim"),"Margens inválidas",IF($B$29&lt;=0,"Faltam as horas estimadas",IF(NOT(IF(ISNUMBER(Config!$B$10),AND(Config!$B$10&gt;=0,Config!$B$10&lt;=1),FALSE)),"Regra de risco inválida (Config)",IF(NOT(AND(IF(ISNUMBER($B$47),AND($B$47&gt;=0),FALSE),IF(ISNUMBER($B$48),AND($B$48&gt;=0,$B$48&lt;=1),FALSE),IF(ISNUMBER($B$12),AND($B$12&gt;=0),FALSE),IF(ISNUMBER($B$13),AND($B$13&gt;=0,$B$13&lt;=1),FALSE))),"Falta entrada, %, valor ou chance",IFERROR(IF(IF(($D$40-$B$47*(1-Config!$B$7))&lt;=0,$B$13&lt;Config!$B$10,($B$13-Config!$B$10)*($B$48*$B$12*(1-Config!$B$7))&lt;($D$40-$B$47*(1-Config!$B$7))),"Alto",IF(($D$40-$B$47*(1-Config!$B$7))&gt;0,"Médio","Baixo")),"Sem base para classificar"))))))</f>
        <v>Baixo</v>
      </c>
      <c r="J55" s="41">
        <f>IF(OR(I55="Baixo",AND(I55="Médio",Config!$B$12="Sim")),E55,-1E+9)</f>
        <v>4742.2158</v>
      </c>
      <c r="K55" s="42" t="str">
        <f>IF(NOT(ISNUMBER($D$40)),IF(IF(ISNUMBER($B$11),$B$11&gt;=0,FALSE),"Corrija o bloco 2 ou 3: etapa sem horas (ou negativa), despesa sem valor ou sem a resposta de reembolso.","Preencha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equilíbrio.",IF(NOT(IF(ISNUMBER(Config!$B$10),AND(Config!$B$10&gt;=0,Config!$B$10&lt;=1),FALSE)),"A regra de risco desta modalidade em Config está vazia ou fora de 0 % a 100 %. Corrija a Config.",IF(NOT(AND(IF(ISNUMBER($B$47),AND($B$47&gt;=0),FALSE),IF(ISNUMBER($B$48),AND($B$48&gt;=0,$B$48&lt;=1),FALSE),IF(ISNUMBER($B$12),AND($B$12&gt;=0),FALSE),IF(ISNUMBER($B$13),AND($B$13&gt;=0,$B$13&lt;=1),FALSE))),"Preencha no bloco 1 ou 4 o dado que falta: "&amp;$B$16&amp;".",IFERROR(IF(($D$40-$B$47*(1-Config!$B$7))&lt;=0,"Entrada cobre o custo: mesmo perdendo, não há prejuízo","Entrada não cobre todo o custo; parte depende do êxito"),""))))))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AND(I52&lt;&gt;"",I52&lt;&gt;"Baixo",I52&lt;&gt;"Médio",I52&lt;&gt;"Faltam as horas estimadas")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1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  <dataValidation sqref="B19:B28" showDropDown="0" showInputMessage="0" showErrorMessage="1" allowBlank="1" errorTitle="Valor" error="Número maior ou igual a zero." type="decimal" operator="greaterThanOrEqual">
      <formula1>0</formula1>
    </dataValidation>
    <dataValidation sqref="B33:B38" showDropDown="0" showInputMessage="0" showErrorMessage="1" allowBlank="1" errorTitle="Valor" error="Número maior ou igual a zero." type="decimal" operator="greaterThanOrEqual">
      <formula1>0</formula1>
    </dataValidation>
    <dataValidation sqref="B44" showDropDown="0" showInputMessage="0" showErrorMessage="1" allowBlank="0" errorTitle="Valor" error="Número maior ou igual a zero." type="decimal" operator="greaterThanOrEqual">
      <formula1>0</formula1>
    </dataValidation>
    <dataValidation sqref="B45" showDropDown="0" showInputMessage="0" showErrorMessage="1" allowBlank="0" errorTitle="Valor" error="Número maior ou igual a zero." type="decimal" operator="greaterThanOrEqual">
      <formula1>0</formula1>
    </dataValidation>
    <dataValidation sqref="B46" showDropDown="0" showInputMessage="0" showErrorMessage="1" allowBlank="0" errorTitle="Valor" error="Número de 0 a 100 %." type="decimal" operator="between">
      <formula1>0</formula1>
      <formula2>1</formula2>
    </dataValidation>
    <dataValidation sqref="B47" showDropDown="0" showInputMessage="0" showErrorMessage="1" allowBlank="0" errorTitle="Valor" error="Número maior ou igual a zero." type="decimal" operator="greaterThanOrEqual">
      <formula1>0</formula1>
    </dataValidation>
    <dataValidation sqref="B48" showDropDown="0" showInputMessage="0" showErrorMessage="1" allowBlank="0" errorTitle="Valor" error="Número de 0 a 100 %." type="decimal" operator="between">
      <formula1>0</formula1>
      <formula2>1</formula2>
    </dataValidation>
    <dataValidation sqref="B12" showDropDown="0" showInputMessage="0" showErrorMessage="1" allowBlank="0" errorTitle="Valor" error="Número maior ou igual a zero." type="decimal" operator="greaterThanOrEqual">
      <formula1>0</formula1>
    </dataValidation>
    <dataValidation sqref="B13" showDropDown="0" showInputMessage="0" showErrorMessage="1" allowBlank="0" errorTitle="Valor" error="Número de 0 a 100 %." type="decimal" operator="between">
      <formula1>0</formula1>
      <formula2>1</formula2>
    </dataValidation>
    <dataValidation sqref="B11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4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A13" s="20" t="inlineStr">
        <is>
          <t>Impostos e margem conferem? (calculado)</t>
        </is>
      </c>
      <c r="B13" s="28" t="str">
        <f>IF(AND(ISNUMBER(B7),ISNUMBER(B8)),IF(AND(B7&gt;=0,B7&lt;1,B8&gt;=0,B8&lt;1,B7+B8&lt;1),"Sim","Não"),"Não")</f>
        <v>Sim</v>
      </c>
      <c r="C13" s="23" t="inlineStr">
        <is>
          <t>"Não" suspende hora mínima, margens, risco e recomendação no Simulador até a Config ser corrigida.</t>
        </is>
      </c>
      <c r="E13" s="21" t="n"/>
    </row>
    <row r="14">
      <c r="A14" s="20" t="inlineStr">
        <is>
          <t>Regras de risco conferem? (calculado)</t>
        </is>
      </c>
      <c r="B14" s="28" t="str">
        <f>IF(AND(ISNUMBER(B9),ISNUMBER(B10),ISNUMBER(B11)),IF(AND(B9&gt;=0,B9&lt;=1,B10&gt;=0,B10&lt;=1,B11&gt;=0,B11&lt;=1,OR(B12="Sim",B12="Não")),"Sim","Não"),"Não")</f>
        <v>Sim</v>
      </c>
      <c r="C14" s="23" t="inlineStr">
        <is>
          <t>"Não" suspende a recomendação: chance mínima e folgas de 0 % a 100 %, e "Aceitar risco médio" = Sim ou Não.</t>
        </is>
      </c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6">
    <dataValidation sqref="B7" showDropDown="0" showInputMessage="0" showErrorMessage="1" allowBlank="0" errorTitle="Percentual" error="Impostos entre 0 % e 99 %, e impostos + margem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Margem entre 0 % e 99 %, e impostos + margem abaixo de 100 %: senão nenhum preço cobre o custo." type="custom">
      <formula1>=IF(ISNUMBER(B8),AND(B8&gt;=0,B8&lt;1,B8+N(B7)&lt;1),FALSE)</formula1>
    </dataValidation>
    <dataValidation sqref="B9" showDropDown="0" showInputMessage="0" showErrorMessage="1" allowBlank="0" error="Percentual entre 0 % e 100 %." type="decimal" operator="between">
      <formula1>0</formula1>
      <formula2>1</formula2>
    </dataValidation>
    <dataValidation sqref="B10" showDropDown="0" showInputMessage="0" showErrorMessage="1" allowBlank="0" error="Percentual entre 0 % e 100 %." type="decimal" operator="between">
      <formula1>0</formula1>
      <formula2>1</formula2>
    </dataValidation>
    <dataValidation sqref="B11" showDropDown="0" showInputMessage="0" showErrorMessage="1" allowBlank="0" error="Percentual entre 0 % e 100 %." type="decimal" operator="between">
      <formula1>0</formula1>
      <formula2>1</formula2>
    </dataValidation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2026-09-24T20:03:53Z</dcterms:created>
  <dcterms:modified xmlns:dcterms="http://purl.org/dc/terms/" xmlns:xsi="http://www.w3.org/2001/XMLSchema-instance" xsi:type="dcterms:W3CDTF">2026-09-24T20:03:53Z</dcterms:modified>
</cp:coreProperties>
</file>