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IF(NOT(ISNUMBER(Config!$B$12)),Config!$B$12,IF(SUMPRODUCT(((('Nossos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casos'!$G$5:$G$204&lt;0))&gt;0)))&amp;" caso(s) incompletos (nº, área, valor ou horas)",COUNTIF('Nossos casos'!$J$5:$J$204,"Abaixo do mínimo")&amp;" de "&amp;(COUNTIF('Nossos casos'!$J$5:$J$204,"Abaixo do mínimo")+COUNTIF('Nossos casos'!$J$5:$J$204,"Na faixa")+COUNTIF('Nossos casos'!$J$5:$J$204,"Acima do alvo"))))</f>
        <v>10 de 38</v>
      </c>
      <c r="F5" s="12" t="n"/>
      <c r="G5" s="18">
        <f>IF(NOT(ISNUMBER(Config!$B$12)),Config!$B$12,IF(SUMPRODUCT(((('Nossos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casos'!$G$5:$G$204&lt;0))&gt;0)))&amp;" caso(s) incompletos (nº, área, valor ou horas)",SUM('Nossos casos'!$K$5:$K$204)))</f>
        <v>11876.6896774193</v>
      </c>
      <c r="H5" s="12" t="n"/>
      <c r="I5" s="19">
        <f>IF(SUMPRODUCT(((('Nossos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casos'!$G$5:$G$204&lt;0))&gt;0)))&gt;0,SUMPRODUCT(((('Nossos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casos'!$G$5:$G$204&lt;0))&gt;0)))&amp;" caso(s) incompletos (nº, área, valor ou horas)",IFERROR(SUM('Nossos casos'!$F$5:$F$204)/SUM('Nossos casos'!$G$5:$G$204),""))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IF(OR(A9="",C9=""),"",IF(NOT(IF(ISNUMBER(C9),C9&gt;=0,FALSE)),"horas inválidas",IF(AND(ISNUMBER(C9),ISNUMBER(D9),C9&gt;D9),"faixa invertida (de &gt; até)",IF(ISNUMBER(Config!$B$12),C9*Config!$B$12,Config!$B$12))))</f>
        <v>383.640387096774</v>
      </c>
      <c r="G9" s="25">
        <f>IF(OR(A9="",D9=""),"",IF(NOT(IF(ISNUMBER(D9),D9&gt;=0,FALSE)),"horas inválidas",IF(AND(ISNUMBER(C9),ISNUMBER(D9),C9&gt;D9),"faixa invertida (de &gt; até)",IF(ISNUMBER(Config!$B$13),D9*Config!$B$13,Config!$B$13))))</f>
        <v>1349.5434893617</v>
      </c>
      <c r="H9" s="25">
        <f>IF(OR(NOT(ISNUMBER(F9)),NOT(ISNUMBER(G9))),"",(F9+G9)/2)</f>
        <v>866.591938229238</v>
      </c>
      <c r="I9" s="26" t="str">
        <f>IF(A9="","",IF(AND(ISNUMBER(C9),ISNUMBER(D9),C9&gt;D9),"Corrija a faixa de horas: o de é maior que o até",IF(E9="Hora","Cobre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IF(OR(A10="",C10=""),"",IF(NOT(IF(ISNUMBER(C10),C10&gt;=0,FALSE)),"horas inválidas",IF(AND(ISNUMBER(C10),ISNUMBER(D10),C10&gt;D10),"faixa invertida (de &gt; até)",IF(ISNUMBER(Config!$B$12),C10*Config!$B$12,Config!$B$12))))</f>
        <v>767.280774193548</v>
      </c>
      <c r="G10" s="25">
        <f>IF(OR(A10="",D10=""),"",IF(NOT(IF(ISNUMBER(D10),D10&gt;=0,FALSE)),"horas inválidas",IF(AND(ISNUMBER(C10),ISNUMBER(D10),C10&gt;D10),"faixa invertida (de &gt; até)",IF(ISNUMBER(Config!$B$13),D10*Config!$B$13,Config!$B$13))))</f>
        <v>2530.39404255319</v>
      </c>
      <c r="H10" s="25">
        <f>IF(OR(NOT(ISNUMBER(F10)),NOT(ISNUMBER(G10))),"",(F10+G10)/2)</f>
        <v>1648.83740837337</v>
      </c>
      <c r="I10" s="26" t="str">
        <f>IF(A10="","",IF(AND(ISNUMBER(C10),ISNUMBER(D10),C10&gt;D10),"Corrija a faixa de horas: o de é maior que o até",IF(E10="Hora","Cobre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IF(OR(A11="",C11=""),"",IF(NOT(IF(ISNUMBER(C11),C11&gt;=0,FALSE)),"horas inválidas",IF(AND(ISNUMBER(C11),ISNUMBER(D11),C11&gt;D11),"faixa invertida (de &gt; até)",IF(ISNUMBER(Config!$B$12),C11*Config!$B$12,Config!$B$12))))</f>
        <v>6394.0064516129</v>
      </c>
      <c r="G11" s="25">
        <f>IF(OR(A11="",D11=""),"",IF(NOT(IF(ISNUMBER(D11),D11&gt;=0,FALSE)),"horas inválidas",IF(AND(ISNUMBER(C11),ISNUMBER(D11),C11&gt;D11),"faixa invertida (de &gt; até)",IF(ISNUMBER(Config!$B$13),D11*Config!$B$13,Config!$B$13))))</f>
        <v>16869.2936170213</v>
      </c>
      <c r="H11" s="25">
        <f>IF(OR(NOT(ISNUMBER(F11)),NOT(ISNUMBER(G11))),"",(F11+G11)/2)</f>
        <v>11631.6500343171</v>
      </c>
      <c r="I11" s="26" t="str">
        <f>IF(A11="","",IF(AND(ISNUMBER(C11),ISNUMBER(D11),C11&gt;D11),"Corrija a faixa de horas: o de é maior que o até",IF(E11="Hora","Cobre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IF(OR(A12="",C12=""),"",IF(NOT(IF(ISNUMBER(C12),C12&gt;=0,FALSE)),"horas inválidas",IF(AND(ISNUMBER(C12),ISNUMBER(D12),C12&gt;D12),"faixa invertida (de &gt; até)",IF(ISNUMBER(Config!$B$12),C12*Config!$B$12,Config!$B$12))))</f>
        <v>1918.20193548387</v>
      </c>
      <c r="G12" s="25">
        <f>IF(OR(A12="",D12=""),"",IF(NOT(IF(ISNUMBER(D12),D12&gt;=0,FALSE)),"horas inválidas",IF(AND(ISNUMBER(C12),ISNUMBER(D12),C12&gt;D12),"faixa invertida (de &gt; até)",IF(ISNUMBER(Config!$B$13),D12*Config!$B$13,Config!$B$13))))</f>
        <v>5904.25276595745</v>
      </c>
      <c r="H12" s="25">
        <f>IF(OR(NOT(ISNUMBER(F12)),NOT(ISNUMBER(G12))),"",(F12+G12)/2)</f>
        <v>3911.22735072066</v>
      </c>
      <c r="I12" s="26" t="str">
        <f>IF(A12="","",IF(AND(ISNUMBER(C12),ISNUMBER(D12),C12&gt;D12),"Corrija a faixa de horas: o de é maior que o até",IF(E12="Hora","Cobre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IF(OR(A13="",C13=""),"",IF(NOT(IF(ISNUMBER(C13),C13&gt;=0,FALSE)),"horas inválidas",IF(AND(ISNUMBER(C13),ISNUMBER(D13),C13&gt;D13),"faixa invertida (de &gt; até)",IF(ISNUMBER(Config!$B$12),C13*Config!$B$12,Config!$B$12))))</f>
        <v>1023.04103225806</v>
      </c>
      <c r="G13" s="25">
        <f>IF(OR(A13="",D13=""),"",IF(NOT(IF(ISNUMBER(D13),D13&gt;=0,FALSE)),"horas inválidas",IF(AND(ISNUMBER(C13),ISNUMBER(D13),C13&gt;D13),"faixa invertida (de &gt; até)",IF(ISNUMBER(Config!$B$13),D13*Config!$B$13,Config!$B$13))))</f>
        <v>4217.32340425532</v>
      </c>
      <c r="H13" s="25">
        <f>IF(OR(NOT(ISNUMBER(F13)),NOT(ISNUMBER(G13))),"",(F13+G13)/2)</f>
        <v>2620.18221825669</v>
      </c>
      <c r="I13" s="26" t="str">
        <f>IF(A13="","",IF(AND(ISNUMBER(C13),ISNUMBER(D13),C13&gt;D13),"Corrija a faixa de horas: o de é maior que o até",IF(E13="Hora","Cobre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IF(OR(A14="",C14=""),"",IF(NOT(IF(ISNUMBER(C14),C14&gt;=0,FALSE)),"horas inválidas",IF(AND(ISNUMBER(C14),ISNUMBER(D14),C14&gt;D14),"faixa invertida (de &gt; até)",IF(ISNUMBER(Config!$B$12),C14*Config!$B$12,Config!$B$12))))</f>
        <v>383.640387096774</v>
      </c>
      <c r="G14" s="25">
        <f>IF(OR(A14="",D14=""),"",IF(NOT(IF(ISNUMBER(D14),D14&gt;=0,FALSE)),"horas inválidas",IF(AND(ISNUMBER(C14),ISNUMBER(D14),C14&gt;D14),"faixa invertida (de &gt; até)",IF(ISNUMBER(Config!$B$13),D14*Config!$B$13,Config!$B$13))))</f>
        <v>1349.5434893617</v>
      </c>
      <c r="H14" s="25">
        <f>IF(OR(NOT(ISNUMBER(F14)),NOT(ISNUMBER(G14))),"",(F14+G14)/2)</f>
        <v>866.591938229238</v>
      </c>
      <c r="I14" s="26" t="str">
        <f>IF(A14="","",IF(AND(ISNUMBER(C14),ISNUMBER(D14),C14&gt;D14),"Corrija a faixa de horas: o de é maior que o até",IF(E14="Hora","Cobre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IF(OR(A15="",C15=""),"",IF(NOT(IF(ISNUMBER(C15),C15&gt;=0,FALSE)),"horas inválidas",IF(AND(ISNUMBER(C15),ISNUMBER(D15),C15&gt;D15),"faixa invertida (de &gt; até)",IF(ISNUMBER(Config!$B$12),C15*Config!$B$12,Config!$B$12))))</f>
        <v>767.280774193548</v>
      </c>
      <c r="G15" s="25">
        <f>IF(OR(A15="",D15=""),"",IF(NOT(IF(ISNUMBER(D15),D15&gt;=0,FALSE)),"horas inválidas",IF(AND(ISNUMBER(C15),ISNUMBER(D15),C15&gt;D15),"faixa invertida (de &gt; até)",IF(ISNUMBER(Config!$B$13),D15*Config!$B$13,Config!$B$13))))</f>
        <v>2530.39404255319</v>
      </c>
      <c r="H15" s="25">
        <f>IF(OR(NOT(ISNUMBER(F15)),NOT(ISNUMBER(G15))),"",(F15+G15)/2)</f>
        <v>1648.83740837337</v>
      </c>
      <c r="I15" s="26" t="str">
        <f>IF(A15="","",IF(AND(ISNUMBER(C15),ISNUMBER(D15),C15&gt;D15),"Corrija a faixa de horas: o de é maior que o até",IF(E15="Hora","Cobre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IF(OR(A16="",C16=""),"",IF(NOT(IF(ISNUMBER(C16),C16&gt;=0,FALSE)),"horas inválidas",IF(AND(ISNUMBER(C16),ISNUMBER(D16),C16&gt;D16),"faixa invertida (de &gt; até)",IF(ISNUMBER(Config!$B$12),C16*Config!$B$12,Config!$B$12))))</f>
        <v>4475.80451612903</v>
      </c>
      <c r="G16" s="25">
        <f>IF(OR(A16="",D16=""),"",IF(NOT(IF(ISNUMBER(D16),D16&gt;=0,FALSE)),"horas inválidas",IF(AND(ISNUMBER(C16),ISNUMBER(D16),C16&gt;D16),"faixa invertida (de &gt; até)",IF(ISNUMBER(Config!$B$13),D16*Config!$B$13,Config!$B$13))))</f>
        <v>11808.5055319149</v>
      </c>
      <c r="H16" s="25">
        <f>IF(OR(NOT(ISNUMBER(F16)),NOT(ISNUMBER(G16))),"",(F16+G16)/2)</f>
        <v>8142.15502402196</v>
      </c>
      <c r="I16" s="26" t="str">
        <f>IF(A16="","",IF(AND(ISNUMBER(C16),ISNUMBER(D16),C16&gt;D16),"Corrija a faixa de horas: o de é maior que o até",IF(E16="Hora","Cobre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IF(OR(A17="",C17=""),"",IF(NOT(IF(ISNUMBER(C17),C17&gt;=0,FALSE)),"horas inválidas",IF(AND(ISNUMBER(C17),ISNUMBER(D17),C17&gt;D17),"faixa invertida (de &gt; até)",IF(ISNUMBER(Config!$B$12),C17*Config!$B$12,Config!$B$12))))</f>
        <v>1918.20193548387</v>
      </c>
      <c r="G17" s="25">
        <f>IF(OR(A17="",D17=""),"",IF(NOT(IF(ISNUMBER(D17),D17&gt;=0,FALSE)),"horas inválidas",IF(AND(ISNUMBER(C17),ISNUMBER(D17),C17&gt;D17),"faixa invertida (de &gt; até)",IF(ISNUMBER(Config!$B$13),D17*Config!$B$13,Config!$B$13))))</f>
        <v>5904.25276595745</v>
      </c>
      <c r="H17" s="25">
        <f>IF(OR(NOT(ISNUMBER(F17)),NOT(ISNUMBER(G17))),"",(F17+G17)/2)</f>
        <v>3911.22735072066</v>
      </c>
      <c r="I17" s="26" t="str">
        <f>IF(A17="","",IF(AND(ISNUMBER(C17),ISNUMBER(D17),C17&gt;D17),"Corrija a faixa de horas: o de é maior que o até",IF(E17="Hora","Cobre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IF(OR(A18="",C18=""),"",IF(NOT(IF(ISNUMBER(C18),C18&gt;=0,FALSE)),"horas inválidas",IF(AND(ISNUMBER(C18),ISNUMBER(D18),C18&gt;D18),"faixa invertida (de &gt; até)",IF(ISNUMBER(Config!$B$12),C18*Config!$B$12,Config!$B$12))))</f>
        <v>1023.04103225806</v>
      </c>
      <c r="G18" s="25">
        <f>IF(OR(A18="",D18=""),"",IF(NOT(IF(ISNUMBER(D18),D18&gt;=0,FALSE)),"horas inválidas",IF(AND(ISNUMBER(C18),ISNUMBER(D18),C18&gt;D18),"faixa invertida (de &gt; até)",IF(ISNUMBER(Config!$B$13),D18*Config!$B$13,Config!$B$13))))</f>
        <v>4217.32340425532</v>
      </c>
      <c r="H18" s="25">
        <f>IF(OR(NOT(ISNUMBER(F18)),NOT(ISNUMBER(G18))),"",(F18+G18)/2)</f>
        <v>2620.18221825669</v>
      </c>
      <c r="I18" s="26" t="str">
        <f>IF(A18="","",IF(AND(ISNUMBER(C18),ISNUMBER(D18),C18&gt;D18),"Corrija a faixa de horas: o de é maior que o até",IF(E18="Hora","Cobre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IF(OR(A19="",C19=""),"",IF(NOT(IF(ISNUMBER(C19),C19&gt;=0,FALSE)),"horas inválidas",IF(AND(ISNUMBER(C19),ISNUMBER(D19),C19&gt;D19),"faixa invertida (de &gt; até)",IF(ISNUMBER(Config!$B$12),C19*Config!$B$12,Config!$B$12))))</f>
        <v>383.640387096774</v>
      </c>
      <c r="G19" s="25">
        <f>IF(OR(A19="",D19=""),"",IF(NOT(IF(ISNUMBER(D19),D19&gt;=0,FALSE)),"horas inválidas",IF(AND(ISNUMBER(C19),ISNUMBER(D19),C19&gt;D19),"faixa invertida (de &gt; até)",IF(ISNUMBER(Config!$B$13),D19*Config!$B$13,Config!$B$13))))</f>
        <v>1349.5434893617</v>
      </c>
      <c r="H19" s="25">
        <f>IF(OR(NOT(ISNUMBER(F19)),NOT(ISNUMBER(G19))),"",(F19+G19)/2)</f>
        <v>866.591938229238</v>
      </c>
      <c r="I19" s="26" t="str">
        <f>IF(A19="","",IF(AND(ISNUMBER(C19),ISNUMBER(D19),C19&gt;D19),"Corrija a faixa de horas: o de é maior que o até",IF(E19="Hora","Cobre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IF(OR(A20="",C20=""),"",IF(NOT(IF(ISNUMBER(C20),C20&gt;=0,FALSE)),"horas inválidas",IF(AND(ISNUMBER(C20),ISNUMBER(D20),C20&gt;D20),"faixa invertida (de &gt; até)",IF(ISNUMBER(Config!$B$12),C20*Config!$B$12,Config!$B$12))))</f>
        <v>767.280774193548</v>
      </c>
      <c r="G20" s="25">
        <f>IF(OR(A20="",D20=""),"",IF(NOT(IF(ISNUMBER(D20),D20&gt;=0,FALSE)),"horas inválidas",IF(AND(ISNUMBER(C20),ISNUMBER(D20),C20&gt;D20),"faixa invertida (de &gt; até)",IF(ISNUMBER(Config!$B$13),D20*Config!$B$13,Config!$B$13))))</f>
        <v>2530.39404255319</v>
      </c>
      <c r="H20" s="25">
        <f>IF(OR(NOT(ISNUMBER(F20)),NOT(ISNUMBER(G20))),"",(F20+G20)/2)</f>
        <v>1648.83740837337</v>
      </c>
      <c r="I20" s="26" t="str">
        <f>IF(A20="","",IF(AND(ISNUMBER(C20),ISNUMBER(D20),C20&gt;D20),"Corrija a faixa de horas: o de é maior que o até",IF(E20="Hora","Cobre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IF(OR(A21="",C21=""),"",IF(NOT(IF(ISNUMBER(C21),C21&gt;=0,FALSE)),"horas inválidas",IF(AND(ISNUMBER(C21),ISNUMBER(D21),C21&gt;D21),"faixa invertida (de &gt; até)",IF(ISNUMBER(Config!$B$12),C21*Config!$B$12,Config!$B$12))))</f>
        <v>3836.40387096774</v>
      </c>
      <c r="G21" s="25">
        <f>IF(OR(A21="",D21=""),"",IF(NOT(IF(ISNUMBER(D21),D21&gt;=0,FALSE)),"horas inválidas",IF(AND(ISNUMBER(C21),ISNUMBER(D21),C21&gt;D21),"faixa invertida (de &gt; até)",IF(ISNUMBER(Config!$B$13),D21*Config!$B$13,Config!$B$13))))</f>
        <v>10121.5761702128</v>
      </c>
      <c r="H21" s="25">
        <f>IF(OR(NOT(ISNUMBER(F21)),NOT(ISNUMBER(G21))),"",(F21+G21)/2)</f>
        <v>6978.99002059025</v>
      </c>
      <c r="I21" s="26" t="str">
        <f>IF(A21="","",IF(AND(ISNUMBER(C21),ISNUMBER(D21),C21&gt;D21),"Corrija a faixa de horas: o de é maior que o até",IF(E21="Hora","Cobre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IF(OR(A22="",C22=""),"",IF(NOT(IF(ISNUMBER(C22),C22&gt;=0,FALSE)),"horas inválidas",IF(AND(ISNUMBER(C22),ISNUMBER(D22),C22&gt;D22),"faixa invertida (de &gt; até)",IF(ISNUMBER(Config!$B$12),C22*Config!$B$12,Config!$B$12))))</f>
        <v>1918.20193548387</v>
      </c>
      <c r="G22" s="25">
        <f>IF(OR(A22="",D22=""),"",IF(NOT(IF(ISNUMBER(D22),D22&gt;=0,FALSE)),"horas inválidas",IF(AND(ISNUMBER(C22),ISNUMBER(D22),C22&gt;D22),"faixa invertida (de &gt; até)",IF(ISNUMBER(Config!$B$13),D22*Config!$B$13,Config!$B$13))))</f>
        <v>5904.25276595745</v>
      </c>
      <c r="H22" s="25">
        <f>IF(OR(NOT(ISNUMBER(F22)),NOT(ISNUMBER(G22))),"",(F22+G22)/2)</f>
        <v>3911.22735072066</v>
      </c>
      <c r="I22" s="26" t="str">
        <f>IF(A22="","",IF(AND(ISNUMBER(C22),ISNUMBER(D22),C22&gt;D22),"Corrija a faixa de horas: o de é maior que o até",IF(E22="Hora","Cobre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IF(OR(A23="",C23=""),"",IF(NOT(IF(ISNUMBER(C23),C23&gt;=0,FALSE)),"horas inválidas",IF(AND(ISNUMBER(C23),ISNUMBER(D23),C23&gt;D23),"faixa invertida (de &gt; até)",IF(ISNUMBER(Config!$B$12),C23*Config!$B$12,Config!$B$12))))</f>
        <v>1023.04103225806</v>
      </c>
      <c r="G23" s="25">
        <f>IF(OR(A23="",D23=""),"",IF(NOT(IF(ISNUMBER(D23),D23&gt;=0,FALSE)),"horas inválidas",IF(AND(ISNUMBER(C23),ISNUMBER(D23),C23&gt;D23),"faixa invertida (de &gt; até)",IF(ISNUMBER(Config!$B$13),D23*Config!$B$13,Config!$B$13))))</f>
        <v>4217.32340425532</v>
      </c>
      <c r="H23" s="25">
        <f>IF(OR(NOT(ISNUMBER(F23)),NOT(ISNUMBER(G23))),"",(F23+G23)/2)</f>
        <v>2620.18221825669</v>
      </c>
      <c r="I23" s="26" t="str">
        <f>IF(A23="","",IF(AND(ISNUMBER(C23),ISNUMBER(D23),C23&gt;D23),"Corrija a faixa de horas: o de é maior que o até",IF(E23="Hora","Cobre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IF(OR(A24="",C24=""),"",IF(NOT(IF(ISNUMBER(C24),C24&gt;=0,FALSE)),"horas inválidas",IF(AND(ISNUMBER(C24),ISNUMBER(D24),C24&gt;D24),"faixa invertida (de &gt; até)",IF(ISNUMBER(Config!$B$12),C24*Config!$B$12,Config!$B$12))))</f>
        <v>511.520516129032</v>
      </c>
      <c r="G24" s="25">
        <f>IF(OR(A24="",D24=""),"",IF(NOT(IF(ISNUMBER(D24),D24&gt;=0,FALSE)),"horas inválidas",IF(AND(ISNUMBER(C24),ISNUMBER(D24),C24&gt;D24),"faixa invertida (de &gt; até)",IF(ISNUMBER(Config!$B$13),D24*Config!$B$13,Config!$B$13))))</f>
        <v>2024.31523404255</v>
      </c>
      <c r="H24" s="25">
        <f>IF(OR(NOT(ISNUMBER(F24)),NOT(ISNUMBER(G24))),"",(F24+G24)/2)</f>
        <v>1267.91787508579</v>
      </c>
      <c r="I24" s="26" t="str">
        <f>IF(A24="","",IF(AND(ISNUMBER(C24),ISNUMBER(D24),C24&gt;D24),"Corrija a faixa de horas: o de é maior que o até",IF(E24="Hora","Cobre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IF(OR(A25="",C25=""),"",IF(NOT(IF(ISNUMBER(C25),C25&gt;=0,FALSE)),"horas inválidas",IF(AND(ISNUMBER(C25),ISNUMBER(D25),C25&gt;D25),"faixa invertida (de &gt; até)",IF(ISNUMBER(Config!$B$12),C25*Config!$B$12,Config!$B$12))))</f>
        <v>767.280774193548</v>
      </c>
      <c r="G25" s="25">
        <f>IF(OR(A25="",D25=""),"",IF(NOT(IF(ISNUMBER(D25),D25&gt;=0,FALSE)),"horas inválidas",IF(AND(ISNUMBER(C25),ISNUMBER(D25),C25&gt;D25),"faixa invertida (de &gt; até)",IF(ISNUMBER(Config!$B$13),D25*Config!$B$13,Config!$B$13))))</f>
        <v>2530.39404255319</v>
      </c>
      <c r="H25" s="25">
        <f>IF(OR(NOT(ISNUMBER(F25)),NOT(ISNUMBER(G25))),"",(F25+G25)/2)</f>
        <v>1648.83740837337</v>
      </c>
      <c r="I25" s="26" t="str">
        <f>IF(A25="","",IF(AND(ISNUMBER(C25),ISNUMBER(D25),C25&gt;D25),"Corrija a faixa de horas: o de é maior que o até",IF(E25="Hora","Cobre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IF(OR(A26="",C26=""),"",IF(NOT(IF(ISNUMBER(C26),C26&gt;=0,FALSE)),"horas inválidas",IF(AND(ISNUMBER(C26),ISNUMBER(D26),C26&gt;D26),"faixa invertida (de &gt; até)",IF(ISNUMBER(Config!$B$12),C26*Config!$B$12,Config!$B$12))))</f>
        <v>7672.80774193548</v>
      </c>
      <c r="G26" s="25">
        <f>IF(OR(A26="",D26=""),"",IF(NOT(IF(ISNUMBER(D26),D26&gt;=0,FALSE)),"horas inválidas",IF(AND(ISNUMBER(C26),ISNUMBER(D26),C26&gt;D26),"faixa invertida (de &gt; até)",IF(ISNUMBER(Config!$B$13),D26*Config!$B$13,Config!$B$13))))</f>
        <v>20243.1523404255</v>
      </c>
      <c r="H26" s="25">
        <f>IF(OR(NOT(ISNUMBER(F26)),NOT(ISNUMBER(G26))),"",(F26+G26)/2)</f>
        <v>13957.9800411805</v>
      </c>
      <c r="I26" s="26" t="str">
        <f>IF(A26="","",IF(AND(ISNUMBER(C26),ISNUMBER(D26),C26&gt;D26),"Corrija a faixa de horas: o de é maior que o até",IF(E26="Hora","Cobre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IF(OR(A27="",C27=""),"",IF(NOT(IF(ISNUMBER(C27),C27&gt;=0,FALSE)),"horas inválidas",IF(AND(ISNUMBER(C27),ISNUMBER(D27),C27&gt;D27),"faixa invertida (de &gt; até)",IF(ISNUMBER(Config!$B$12),C27*Config!$B$12,Config!$B$12))))</f>
        <v>1918.20193548387</v>
      </c>
      <c r="G27" s="25">
        <f>IF(OR(A27="",D27=""),"",IF(NOT(IF(ISNUMBER(D27),D27&gt;=0,FALSE)),"horas inválidas",IF(AND(ISNUMBER(C27),ISNUMBER(D27),C27&gt;D27),"faixa invertida (de &gt; até)",IF(ISNUMBER(Config!$B$13),D27*Config!$B$13,Config!$B$13))))</f>
        <v>5904.25276595745</v>
      </c>
      <c r="H27" s="25">
        <f>IF(OR(NOT(ISNUMBER(F27)),NOT(ISNUMBER(G27))),"",(F27+G27)/2)</f>
        <v>3911.22735072066</v>
      </c>
      <c r="I27" s="26" t="str">
        <f>IF(A27="","",IF(AND(ISNUMBER(C27),ISNUMBER(D27),C27&gt;D27),"Corrija a faixa de horas: o de é maior que o até",IF(E27="Hora","Cobre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IF(OR(A28="",C28=""),"",IF(NOT(IF(ISNUMBER(C28),C28&gt;=0,FALSE)),"horas inválidas",IF(AND(ISNUMBER(C28),ISNUMBER(D28),C28&gt;D28),"faixa invertida (de &gt; até)",IF(ISNUMBER(Config!$B$12),C28*Config!$B$12,Config!$B$12))))</f>
        <v>1023.04103225806</v>
      </c>
      <c r="G28" s="25">
        <f>IF(OR(A28="",D28=""),"",IF(NOT(IF(ISNUMBER(D28),D28&gt;=0,FALSE)),"horas inválidas",IF(AND(ISNUMBER(C28),ISNUMBER(D28),C28&gt;D28),"faixa invertida (de &gt; até)",IF(ISNUMBER(Config!$B$13),D28*Config!$B$13,Config!$B$13))))</f>
        <v>4217.32340425532</v>
      </c>
      <c r="H28" s="25">
        <f>IF(OR(NOT(ISNUMBER(F28)),NOT(ISNUMBER(G28))),"",(F28+G28)/2)</f>
        <v>2620.18221825669</v>
      </c>
      <c r="I28" s="26" t="str">
        <f>IF(A28="","",IF(AND(ISNUMBER(C28),ISNUMBER(D28),C28&gt;D28),"Corrija a faixa de horas: o de é maior que o até",IF(E28="Hora","Cobre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IF(OR(A29="",C29=""),"",IF(NOT(IF(ISNUMBER(C29),C29&gt;=0,FALSE)),"horas inválidas",IF(AND(ISNUMBER(C29),ISNUMBER(D29),C29&gt;D29),"faixa invertida (de &gt; até)",IF(ISNUMBER(Config!$B$12),C29*Config!$B$12,Config!$B$12))))</f>
        <v>383.640387096774</v>
      </c>
      <c r="G29" s="25">
        <f>IF(OR(A29="",D29=""),"",IF(NOT(IF(ISNUMBER(D29),D29&gt;=0,FALSE)),"horas inválidas",IF(AND(ISNUMBER(C29),ISNUMBER(D29),C29&gt;D29),"faixa invertida (de &gt; até)",IF(ISNUMBER(Config!$B$13),D29*Config!$B$13,Config!$B$13))))</f>
        <v>1349.5434893617</v>
      </c>
      <c r="H29" s="25">
        <f>IF(OR(NOT(ISNUMBER(F29)),NOT(ISNUMBER(G29))),"",(F29+G29)/2)</f>
        <v>866.591938229238</v>
      </c>
      <c r="I29" s="26" t="str">
        <f>IF(A29="","",IF(AND(ISNUMBER(C29),ISNUMBER(D29),C29&gt;D29),"Corrija a faixa de horas: o de é maior que o até",IF(E29="Hora","Cobre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IF(OR(A30="",C30=""),"",IF(NOT(IF(ISNUMBER(C30),C30&gt;=0,FALSE)),"horas inválidas",IF(AND(ISNUMBER(C30),ISNUMBER(D30),C30&gt;D30),"faixa invertida (de &gt; até)",IF(ISNUMBER(Config!$B$12),C30*Config!$B$12,Config!$B$12))))</f>
        <v>767.280774193548</v>
      </c>
      <c r="G30" s="25">
        <f>IF(OR(A30="",D30=""),"",IF(NOT(IF(ISNUMBER(D30),D30&gt;=0,FALSE)),"horas inválidas",IF(AND(ISNUMBER(C30),ISNUMBER(D30),C30&gt;D30),"faixa invertida (de &gt; até)",IF(ISNUMBER(Config!$B$13),D30*Config!$B$13,Config!$B$13))))</f>
        <v>2530.39404255319</v>
      </c>
      <c r="H30" s="25">
        <f>IF(OR(NOT(ISNUMBER(F30)),NOT(ISNUMBER(G30))),"",(F30+G30)/2)</f>
        <v>1648.83740837337</v>
      </c>
      <c r="I30" s="26" t="str">
        <f>IF(A30="","",IF(AND(ISNUMBER(C30),ISNUMBER(D30),C30&gt;D30),"Corrija a faixa de horas: o de é maior que o até",IF(E30="Hora","Cobre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IF(OR(A31="",C31=""),"",IF(NOT(IF(ISNUMBER(C31),C31&gt;=0,FALSE)),"horas inválidas",IF(AND(ISNUMBER(C31),ISNUMBER(D31),C31&gt;D31),"faixa invertida (de &gt; até)",IF(ISNUMBER(Config!$B$12),C31*Config!$B$12,Config!$B$12))))</f>
        <v>3836.40387096774</v>
      </c>
      <c r="G31" s="25">
        <f>IF(OR(A31="",D31=""),"",IF(NOT(IF(ISNUMBER(D31),D31&gt;=0,FALSE)),"horas inválidas",IF(AND(ISNUMBER(C31),ISNUMBER(D31),C31&gt;D31),"faixa invertida (de &gt; até)",IF(ISNUMBER(Config!$B$13),D31*Config!$B$13,Config!$B$13))))</f>
        <v>11808.5055319149</v>
      </c>
      <c r="H31" s="25">
        <f>IF(OR(NOT(ISNUMBER(F31)),NOT(ISNUMBER(G31))),"",(F31+G31)/2)</f>
        <v>7822.45470144132</v>
      </c>
      <c r="I31" s="26" t="str">
        <f>IF(A31="","",IF(AND(ISNUMBER(C31),ISNUMBER(D31),C31&gt;D31),"Corrija a faixa de horas: o de é maior que o até",IF(E31="Hora","Cobre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IF(OR(A32="",C32=""),"",IF(NOT(IF(ISNUMBER(C32),C32&gt;=0,FALSE)),"horas inválidas",IF(AND(ISNUMBER(C32),ISNUMBER(D32),C32&gt;D32),"faixa invertida (de &gt; até)",IF(ISNUMBER(Config!$B$12),C32*Config!$B$12,Config!$B$12))))</f>
        <v>1918.20193548387</v>
      </c>
      <c r="G32" s="25">
        <f>IF(OR(A32="",D32=""),"",IF(NOT(IF(ISNUMBER(D32),D32&gt;=0,FALSE)),"horas inválidas",IF(AND(ISNUMBER(C32),ISNUMBER(D32),C32&gt;D32),"faixa invertida (de &gt; até)",IF(ISNUMBER(Config!$B$13),D32*Config!$B$13,Config!$B$13))))</f>
        <v>5904.25276595745</v>
      </c>
      <c r="H32" s="25">
        <f>IF(OR(NOT(ISNUMBER(F32)),NOT(ISNUMBER(G32))),"",(F32+G32)/2)</f>
        <v>3911.22735072066</v>
      </c>
      <c r="I32" s="26" t="str">
        <f>IF(A32="","",IF(AND(ISNUMBER(C32),ISNUMBER(D32),C32&gt;D32),"Corrija a faixa de horas: o de é maior que o até",IF(E32="Hora","Cobre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IF(OR(A33="",C33=""),"",IF(NOT(IF(ISNUMBER(C33),C33&gt;=0,FALSE)),"horas inválidas",IF(AND(ISNUMBER(C33),ISNUMBER(D33),C33&gt;D33),"faixa invertida (de &gt; até)",IF(ISNUMBER(Config!$B$12),C33*Config!$B$12,Config!$B$12))))</f>
        <v>1023.04103225806</v>
      </c>
      <c r="G33" s="25">
        <f>IF(OR(A33="",D33=""),"",IF(NOT(IF(ISNUMBER(D33),D33&gt;=0,FALSE)),"horas inválidas",IF(AND(ISNUMBER(C33),ISNUMBER(D33),C33&gt;D33),"faixa invertida (de &gt; até)",IF(ISNUMBER(Config!$B$13),D33*Config!$B$13,Config!$B$13))))</f>
        <v>4217.32340425532</v>
      </c>
      <c r="H33" s="25">
        <f>IF(OR(NOT(ISNUMBER(F33)),NOT(ISNUMBER(G33))),"",(F33+G33)/2)</f>
        <v>2620.18221825669</v>
      </c>
      <c r="I33" s="26" t="str">
        <f>IF(A33="","",IF(AND(ISNUMBER(C33),ISNUMBER(D33),C33&gt;D33),"Corrija a faixa de horas: o de é maior que o até",IF(E33="Hora","Cobre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IF(OR(A34="",C34=""),"",IF(NOT(IF(ISNUMBER(C34),C34&gt;=0,FALSE)),"horas inválidas",IF(AND(ISNUMBER(C34),ISNUMBER(D34),C34&gt;D34),"faixa invertida (de &gt; até)",IF(ISNUMBER(Config!$B$12),C34*Config!$B$12,Config!$B$12))))</f>
        <v/>
      </c>
      <c r="G34" s="25">
        <f>IF(OR(A34="",D34=""),"",IF(NOT(IF(ISNUMBER(D34),D34&gt;=0,FALSE)),"horas inválidas",IF(AND(ISNUMBER(C34),ISNUMBER(D34),C34&gt;D34),"faixa invertida (de &gt; até)",IF(ISNUMBER(Config!$B$13),D34*Config!$B$13,Config!$B$13))))</f>
        <v/>
      </c>
      <c r="H34" s="25">
        <f>IF(OR(NOT(ISNUMBER(F34)),NOT(ISNUMBER(G34))),"",(F34+G34)/2)</f>
        <v/>
      </c>
      <c r="I34" s="26">
        <f>IF(A34="","",IF(AND(ISNUMBER(C34),ISNUMBER(D34),C34&gt;D34),"Corrija a faixa de horas: o de é maior que o até",IF(E34="Hora","Cobre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IF(OR(A35="",C35=""),"",IF(NOT(IF(ISNUMBER(C35),C35&gt;=0,FALSE)),"horas inválidas",IF(AND(ISNUMBER(C35),ISNUMBER(D35),C35&gt;D35),"faixa invertida (de &gt; até)",IF(ISNUMBER(Config!$B$12),C35*Config!$B$12,Config!$B$12))))</f>
        <v/>
      </c>
      <c r="G35" s="25">
        <f>IF(OR(A35="",D35=""),"",IF(NOT(IF(ISNUMBER(D35),D35&gt;=0,FALSE)),"horas inválidas",IF(AND(ISNUMBER(C35),ISNUMBER(D35),C35&gt;D35),"faixa invertida (de &gt; até)",IF(ISNUMBER(Config!$B$13),D35*Config!$B$13,Config!$B$13))))</f>
        <v/>
      </c>
      <c r="H35" s="25">
        <f>IF(OR(NOT(ISNUMBER(F35)),NOT(ISNUMBER(G35))),"",(F35+G35)/2)</f>
        <v/>
      </c>
      <c r="I35" s="26">
        <f>IF(A35="","",IF(AND(ISNUMBER(C35),ISNUMBER(D35),C35&gt;D35),"Corrija a faixa de horas: o de é maior que o até",IF(E35="Hora","Cobre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IF(OR(A36="",C36=""),"",IF(NOT(IF(ISNUMBER(C36),C36&gt;=0,FALSE)),"horas inválidas",IF(AND(ISNUMBER(C36),ISNUMBER(D36),C36&gt;D36),"faixa invertida (de &gt; até)",IF(ISNUMBER(Config!$B$12),C36*Config!$B$12,Config!$B$12))))</f>
        <v/>
      </c>
      <c r="G36" s="25">
        <f>IF(OR(A36="",D36=""),"",IF(NOT(IF(ISNUMBER(D36),D36&gt;=0,FALSE)),"horas inválidas",IF(AND(ISNUMBER(C36),ISNUMBER(D36),C36&gt;D36),"faixa invertida (de &gt; até)",IF(ISNUMBER(Config!$B$13),D36*Config!$B$13,Config!$B$13))))</f>
        <v/>
      </c>
      <c r="H36" s="25">
        <f>IF(OR(NOT(ISNUMBER(F36)),NOT(ISNUMBER(G36))),"",(F36+G36)/2)</f>
        <v/>
      </c>
      <c r="I36" s="26">
        <f>IF(A36="","",IF(AND(ISNUMBER(C36),ISNUMBER(D36),C36&gt;D36),"Corrija a faixa de horas: o de é maior que o até",IF(E36="Hora","Cobre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IF(OR(A37="",C37=""),"",IF(NOT(IF(ISNUMBER(C37),C37&gt;=0,FALSE)),"horas inválidas",IF(AND(ISNUMBER(C37),ISNUMBER(D37),C37&gt;D37),"faixa invertida (de &gt; até)",IF(ISNUMBER(Config!$B$12),C37*Config!$B$12,Config!$B$12))))</f>
        <v/>
      </c>
      <c r="G37" s="25">
        <f>IF(OR(A37="",D37=""),"",IF(NOT(IF(ISNUMBER(D37),D37&gt;=0,FALSE)),"horas inválidas",IF(AND(ISNUMBER(C37),ISNUMBER(D37),C37&gt;D37),"faixa invertida (de &gt; até)",IF(ISNUMBER(Config!$B$13),D37*Config!$B$13,Config!$B$13))))</f>
        <v/>
      </c>
      <c r="H37" s="25">
        <f>IF(OR(NOT(ISNUMBER(F37)),NOT(ISNUMBER(G37))),"",(F37+G37)/2)</f>
        <v/>
      </c>
      <c r="I37" s="26">
        <f>IF(A37="","",IF(AND(ISNUMBER(C37),ISNUMBER(D37),C37&gt;D37),"Corrija a faixa de horas: o de é maior que o até",IF(E37="Hora","Cobre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IF(OR(A38="",C38=""),"",IF(NOT(IF(ISNUMBER(C38),C38&gt;=0,FALSE)),"horas inválidas",IF(AND(ISNUMBER(C38),ISNUMBER(D38),C38&gt;D38),"faixa invertida (de &gt; até)",IF(ISNUMBER(Config!$B$12),C38*Config!$B$12,Config!$B$12))))</f>
        <v/>
      </c>
      <c r="G38" s="25">
        <f>IF(OR(A38="",D38=""),"",IF(NOT(IF(ISNUMBER(D38),D38&gt;=0,FALSE)),"horas inválidas",IF(AND(ISNUMBER(C38),ISNUMBER(D38),C38&gt;D38),"faixa invertida (de &gt; até)",IF(ISNUMBER(Config!$B$13),D38*Config!$B$13,Config!$B$13))))</f>
        <v/>
      </c>
      <c r="H38" s="25">
        <f>IF(OR(NOT(ISNUMBER(F38)),NOT(ISNUMBER(G38))),"",(F38+G38)/2)</f>
        <v/>
      </c>
      <c r="I38" s="26">
        <f>IF(A38="","",IF(AND(ISNUMBER(C38),ISNUMBER(D38),C38&gt;D38),"Corrija a faixa de horas: o de é maior que o até",IF(E38="Hora","Cobre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IF(OR(A39="",C39=""),"",IF(NOT(IF(ISNUMBER(C39),C39&gt;=0,FALSE)),"horas inválidas",IF(AND(ISNUMBER(C39),ISNUMBER(D39),C39&gt;D39),"faixa invertida (de &gt; até)",IF(ISNUMBER(Config!$B$12),C39*Config!$B$12,Config!$B$12))))</f>
        <v/>
      </c>
      <c r="G39" s="25">
        <f>IF(OR(A39="",D39=""),"",IF(NOT(IF(ISNUMBER(D39),D39&gt;=0,FALSE)),"horas inválidas",IF(AND(ISNUMBER(C39),ISNUMBER(D39),C39&gt;D39),"faixa invertida (de &gt; até)",IF(ISNUMBER(Config!$B$13),D39*Config!$B$13,Config!$B$13))))</f>
        <v/>
      </c>
      <c r="H39" s="25">
        <f>IF(OR(NOT(ISNUMBER(F39)),NOT(ISNUMBER(G39))),"",(F39+G39)/2)</f>
        <v/>
      </c>
      <c r="I39" s="26">
        <f>IF(A39="","",IF(AND(ISNUMBER(C39),ISNUMBER(D39),C39&gt;D39),"Corrija a faixa de horas: o de é maior que o até",IF(E39="Hora","Cobre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IF(OR(A40="",C40=""),"",IF(NOT(IF(ISNUMBER(C40),C40&gt;=0,FALSE)),"horas inválidas",IF(AND(ISNUMBER(C40),ISNUMBER(D40),C40&gt;D40),"faixa invertida (de &gt; até)",IF(ISNUMBER(Config!$B$12),C40*Config!$B$12,Config!$B$12))))</f>
        <v/>
      </c>
      <c r="G40" s="25">
        <f>IF(OR(A40="",D40=""),"",IF(NOT(IF(ISNUMBER(D40),D40&gt;=0,FALSE)),"horas inválidas",IF(AND(ISNUMBER(C40),ISNUMBER(D40),C40&gt;D40),"faixa invertida (de &gt; até)",IF(ISNUMBER(Config!$B$13),D40*Config!$B$13,Config!$B$13))))</f>
        <v/>
      </c>
      <c r="H40" s="25">
        <f>IF(OR(NOT(ISNUMBER(F40)),NOT(ISNUMBER(G40))),"",(F40+G40)/2)</f>
        <v/>
      </c>
      <c r="I40" s="26">
        <f>IF(A40="","",IF(AND(ISNUMBER(C40),ISNUMBER(D40),C40&gt;D40),"Corrija a faixa de horas: o de é maior que o até",IF(E40="Hora","Cobre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IF(OR(A41="",C41=""),"",IF(NOT(IF(ISNUMBER(C41),C41&gt;=0,FALSE)),"horas inválidas",IF(AND(ISNUMBER(C41),ISNUMBER(D41),C41&gt;D41),"faixa invertida (de &gt; até)",IF(ISNUMBER(Config!$B$12),C41*Config!$B$12,Config!$B$12))))</f>
        <v/>
      </c>
      <c r="G41" s="25">
        <f>IF(OR(A41="",D41=""),"",IF(NOT(IF(ISNUMBER(D41),D41&gt;=0,FALSE)),"horas inválidas",IF(AND(ISNUMBER(C41),ISNUMBER(D41),C41&gt;D41),"faixa invertida (de &gt; até)",IF(ISNUMBER(Config!$B$13),D41*Config!$B$13,Config!$B$13))))</f>
        <v/>
      </c>
      <c r="H41" s="25">
        <f>IF(OR(NOT(ISNUMBER(F41)),NOT(ISNUMBER(G41))),"",(F41+G41)/2)</f>
        <v/>
      </c>
      <c r="I41" s="26">
        <f>IF(A41="","",IF(AND(ISNUMBER(C41),ISNUMBER(D41),C41&gt;D41),"Corrija a faixa de horas: o de é maior que o até",IF(E41="Hora","Cobre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IF(OR(A42="",C42=""),"",IF(NOT(IF(ISNUMBER(C42),C42&gt;=0,FALSE)),"horas inválidas",IF(AND(ISNUMBER(C42),ISNUMBER(D42),C42&gt;D42),"faixa invertida (de &gt; até)",IF(ISNUMBER(Config!$B$12),C42*Config!$B$12,Config!$B$12))))</f>
        <v/>
      </c>
      <c r="G42" s="25">
        <f>IF(OR(A42="",D42=""),"",IF(NOT(IF(ISNUMBER(D42),D42&gt;=0,FALSE)),"horas inválidas",IF(AND(ISNUMBER(C42),ISNUMBER(D42),C42&gt;D42),"faixa invertida (de &gt; até)",IF(ISNUMBER(Config!$B$13),D42*Config!$B$13,Config!$B$13))))</f>
        <v/>
      </c>
      <c r="H42" s="25">
        <f>IF(OR(NOT(ISNUMBER(F42)),NOT(ISNUMBER(G42))),"",(F42+G42)/2)</f>
        <v/>
      </c>
      <c r="I42" s="26">
        <f>IF(A42="","",IF(AND(ISNUMBER(C42),ISNUMBER(D42),C42&gt;D42),"Corrija a faixa de horas: o de é maior que o até",IF(E42="Hora","Cobre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IF(OR(A43="",C43=""),"",IF(NOT(IF(ISNUMBER(C43),C43&gt;=0,FALSE)),"horas inválidas",IF(AND(ISNUMBER(C43),ISNUMBER(D43),C43&gt;D43),"faixa invertida (de &gt; até)",IF(ISNUMBER(Config!$B$12),C43*Config!$B$12,Config!$B$12))))</f>
        <v/>
      </c>
      <c r="G43" s="25">
        <f>IF(OR(A43="",D43=""),"",IF(NOT(IF(ISNUMBER(D43),D43&gt;=0,FALSE)),"horas inválidas",IF(AND(ISNUMBER(C43),ISNUMBER(D43),C43&gt;D43),"faixa invertida (de &gt; até)",IF(ISNUMBER(Config!$B$13),D43*Config!$B$13,Config!$B$13))))</f>
        <v/>
      </c>
      <c r="H43" s="25">
        <f>IF(OR(NOT(ISNUMBER(F43)),NOT(ISNUMBER(G43))),"",(F43+G43)/2)</f>
        <v/>
      </c>
      <c r="I43" s="26">
        <f>IF(A43="","",IF(AND(ISNUMBER(C43),ISNUMBER(D43),C43&gt;D43),"Corrija a faixa de horas: o de é maior que o até",IF(E43="Hora","Cobre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IF(OR(A44="",C44=""),"",IF(NOT(IF(ISNUMBER(C44),C44&gt;=0,FALSE)),"horas inválidas",IF(AND(ISNUMBER(C44),ISNUMBER(D44),C44&gt;D44),"faixa invertida (de &gt; até)",IF(ISNUMBER(Config!$B$12),C44*Config!$B$12,Config!$B$12))))</f>
        <v/>
      </c>
      <c r="G44" s="25">
        <f>IF(OR(A44="",D44=""),"",IF(NOT(IF(ISNUMBER(D44),D44&gt;=0,FALSE)),"horas inválidas",IF(AND(ISNUMBER(C44),ISNUMBER(D44),C44&gt;D44),"faixa invertida (de &gt; até)",IF(ISNUMBER(Config!$B$13),D44*Config!$B$13,Config!$B$13))))</f>
        <v/>
      </c>
      <c r="H44" s="25">
        <f>IF(OR(NOT(ISNUMBER(F44)),NOT(ISNUMBER(G44))),"",(F44+G44)/2)</f>
        <v/>
      </c>
      <c r="I44" s="26">
        <f>IF(A44="","",IF(AND(ISNUMBER(C44),ISNUMBER(D44),C44&gt;D44),"Corrija a faixa de horas: o de é maior que o até",IF(E44="Hora","Cobre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IF(OR(A45="",C45=""),"",IF(NOT(IF(ISNUMBER(C45),C45&gt;=0,FALSE)),"horas inválidas",IF(AND(ISNUMBER(C45),ISNUMBER(D45),C45&gt;D45),"faixa invertida (de &gt; até)",IF(ISNUMBER(Config!$B$12),C45*Config!$B$12,Config!$B$12))))</f>
        <v/>
      </c>
      <c r="G45" s="25">
        <f>IF(OR(A45="",D45=""),"",IF(NOT(IF(ISNUMBER(D45),D45&gt;=0,FALSE)),"horas inválidas",IF(AND(ISNUMBER(C45),ISNUMBER(D45),C45&gt;D45),"faixa invertida (de &gt; até)",IF(ISNUMBER(Config!$B$13),D45*Config!$B$13,Config!$B$13))))</f>
        <v/>
      </c>
      <c r="H45" s="25">
        <f>IF(OR(NOT(ISNUMBER(F45)),NOT(ISNUMBER(G45))),"",(F45+G45)/2)</f>
        <v/>
      </c>
      <c r="I45" s="26">
        <f>IF(A45="","",IF(AND(ISNUMBER(C45),ISNUMBER(D45),C45&gt;D45),"Corrija a faixa de horas: o de é maior que o até",IF(E45="Hora","Cobre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IF(OR(A46="",C46=""),"",IF(NOT(IF(ISNUMBER(C46),C46&gt;=0,FALSE)),"horas inválidas",IF(AND(ISNUMBER(C46),ISNUMBER(D46),C46&gt;D46),"faixa invertida (de &gt; até)",IF(ISNUMBER(Config!$B$12),C46*Config!$B$12,Config!$B$12))))</f>
        <v/>
      </c>
      <c r="G46" s="25">
        <f>IF(OR(A46="",D46=""),"",IF(NOT(IF(ISNUMBER(D46),D46&gt;=0,FALSE)),"horas inválidas",IF(AND(ISNUMBER(C46),ISNUMBER(D46),C46&gt;D46),"faixa invertida (de &gt; até)",IF(ISNUMBER(Config!$B$13),D46*Config!$B$13,Config!$B$13))))</f>
        <v/>
      </c>
      <c r="H46" s="25">
        <f>IF(OR(NOT(ISNUMBER(F46)),NOT(ISNUMBER(G46))),"",(F46+G46)/2)</f>
        <v/>
      </c>
      <c r="I46" s="26">
        <f>IF(A46="","",IF(AND(ISNUMBER(C46),ISNUMBER(D46),C46&gt;D46),"Corrija a faixa de horas: o de é maior que o até",IF(E46="Hora","Cobre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IF(OR(A47="",C47=""),"",IF(NOT(IF(ISNUMBER(C47),C47&gt;=0,FALSE)),"horas inválidas",IF(AND(ISNUMBER(C47),ISNUMBER(D47),C47&gt;D47),"faixa invertida (de &gt; até)",IF(ISNUMBER(Config!$B$12),C47*Config!$B$12,Config!$B$12))))</f>
        <v/>
      </c>
      <c r="G47" s="25">
        <f>IF(OR(A47="",D47=""),"",IF(NOT(IF(ISNUMBER(D47),D47&gt;=0,FALSE)),"horas inválidas",IF(AND(ISNUMBER(C47),ISNUMBER(D47),C47&gt;D47),"faixa invertida (de &gt; até)",IF(ISNUMBER(Config!$B$13),D47*Config!$B$13,Config!$B$13))))</f>
        <v/>
      </c>
      <c r="H47" s="25">
        <f>IF(OR(NOT(ISNUMBER(F47)),NOT(ISNUMBER(G47))),"",(F47+G47)/2)</f>
        <v/>
      </c>
      <c r="I47" s="26">
        <f>IF(A47="","",IF(AND(ISNUMBER(C47),ISNUMBER(D47),C47&gt;D47),"Corrija a faixa de horas: o de é maior que o até",IF(E47="Hora","Cobre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IF(OR(A48="",C48=""),"",IF(NOT(IF(ISNUMBER(C48),C48&gt;=0,FALSE)),"horas inválidas",IF(AND(ISNUMBER(C48),ISNUMBER(D48),C48&gt;D48),"faixa invertida (de &gt; até)",IF(ISNUMBER(Config!$B$12),C48*Config!$B$12,Config!$B$12))))</f>
        <v/>
      </c>
      <c r="G48" s="25">
        <f>IF(OR(A48="",D48=""),"",IF(NOT(IF(ISNUMBER(D48),D48&gt;=0,FALSE)),"horas inválidas",IF(AND(ISNUMBER(C48),ISNUMBER(D48),C48&gt;D48),"faixa invertida (de &gt; até)",IF(ISNUMBER(Config!$B$13),D48*Config!$B$13,Config!$B$13))))</f>
        <v/>
      </c>
      <c r="H48" s="25">
        <f>IF(OR(NOT(ISNUMBER(F48)),NOT(ISNUMBER(G48))),"",(F48+G48)/2)</f>
        <v/>
      </c>
      <c r="I48" s="26">
        <f>IF(A48="","",IF(AND(ISNUMBER(C48),ISNUMBER(D48),C48&gt;D48),"Corrija a faixa de horas: o de é maior que o até",IF(E48="Hora","Cobre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IF(Config!$E$16="","",IF(SUMPRODUCT(('Nossos casos'!$C$5:$C$204=Config!$E$16)*((('Nossos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casos'!$C$5:$C$204,Config!$E$16)))</f>
        <v>101500</v>
      </c>
      <c r="D54" s="29">
        <f>IF(OR(Config!$E$16="",SUMPRODUCT(('Nossos casos'!$C$5:$C$204=Config!$E$16)*((('Nossos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casos'!$C$5:$C$204,Config!$E$16))</f>
        <v>632</v>
      </c>
      <c r="E54" s="30">
        <f>IF(OR(Config!$E$16="",NOT(ISNUMBER(C54)),NOT(ISNUMBER(D54)),N(D54)=0),"",C54/D54)</f>
        <v>160.601265822785</v>
      </c>
      <c r="F54" s="31">
        <f>IF(OR(NOT(ISNUMBER(E54)),NOT(ISNUMBER(Config!$B$12))),"",IF(Config!$B$12=0,"sem base (mínimo zero)",E54/Config!$B$12-1))</f>
        <v>0.255873504649599</v>
      </c>
      <c r="G54" s="29">
        <f>IF(OR(Config!$E$16="",NOT(ISNUMBER(Config!$B$12)),SUMPRODUCT(('Nossos casos'!$C$5:$C$204=Config!$E$16)*((('Nossos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casos'!$C$5:$C$204,Config!$E$16,'Nossos casos'!$J$5:$J$204,"Abaixo do mínimo"))</f>
        <v>1</v>
      </c>
      <c r="H54" s="25">
        <f>IF(OR(Config!$E$16="",NOT(ISNUMBER(Config!$B$12)),SUMPRODUCT(('Nossos casos'!$C$5:$C$204=Config!$E$16)*((('Nossos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IF(Config!$E$17="","",IF(SUMPRODUCT(('Nossos casos'!$C$5:$C$204=Config!$E$17)*((('Nossos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casos'!$C$5:$C$204,Config!$E$17)))</f>
        <v>105400</v>
      </c>
      <c r="D55" s="29">
        <f>IF(OR(Config!$E$17="",SUMPRODUCT(('Nossos casos'!$C$5:$C$204=Config!$E$17)*((('Nossos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casos'!$C$5:$C$204,Config!$E$17))</f>
        <v>838</v>
      </c>
      <c r="E55" s="30">
        <f>IF(OR(Config!$E$17="",NOT(ISNUMBER(C55)),NOT(ISNUMBER(D55)),N(D55)=0),"",C55/D55)</f>
        <v>125.775656324582</v>
      </c>
      <c r="F55" s="31">
        <f>IF(OR(NOT(ISNUMBER(E55)),NOT(ISNUMBER(Config!$B$12))),"",IF(Config!$B$12=0,"sem base (mínimo zero)",E55/Config!$B$12-1))</f>
        <v>-0.0164566045061219</v>
      </c>
      <c r="G55" s="29">
        <f>IF(OR(Config!$E$17="",NOT(ISNUMBER(Config!$B$12)),SUMPRODUCT(('Nossos casos'!$C$5:$C$204=Config!$E$17)*((('Nossos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casos'!$C$5:$C$204,Config!$E$17,'Nossos casos'!$J$5:$J$204,"Abaixo do mínimo"))</f>
        <v>7</v>
      </c>
      <c r="H55" s="25">
        <f>IF(OR(Config!$E$17="",NOT(ISNUMBER(Config!$B$12)),SUMPRODUCT(('Nossos casos'!$C$5:$C$204=Config!$E$17)*((('Nossos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IF(Config!$E$18="","",IF(SUMPRODUCT(('Nossos casos'!$C$5:$C$204=Config!$E$18)*((('Nossos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casos'!$C$5:$C$204,Config!$E$18)))</f>
        <v>39400</v>
      </c>
      <c r="D56" s="29">
        <f>IF(OR(Config!$E$18="",SUMPRODUCT(('Nossos casos'!$C$5:$C$204=Config!$E$18)*((('Nossos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casos'!$C$5:$C$204,Config!$E$18))</f>
        <v>264</v>
      </c>
      <c r="E56" s="30">
        <f>IF(OR(Config!$E$18="",NOT(ISNUMBER(C56)),NOT(ISNUMBER(D56)),N(D56)=0),"",C56/D56)</f>
        <v>149.242424242424</v>
      </c>
      <c r="F56" s="31">
        <f>IF(OR(NOT(ISNUMBER(E56)),NOT(ISNUMBER(Config!$B$12))),"",IF(Config!$B$12=0,"sem base (mínimo zero)",E56/Config!$B$12-1))</f>
        <v>0.167049371718866</v>
      </c>
      <c r="G56" s="29">
        <f>IF(OR(Config!$E$18="",NOT(ISNUMBER(Config!$B$12)),SUMPRODUCT(('Nossos casos'!$C$5:$C$204=Config!$E$18)*((('Nossos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casos'!$C$5:$C$204,Config!$E$18,'Nossos casos'!$J$5:$J$204,"Abaixo do mínimo"))</f>
        <v>1</v>
      </c>
      <c r="H56" s="25">
        <f>IF(OR(Config!$E$18="",NOT(ISNUMBER(Config!$B$12)),SUMPRODUCT(('Nossos casos'!$C$5:$C$204=Config!$E$18)*((('Nossos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IF(Config!$E$19="","",IF(SUMPRODUCT(('Nossos casos'!$C$5:$C$204=Config!$E$19)*((('Nossos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casos'!$C$5:$C$204,Config!$E$19)))</f>
        <v>115000</v>
      </c>
      <c r="D57" s="29">
        <f>IF(OR(Config!$E$19="",SUMPRODUCT(('Nossos casos'!$C$5:$C$204=Config!$E$19)*((('Nossos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casos'!$C$5:$C$204,Config!$E$19))</f>
        <v>615</v>
      </c>
      <c r="E57" s="30">
        <f>IF(OR(Config!$E$19="",NOT(ISNUMBER(C57)),NOT(ISNUMBER(D57)),N(D57)=0),"",C57/D57)</f>
        <v>186.991869918699</v>
      </c>
      <c r="F57" s="31">
        <f>IF(OR(NOT(ISNUMBER(E57)),NOT(ISNUMBER(Config!$B$12))),"",IF(Config!$B$12=0,"sem base (mínimo zero)",E57/Config!$B$12-1))</f>
        <v>0.462243362856868</v>
      </c>
      <c r="G57" s="29">
        <f>IF(OR(Config!$E$19="",NOT(ISNUMBER(Config!$B$12)),SUMPRODUCT(('Nossos casos'!$C$5:$C$204=Config!$E$19)*((('Nossos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casos'!$C$5:$C$204,Config!$E$19,'Nossos casos'!$J$5:$J$204,"Abaixo do mínimo"))</f>
        <v>0</v>
      </c>
      <c r="H57" s="25">
        <f>IF(OR(Config!$E$19="",NOT(ISNUMBER(Config!$B$12)),SUMPRODUCT(('Nossos casos'!$C$5:$C$204=Config!$E$19)*((('Nossos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IF(Config!$E$20="","",IF(SUMPRODUCT(('Nossos casos'!$C$5:$C$204=Config!$E$20)*((('Nossos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casos'!$C$5:$C$204,Config!$E$20)))</f>
        <v>22600</v>
      </c>
      <c r="D58" s="29">
        <f>IF(OR(Config!$E$20="",SUMPRODUCT(('Nossos casos'!$C$5:$C$204=Config!$E$20)*((('Nossos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casos'!$C$5:$C$204,Config!$E$20))</f>
        <v>155</v>
      </c>
      <c r="E58" s="30">
        <f>IF(OR(Config!$E$20="",NOT(ISNUMBER(C58)),NOT(ISNUMBER(D58)),N(D58)=0),"",C58/D58)</f>
        <v>145.806451612903</v>
      </c>
      <c r="F58" s="31">
        <f>IF(OR(NOT(ISNUMBER(E58)),NOT(ISNUMBER(Config!$B$12))),"",IF(Config!$B$12=0,"sem base (mínimo zero)",E58/Config!$B$12-1))</f>
        <v>0.140180673231282</v>
      </c>
      <c r="G58" s="29">
        <f>IF(OR(Config!$E$20="",NOT(ISNUMBER(Config!$B$12)),SUMPRODUCT(('Nossos casos'!$C$5:$C$204=Config!$E$20)*((('Nossos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casos'!$C$5:$C$204,Config!$E$20,'Nossos casos'!$J$5:$J$204,"Abaixo do mínimo"))</f>
        <v>1</v>
      </c>
      <c r="H58" s="25">
        <f>IF(OR(Config!$E$20="",NOT(ISNUMBER(Config!$B$12)),SUMPRODUCT(('Nossos casos'!$C$5:$C$204=Config!$E$20)*((('Nossos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IF(Config!$E$21="","",IF(SUMPRODUCT(('Nossos casos'!$C$5:$C$204=Config!$E$21)*((('Nossos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casos'!$C$5:$C$204,Config!$E$21)))</f>
        <v/>
      </c>
      <c r="D59" s="29">
        <f>IF(OR(Config!$E$21="",SUMPRODUCT(('Nossos casos'!$C$5:$C$204=Config!$E$21)*((('Nossos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casos'!$C$5:$C$204,Config!$E$21))</f>
        <v/>
      </c>
      <c r="E59" s="30">
        <f>IF(OR(Config!$E$21="",NOT(ISNUMBER(C59)),NOT(ISNUMBER(D59)),N(D59)=0),"",C59/D59)</f>
        <v/>
      </c>
      <c r="F59" s="31">
        <f>IF(OR(NOT(ISNUMBER(E59)),NOT(ISNUMBER(Config!$B$12))),"",IF(Config!$B$12=0,"sem base (mínimo zero)",E59/Config!$B$12-1))</f>
        <v/>
      </c>
      <c r="G59" s="29">
        <f>IF(OR(Config!$E$21="",NOT(ISNUMBER(Config!$B$12)),SUMPRODUCT(('Nossos casos'!$C$5:$C$204=Config!$E$21)*((('Nossos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casos'!$C$5:$C$204,Config!$E$21,'Nossos casos'!$J$5:$J$204,"Abaixo do mínimo"))</f>
        <v/>
      </c>
      <c r="H59" s="25">
        <f>IF(OR(Config!$E$21="",NOT(ISNUMBER(Config!$B$12)),SUMPRODUCT(('Nossos casos'!$C$5:$C$204=Config!$E$21)*((('Nossos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IF(Config!$E$22="","",IF(SUMPRODUCT(('Nossos casos'!$C$5:$C$204=Config!$E$22)*((('Nossos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casos'!$C$5:$C$204,Config!$E$22)))</f>
        <v/>
      </c>
      <c r="D60" s="29">
        <f>IF(OR(Config!$E$22="",SUMPRODUCT(('Nossos casos'!$C$5:$C$204=Config!$E$22)*((('Nossos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casos'!$C$5:$C$204,Config!$E$22))</f>
        <v/>
      </c>
      <c r="E60" s="30">
        <f>IF(OR(Config!$E$22="",NOT(ISNUMBER(C60)),NOT(ISNUMBER(D60)),N(D60)=0),"",C60/D60)</f>
        <v/>
      </c>
      <c r="F60" s="31">
        <f>IF(OR(NOT(ISNUMBER(E60)),NOT(ISNUMBER(Config!$B$12))),"",IF(Config!$B$12=0,"sem base (mínimo zero)",E60/Config!$B$12-1))</f>
        <v/>
      </c>
      <c r="G60" s="29">
        <f>IF(OR(Config!$E$22="",NOT(ISNUMBER(Config!$B$12)),SUMPRODUCT(('Nossos casos'!$C$5:$C$204=Config!$E$22)*((('Nossos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casos'!$C$5:$C$204,Config!$E$22,'Nossos casos'!$J$5:$J$204,"Abaixo do mínimo"))</f>
        <v/>
      </c>
      <c r="H60" s="25">
        <f>IF(OR(Config!$E$22="",NOT(ISNUMBER(Config!$B$12)),SUMPRODUCT(('Nossos casos'!$C$5:$C$204=Config!$E$22)*((('Nossos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IF(Config!$E$23="","",IF(SUMPRODUCT(('Nossos casos'!$C$5:$C$204=Config!$E$23)*((('Nossos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casos'!$C$5:$C$204,Config!$E$23)))</f>
        <v/>
      </c>
      <c r="D61" s="29">
        <f>IF(OR(Config!$E$23="",SUMPRODUCT(('Nossos casos'!$C$5:$C$204=Config!$E$23)*((('Nossos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casos'!$C$5:$C$204,Config!$E$23))</f>
        <v/>
      </c>
      <c r="E61" s="30">
        <f>IF(OR(Config!$E$23="",NOT(ISNUMBER(C61)),NOT(ISNUMBER(D61)),N(D61)=0),"",C61/D61)</f>
        <v/>
      </c>
      <c r="F61" s="31">
        <f>IF(OR(NOT(ISNUMBER(E61)),NOT(ISNUMBER(Config!$B$12))),"",IF(Config!$B$12=0,"sem base (mínimo zero)",E61/Config!$B$12-1))</f>
        <v/>
      </c>
      <c r="G61" s="29">
        <f>IF(OR(Config!$E$23="",NOT(ISNUMBER(Config!$B$12)),SUMPRODUCT(('Nossos casos'!$C$5:$C$204=Config!$E$23)*((('Nossos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casos'!$C$5:$C$204,Config!$E$23,'Nossos casos'!$J$5:$J$204,"Abaixo do mínimo"))</f>
        <v/>
      </c>
      <c r="H61" s="25">
        <f>IF(OR(Config!$E$23="",NOT(ISNUMBER(Config!$B$12)),SUMPRODUCT(('Nossos casos'!$C$5:$C$204=Config!$E$23)*((('Nossos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IF(Config!$E$24="","",IF(SUMPRODUCT(('Nossos casos'!$C$5:$C$204=Config!$E$24)*((('Nossos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casos'!$C$5:$C$204,Config!$E$24)))</f>
        <v/>
      </c>
      <c r="D62" s="29">
        <f>IF(OR(Config!$E$24="",SUMPRODUCT(('Nossos casos'!$C$5:$C$204=Config!$E$24)*((('Nossos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casos'!$C$5:$C$204,Config!$E$24))</f>
        <v/>
      </c>
      <c r="E62" s="30">
        <f>IF(OR(Config!$E$24="",NOT(ISNUMBER(C62)),NOT(ISNUMBER(D62)),N(D62)=0),"",C62/D62)</f>
        <v/>
      </c>
      <c r="F62" s="31">
        <f>IF(OR(NOT(ISNUMBER(E62)),NOT(ISNUMBER(Config!$B$12))),"",IF(Config!$B$12=0,"sem base (mínimo zero)",E62/Config!$B$12-1))</f>
        <v/>
      </c>
      <c r="G62" s="29">
        <f>IF(OR(Config!$E$24="",NOT(ISNUMBER(Config!$B$12)),SUMPRODUCT(('Nossos casos'!$C$5:$C$204=Config!$E$24)*((('Nossos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casos'!$C$5:$C$204,Config!$E$24,'Nossos casos'!$J$5:$J$204,"Abaixo do mínimo"))</f>
        <v/>
      </c>
      <c r="H62" s="25">
        <f>IF(OR(Config!$E$24="",NOT(ISNUMBER(Config!$B$12)),SUMPRODUCT(('Nossos casos'!$C$5:$C$204=Config!$E$24)*((('Nossos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IF(Config!$E$25="","",IF(SUMPRODUCT(('Nossos casos'!$C$5:$C$204=Config!$E$25)*((('Nossos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casos'!$C$5:$C$204,Config!$E$25)))</f>
        <v/>
      </c>
      <c r="D63" s="29">
        <f>IF(OR(Config!$E$25="",SUMPRODUCT(('Nossos casos'!$C$5:$C$204=Config!$E$25)*((('Nossos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casos'!$C$5:$C$204,Config!$E$25))</f>
        <v/>
      </c>
      <c r="E63" s="30">
        <f>IF(OR(Config!$E$25="",NOT(ISNUMBER(C63)),NOT(ISNUMBER(D63)),N(D63)=0),"",C63/D63)</f>
        <v/>
      </c>
      <c r="F63" s="31">
        <f>IF(OR(NOT(ISNUMBER(E63)),NOT(ISNUMBER(Config!$B$12))),"",IF(Config!$B$12=0,"sem base (mínimo zero)",E63/Config!$B$12-1))</f>
        <v/>
      </c>
      <c r="G63" s="29">
        <f>IF(OR(Config!$E$25="",NOT(ISNUMBER(Config!$B$12)),SUMPRODUCT(('Nossos casos'!$C$5:$C$204=Config!$E$25)*((('Nossos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casos'!$C$5:$C$204,Config!$E$25,'Nossos casos'!$J$5:$J$204,"Abaixo do mínimo"))</f>
        <v/>
      </c>
      <c r="H63" s="25">
        <f>IF(OR(Config!$E$25="",NOT(ISNUMBER(Config!$B$12)),SUMPRODUCT(('Nossos casos'!$C$5:$C$204=Config!$E$25)*((('Nossos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IF(Config!$E$26="","",IF(SUMPRODUCT(('Nossos casos'!$C$5:$C$204=Config!$E$26)*((('Nossos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casos'!$C$5:$C$204,Config!$E$26)))</f>
        <v/>
      </c>
      <c r="D64" s="29">
        <f>IF(OR(Config!$E$26="",SUMPRODUCT(('Nossos casos'!$C$5:$C$204=Config!$E$26)*((('Nossos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casos'!$C$5:$C$204,Config!$E$26))</f>
        <v/>
      </c>
      <c r="E64" s="30">
        <f>IF(OR(Config!$E$26="",NOT(ISNUMBER(C64)),NOT(ISNUMBER(D64)),N(D64)=0),"",C64/D64)</f>
        <v/>
      </c>
      <c r="F64" s="31">
        <f>IF(OR(NOT(ISNUMBER(E64)),NOT(ISNUMBER(Config!$B$12))),"",IF(Config!$B$12=0,"sem base (mínimo zero)",E64/Config!$B$12-1))</f>
        <v/>
      </c>
      <c r="G64" s="29">
        <f>IF(OR(Config!$E$26="",NOT(ISNUMBER(Config!$B$12)),SUMPRODUCT(('Nossos casos'!$C$5:$C$204=Config!$E$26)*((('Nossos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casos'!$C$5:$C$204,Config!$E$26,'Nossos casos'!$J$5:$J$204,"Abaixo do mínimo"))</f>
        <v/>
      </c>
      <c r="H64" s="25">
        <f>IF(OR(Config!$E$26="",NOT(ISNUMBER(Config!$B$12)),SUMPRODUCT(('Nossos casos'!$C$5:$C$204=Config!$E$26)*((('Nossos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IF(Config!$E$27="","",IF(SUMPRODUCT(('Nossos casos'!$C$5:$C$204=Config!$E$27)*((('Nossos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casos'!$C$5:$C$204,Config!$E$27)))</f>
        <v/>
      </c>
      <c r="D65" s="29">
        <f>IF(OR(Config!$E$27="",SUMPRODUCT(('Nossos casos'!$C$5:$C$204=Config!$E$27)*((('Nossos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casos'!$C$5:$C$204,Config!$E$27))</f>
        <v/>
      </c>
      <c r="E65" s="30">
        <f>IF(OR(Config!$E$27="",NOT(ISNUMBER(C65)),NOT(ISNUMBER(D65)),N(D65)=0),"",C65/D65)</f>
        <v/>
      </c>
      <c r="F65" s="31">
        <f>IF(OR(NOT(ISNUMBER(E65)),NOT(ISNUMBER(Config!$B$12))),"",IF(Config!$B$12=0,"sem base (mínimo zero)",E65/Config!$B$12-1))</f>
        <v/>
      </c>
      <c r="G65" s="29">
        <f>IF(OR(Config!$E$27="",NOT(ISNUMBER(Config!$B$12)),SUMPRODUCT(('Nossos casos'!$C$5:$C$204=Config!$E$27)*((('Nossos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casos'!$C$5:$C$204,Config!$E$27,'Nossos casos'!$J$5:$J$204,"Abaixo do mínimo"))</f>
        <v/>
      </c>
      <c r="H65" s="25">
        <f>IF(OR(Config!$E$27="",NOT(ISNUMBER(Config!$B$12)),SUMPRODUCT(('Nossos casos'!$C$5:$C$204=Config!$E$27)*((('Nossos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IF(Config!$E$28="","",IF(SUMPRODUCT(('Nossos casos'!$C$5:$C$204=Config!$E$28)*((('Nossos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casos'!$C$5:$C$204,Config!$E$28)))</f>
        <v/>
      </c>
      <c r="D66" s="29">
        <f>IF(OR(Config!$E$28="",SUMPRODUCT(('Nossos casos'!$C$5:$C$204=Config!$E$28)*((('Nossos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casos'!$C$5:$C$204,Config!$E$28))</f>
        <v/>
      </c>
      <c r="E66" s="30">
        <f>IF(OR(Config!$E$28="",NOT(ISNUMBER(C66)),NOT(ISNUMBER(D66)),N(D66)=0),"",C66/D66)</f>
        <v/>
      </c>
      <c r="F66" s="31">
        <f>IF(OR(NOT(ISNUMBER(E66)),NOT(ISNUMBER(Config!$B$12))),"",IF(Config!$B$12=0,"sem base (mínimo zero)",E66/Config!$B$12-1))</f>
        <v/>
      </c>
      <c r="G66" s="29">
        <f>IF(OR(Config!$E$28="",NOT(ISNUMBER(Config!$B$12)),SUMPRODUCT(('Nossos casos'!$C$5:$C$204=Config!$E$28)*((('Nossos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casos'!$C$5:$C$204,Config!$E$28,'Nossos casos'!$J$5:$J$204,"Abaixo do mínimo"))</f>
        <v/>
      </c>
      <c r="H66" s="25">
        <f>IF(OR(Config!$E$28="",NOT(ISNUMBER(Config!$B$12)),SUMPRODUCT(('Nossos casos'!$C$5:$C$204=Config!$E$28)*((('Nossos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IF(Config!$E$29="","",IF(SUMPRODUCT(('Nossos casos'!$C$5:$C$204=Config!$E$29)*((('Nossos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casos'!$C$5:$C$204,Config!$E$29)))</f>
        <v/>
      </c>
      <c r="D67" s="29">
        <f>IF(OR(Config!$E$29="",SUMPRODUCT(('Nossos casos'!$C$5:$C$204=Config!$E$29)*((('Nossos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casos'!$C$5:$C$204,Config!$E$29))</f>
        <v/>
      </c>
      <c r="E67" s="30">
        <f>IF(OR(Config!$E$29="",NOT(ISNUMBER(C67)),NOT(ISNUMBER(D67)),N(D67)=0),"",C67/D67)</f>
        <v/>
      </c>
      <c r="F67" s="31">
        <f>IF(OR(NOT(ISNUMBER(E67)),NOT(ISNUMBER(Config!$B$12))),"",IF(Config!$B$12=0,"sem base (mínimo zero)",E67/Config!$B$12-1))</f>
        <v/>
      </c>
      <c r="G67" s="29">
        <f>IF(OR(Config!$E$29="",NOT(ISNUMBER(Config!$B$12)),SUMPRODUCT(('Nossos casos'!$C$5:$C$204=Config!$E$29)*((('Nossos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casos'!$C$5:$C$204,Config!$E$29,'Nossos casos'!$J$5:$J$204,"Abaixo do mínimo"))</f>
        <v/>
      </c>
      <c r="H67" s="25">
        <f>IF(OR(Config!$E$29="",NOT(ISNUMBER(Config!$B$12)),SUMPRODUCT(('Nossos casos'!$C$5:$C$204=Config!$E$29)*((('Nossos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IF(Config!$E$30="","",IF(SUMPRODUCT(('Nossos casos'!$C$5:$C$204=Config!$E$30)*((('Nossos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casos'!$C$5:$C$204,Config!$E$30)))</f>
        <v/>
      </c>
      <c r="D68" s="29">
        <f>IF(OR(Config!$E$30="",SUMPRODUCT(('Nossos casos'!$C$5:$C$204=Config!$E$30)*((('Nossos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casos'!$C$5:$C$204,Config!$E$30))</f>
        <v/>
      </c>
      <c r="E68" s="30">
        <f>IF(OR(Config!$E$30="",NOT(ISNUMBER(C68)),NOT(ISNUMBER(D68)),N(D68)=0),"",C68/D68)</f>
        <v/>
      </c>
      <c r="F68" s="31">
        <f>IF(OR(NOT(ISNUMBER(E68)),NOT(ISNUMBER(Config!$B$12))),"",IF(Config!$B$12=0,"sem base (mínimo zero)",E68/Config!$B$12-1))</f>
        <v/>
      </c>
      <c r="G68" s="29">
        <f>IF(OR(Config!$E$30="",NOT(ISNUMBER(Config!$B$12)),SUMPRODUCT(('Nossos casos'!$C$5:$C$204=Config!$E$30)*((('Nossos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casos'!$C$5:$C$204,Config!$E$30,'Nossos casos'!$J$5:$J$204,"Abaixo do mínimo"))</f>
        <v/>
      </c>
      <c r="H68" s="25">
        <f>IF(OR(Config!$E$30="",NOT(ISNUMBER(Config!$B$12)),SUMPRODUCT(('Nossos casos'!$C$5:$C$204=Config!$E$30)*((('Nossos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IF(Config!$E$31="","",IF(SUMPRODUCT(('Nossos casos'!$C$5:$C$204=Config!$E$31)*((('Nossos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casos'!$C$5:$C$204,Config!$E$31)))</f>
        <v/>
      </c>
      <c r="D69" s="29">
        <f>IF(OR(Config!$E$31="",SUMPRODUCT(('Nossos casos'!$C$5:$C$204=Config!$E$31)*((('Nossos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casos'!$C$5:$C$204,Config!$E$31))</f>
        <v/>
      </c>
      <c r="E69" s="30">
        <f>IF(OR(Config!$E$31="",NOT(ISNUMBER(C69)),NOT(ISNUMBER(D69)),N(D69)=0),"",C69/D69)</f>
        <v/>
      </c>
      <c r="F69" s="31">
        <f>IF(OR(NOT(ISNUMBER(E69)),NOT(ISNUMBER(Config!$B$12))),"",IF(Config!$B$12=0,"sem base (mínimo zero)",E69/Config!$B$12-1))</f>
        <v/>
      </c>
      <c r="G69" s="29">
        <f>IF(OR(Config!$E$31="",NOT(ISNUMBER(Config!$B$12)),SUMPRODUCT(('Nossos casos'!$C$5:$C$204=Config!$E$31)*((('Nossos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casos'!$C$5:$C$204,Config!$E$31,'Nossos casos'!$J$5:$J$204,"Abaixo do mínimo"))</f>
        <v/>
      </c>
      <c r="H69" s="25">
        <f>IF(OR(Config!$E$31="",NOT(ISNUMBER(Config!$B$12)),SUMPRODUCT(('Nossos casos'!$C$5:$C$204=Config!$E$31)*((('Nossos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IF(Config!$E$32="","",IF(SUMPRODUCT(('Nossos casos'!$C$5:$C$204=Config!$E$32)*((('Nossos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casos'!$C$5:$C$204,Config!$E$32)))</f>
        <v/>
      </c>
      <c r="D70" s="29">
        <f>IF(OR(Config!$E$32="",SUMPRODUCT(('Nossos casos'!$C$5:$C$204=Config!$E$32)*((('Nossos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casos'!$C$5:$C$204,Config!$E$32))</f>
        <v/>
      </c>
      <c r="E70" s="30">
        <f>IF(OR(Config!$E$32="",NOT(ISNUMBER(C70)),NOT(ISNUMBER(D70)),N(D70)=0),"",C70/D70)</f>
        <v/>
      </c>
      <c r="F70" s="31">
        <f>IF(OR(NOT(ISNUMBER(E70)),NOT(ISNUMBER(Config!$B$12))),"",IF(Config!$B$12=0,"sem base (mínimo zero)",E70/Config!$B$12-1))</f>
        <v/>
      </c>
      <c r="G70" s="29">
        <f>IF(OR(Config!$E$32="",NOT(ISNUMBER(Config!$B$12)),SUMPRODUCT(('Nossos casos'!$C$5:$C$204=Config!$E$32)*((('Nossos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casos'!$C$5:$C$204,Config!$E$32,'Nossos casos'!$J$5:$J$204,"Abaixo do mínimo"))</f>
        <v/>
      </c>
      <c r="H70" s="25">
        <f>IF(OR(Config!$E$32="",NOT(ISNUMBER(Config!$B$12)),SUMPRODUCT(('Nossos casos'!$C$5:$C$204=Config!$E$32)*((('Nossos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IF(Config!$E$33="","",IF(SUMPRODUCT(('Nossos casos'!$C$5:$C$204=Config!$E$33)*((('Nossos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casos'!$C$5:$C$204,Config!$E$33)))</f>
        <v/>
      </c>
      <c r="D71" s="29">
        <f>IF(OR(Config!$E$33="",SUMPRODUCT(('Nossos casos'!$C$5:$C$204=Config!$E$33)*((('Nossos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casos'!$C$5:$C$204,Config!$E$33))</f>
        <v/>
      </c>
      <c r="E71" s="30">
        <f>IF(OR(Config!$E$33="",NOT(ISNUMBER(C71)),NOT(ISNUMBER(D71)),N(D71)=0),"",C71/D71)</f>
        <v/>
      </c>
      <c r="F71" s="31">
        <f>IF(OR(NOT(ISNUMBER(E71)),NOT(ISNUMBER(Config!$B$12))),"",IF(Config!$B$12=0,"sem base (mínimo zero)",E71/Config!$B$12-1))</f>
        <v/>
      </c>
      <c r="G71" s="29">
        <f>IF(OR(Config!$E$33="",NOT(ISNUMBER(Config!$B$12)),SUMPRODUCT(('Nossos casos'!$C$5:$C$204=Config!$E$33)*((('Nossos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casos'!$C$5:$C$204,Config!$E$33,'Nossos casos'!$J$5:$J$204,"Abaixo do mínimo"))</f>
        <v/>
      </c>
      <c r="H71" s="25">
        <f>IF(OR(Config!$E$33="",NOT(ISNUMBER(Config!$B$12)),SUMPRODUCT(('Nossos casos'!$C$5:$C$204=Config!$E$33)*((('Nossos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IF(Config!$E$34="","",IF(SUMPRODUCT(('Nossos casos'!$C$5:$C$204=Config!$E$34)*((('Nossos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casos'!$C$5:$C$204,Config!$E$34)))</f>
        <v/>
      </c>
      <c r="D72" s="29">
        <f>IF(OR(Config!$E$34="",SUMPRODUCT(('Nossos casos'!$C$5:$C$204=Config!$E$34)*((('Nossos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casos'!$C$5:$C$204,Config!$E$34))</f>
        <v/>
      </c>
      <c r="E72" s="30">
        <f>IF(OR(Config!$E$34="",NOT(ISNUMBER(C72)),NOT(ISNUMBER(D72)),N(D72)=0),"",C72/D72)</f>
        <v/>
      </c>
      <c r="F72" s="31">
        <f>IF(OR(NOT(ISNUMBER(E72)),NOT(ISNUMBER(Config!$B$12))),"",IF(Config!$B$12=0,"sem base (mínimo zero)",E72/Config!$B$12-1))</f>
        <v/>
      </c>
      <c r="G72" s="29">
        <f>IF(OR(Config!$E$34="",NOT(ISNUMBER(Config!$B$12)),SUMPRODUCT(('Nossos casos'!$C$5:$C$204=Config!$E$34)*((('Nossos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casos'!$C$5:$C$204,Config!$E$34,'Nossos casos'!$J$5:$J$204,"Abaixo do mínimo"))</f>
        <v/>
      </c>
      <c r="H72" s="25">
        <f>IF(OR(Config!$E$34="",NOT(ISNUMBER(Config!$B$12)),SUMPRODUCT(('Nossos casos'!$C$5:$C$204=Config!$E$34)*((('Nossos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IF(Config!$E$35="","",IF(SUMPRODUCT(('Nossos casos'!$C$5:$C$204=Config!$E$35)*((('Nossos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casos'!$G$5:$G$204&lt;0))&gt;0)))&gt;0,"caso incompleto",SUMIFS('Nossos casos'!$F$5:$F$204,'Nossos casos'!$C$5:$C$204,Config!$E$35)))</f>
        <v/>
      </c>
      <c r="D73" s="29">
        <f>IF(OR(Config!$E$35="",SUMPRODUCT(('Nossos casos'!$C$5:$C$204=Config!$E$35)*((('Nossos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casos'!$G$5:$G$204,'Nossos casos'!$C$5:$C$204,Config!$E$35))</f>
        <v/>
      </c>
      <c r="E73" s="30">
        <f>IF(OR(Config!$E$35="",NOT(ISNUMBER(C73)),NOT(ISNUMBER(D73)),N(D73)=0),"",C73/D73)</f>
        <v/>
      </c>
      <c r="F73" s="31">
        <f>IF(OR(NOT(ISNUMBER(E73)),NOT(ISNUMBER(Config!$B$12))),"",IF(Config!$B$12=0,"sem base (mínimo zero)",E73/Config!$B$12-1))</f>
        <v/>
      </c>
      <c r="G73" s="29">
        <f>IF(OR(Config!$E$35="",NOT(ISNUMBER(Config!$B$12)),SUMPRODUCT(('Nossos casos'!$C$5:$C$204=Config!$E$35)*((('Nossos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casos'!$G$5:$G$204&lt;0))&gt;0)))&gt;0),"",COUNTIFS('Nossos casos'!$C$5:$C$204,Config!$E$35,'Nossos casos'!$J$5:$J$204,"Abaixo do mínimo"))</f>
        <v/>
      </c>
      <c r="H73" s="25">
        <f>IF(OR(Config!$E$35="",NOT(ISNUMBER(Config!$B$12)),SUMPRODUCT(('Nossos casos'!$C$5:$C$204=Config!$E$35)*((('Nossos casos'!$A$5:$A$204&lt;&gt;"")+('Nossos casos'!$C$5:$C$204&lt;&gt;"")+('Nossos casos'!$F$5:$F$204&lt;&gt;"")+('Nossos casos'!$G$5:$G$204&lt;&gt;"")&gt;0)*((('Nossos casos'!$A$5:$A$204="")+(ISNUMBER(MATCH('Nossos casos'!$C$5:$C$204,Config!$E$16:$E$35,0))=FALSE)+(ISNUMBER('Nossos casos'!$F$5:$F$204)=FALSE)+ISNUMBER('Nossos casos'!$F$5:$F$204)*('Nossos casos'!$F$5:$F$204&lt;0)+(ISNUMBER('Nossos casos'!$G$5:$G$204)=FALSE)+ISNUMBER('Nossos casos'!$G$5:$G$204)*('Nossos casos'!$G$5:$G$204&lt;0))&gt;0)))&gt;0),"",SUMIFS('Nossos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IF(NOT(IF(ISNUMBER(B7),B7&gt;=0,FALSE)),"falta o custo-hora",IF(IF(AND(ISNUMBER(B8),ISNUMBER(B9),ISNUMBER(B10),ISNUMBER(B11)),AND(B8&gt;=0,B8&lt;1,B9&gt;=0,B9&lt;=B10,B10&lt;1,B8+B10&lt;1,B11&gt;=0),FALSE),B7*(1+B11)/(1-B8-B9),"margens inválidas (Config)"))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IF(NOT(IF(ISNUMBER(B7),B7&gt;=0,FALSE)),"falta o custo-hora",IF(IF(AND(ISNUMBER(B8),ISNUMBER(B9),ISNUMBER(B10),ISNUMBER(B11)),AND(B8&gt;=0,B8&lt;1,B9&gt;=0,B9&lt;=B10,B10&lt;1,B8+B10&lt;1,B11&gt;=0),FALSE),B7*(1+B11)/(1-B8-B10),"margens inválidas (Config)"))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5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11" showDropDown="0" showInputMessage="0" showErrorMessage="1" allowBlank="0" errorTitle="Percentual" error="Folga de 0 % para cima." type="custom">
      <formula1>=IF(ISNUMBER(B11),AND(B11&gt;=0),FALSE)</formula1>
    </dataValidation>
    <dataValidation sqref="B7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IF(OR(A5="",G5="",F5=""),"",IF(OR(NOT(IF(ISNUMBER(F5),F5&gt;=0,FALSE)),NOT(IF(ISNUMBER(G5),G5&gt;=0,FALSE))),"valor ou horas inválidos",IF(G5=0,"",F5/G5)))</f>
        <v>250</v>
      </c>
      <c r="I5" s="31">
        <f>IF(OR(NOT(ISNUMBER(H5)),NOT(ISNUMBER(Config!$B$12))),"",IF(Config!$B$12=0,"sem base (mínimo zero)",H5/Config!$B$12-1))</f>
        <v>0.954955800341247</v>
      </c>
      <c r="J5" s="33" t="str">
        <f>IF(H5="","",IF(NOT(ISNUMBER(H5)),H5,IF(NOT(ISNUMBER(Config!$B$12)),Config!$B$12,IF(NOT(ISNUMBER(Config!$B$13)),Config!$B$13,IF(H5&lt;Config!$B$12,"Abaixo do mínimo",IF(H5&lt;Config!$B$13,"Na faixa","Acima do alvo"))))))</f>
        <v>Acima do alvo</v>
      </c>
      <c r="K5" s="25">
        <f>IF(OR(NOT(ISNUMBER(H5)),NOT(ISNUMBER(Config!$B$12))),"",MAX(0,Config!$B$12*G5-F5))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IF(OR(A6="",G6="",F6=""),"",IF(OR(NOT(IF(ISNUMBER(F6),F6&gt;=0,FALSE)),NOT(IF(ISNUMBER(G6),G6&gt;=0,FALSE))),"valor ou horas inválidos",IF(G6=0,"",F6/G6)))</f>
        <v>85.7142857142857</v>
      </c>
      <c r="I6" s="31">
        <f>IF(OR(NOT(ISNUMBER(H6)),NOT(ISNUMBER(Config!$B$12))),"",IF(Config!$B$12=0,"sem base (mínimo zero)",H6/Config!$B$12-1))</f>
        <v>-0.329729439883001</v>
      </c>
      <c r="J6" s="33" t="str">
        <f>IF(H6="","",IF(NOT(ISNUMBER(H6)),H6,IF(NOT(ISNUMBER(Config!$B$12)),Config!$B$12,IF(NOT(ISNUMBER(Config!$B$13)),Config!$B$13,IF(H6&lt;Config!$B$12,"Abaixo do mínimo",IF(H6&lt;Config!$B$13,"Na faixa","Acima do alvo"))))))</f>
        <v>Abaixo do mínimo</v>
      </c>
      <c r="K6" s="25">
        <f>IF(OR(NOT(ISNUMBER(H6)),NOT(ISNUMBER(Config!$B$12))),"",MAX(0,Config!$B$12*G6-F6))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IF(OR(A7="",G7="",F7=""),"",IF(OR(NOT(IF(ISNUMBER(F7),F7&gt;=0,FALSE)),NOT(IF(ISNUMBER(G7),G7&gt;=0,FALSE))),"valor ou horas inválidos",IF(G7=0,"",F7/G7)))</f>
        <v>172.222222222222</v>
      </c>
      <c r="I7" s="31">
        <f>IF(OR(NOT(ISNUMBER(H7)),NOT(ISNUMBER(Config!$B$12))),"",IF(Config!$B$12=0,"sem base (mínimo zero)",H7/Config!$B$12-1))</f>
        <v>0.34674732912397</v>
      </c>
      <c r="J7" s="33" t="str">
        <f>IF(H7="","",IF(NOT(ISNUMBER(H7)),H7,IF(NOT(ISNUMBER(Config!$B$12)),Config!$B$12,IF(NOT(ISNUMBER(Config!$B$13)),Config!$B$13,IF(H7&lt;Config!$B$12,"Abaixo do mínimo",IF(H7&lt;Config!$B$13,"Na faixa","Acima do alvo"))))))</f>
        <v>Acima do alvo</v>
      </c>
      <c r="K7" s="25">
        <f>IF(OR(NOT(ISNUMBER(H7)),NOT(ISNUMBER(Config!$B$12))),"",MAX(0,Config!$B$12*G7-F7))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IF(OR(A8="",G8="",F8=""),"",IF(OR(NOT(IF(ISNUMBER(F8),F8&gt;=0,FALSE)),NOT(IF(ISNUMBER(G8),G8&gt;=0,FALSE))),"valor ou horas inválidos",IF(G8=0,"",F8/G8)))</f>
        <v>135</v>
      </c>
      <c r="I8" s="31">
        <f>IF(OR(NOT(ISNUMBER(H8)),NOT(ISNUMBER(Config!$B$12))),"",IF(Config!$B$12=0,"sem base (mínimo zero)",H8/Config!$B$12-1))</f>
        <v>0.0556761321842736</v>
      </c>
      <c r="J8" s="33" t="str">
        <f>IF(H8="","",IF(NOT(ISNUMBER(H8)),H8,IF(NOT(ISNUMBER(Config!$B$12)),Config!$B$12,IF(NOT(ISNUMBER(Config!$B$13)),Config!$B$13,IF(H8&lt;Config!$B$12,"Abaixo do mínimo",IF(H8&lt;Config!$B$13,"Na faixa","Acima do alvo"))))))</f>
        <v>Na faixa</v>
      </c>
      <c r="K8" s="25">
        <f>IF(OR(NOT(ISNUMBER(H8)),NOT(ISNUMBER(Config!$B$12))),"",MAX(0,Config!$B$12*G8-F8))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IF(OR(A9="",G9="",F9=""),"",IF(OR(NOT(IF(ISNUMBER(F9),F9&gt;=0,FALSE)),NOT(IF(ISNUMBER(G9),G9&gt;=0,FALSE))),"valor ou horas inválidos",IF(G9=0,"",F9/G9)))</f>
        <v>186.666666666667</v>
      </c>
      <c r="I9" s="31">
        <f>IF(OR(NOT(ISNUMBER(H9)),NOT(ISNUMBER(Config!$B$12))),"",IF(Config!$B$12=0,"sem base (mínimo zero)",H9/Config!$B$12-1))</f>
        <v>0.459700330921465</v>
      </c>
      <c r="J9" s="33" t="str">
        <f>IF(H9="","",IF(NOT(ISNUMBER(H9)),H9,IF(NOT(ISNUMBER(Config!$B$12)),Config!$B$12,IF(NOT(ISNUMBER(Config!$B$13)),Config!$B$13,IF(H9&lt;Config!$B$12,"Abaixo do mínimo",IF(H9&lt;Config!$B$13,"Na faixa","Acima do alvo"))))))</f>
        <v>Acima do alvo</v>
      </c>
      <c r="K9" s="25">
        <f>IF(OR(NOT(ISNUMBER(H9)),NOT(ISNUMBER(Config!$B$12))),"",MAX(0,Config!$B$12*G9-F9))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IF(OR(A10="",G10="",F10=""),"",IF(OR(NOT(IF(ISNUMBER(F10),F10&gt;=0,FALSE)),NOT(IF(ISNUMBER(G10),G10&gt;=0,FALSE))),"valor ou horas inválidos",IF(G10=0,"",F10/G10)))</f>
        <v>187.5</v>
      </c>
      <c r="I10" s="31">
        <f>IF(OR(NOT(ISNUMBER(H10)),NOT(ISNUMBER(Config!$B$12))),"",IF(Config!$B$12=0,"sem base (mínimo zero)",H10/Config!$B$12-1))</f>
        <v>0.466216850255936</v>
      </c>
      <c r="J10" s="33" t="str">
        <f>IF(H10="","",IF(NOT(ISNUMBER(H10)),H10,IF(NOT(ISNUMBER(Config!$B$12)),Config!$B$12,IF(NOT(ISNUMBER(Config!$B$13)),Config!$B$13,IF(H10&lt;Config!$B$12,"Abaixo do mínimo",IF(H10&lt;Config!$B$13,"Na faixa","Acima do alvo"))))))</f>
        <v>Acima do alvo</v>
      </c>
      <c r="K10" s="25">
        <f>IF(OR(NOT(ISNUMBER(H10)),NOT(ISNUMBER(Config!$B$12))),"",MAX(0,Config!$B$12*G10-F10))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IF(OR(A11="",G11="",F11=""),"",IF(OR(NOT(IF(ISNUMBER(F11),F11&gt;=0,FALSE)),NOT(IF(ISNUMBER(G11),G11&gt;=0,FALSE))),"valor ou horas inválidos",IF(G11=0,"",F11/G11)))</f>
        <v>183.333333333333</v>
      </c>
      <c r="I11" s="31">
        <f>IF(OR(NOT(ISNUMBER(H11)),NOT(ISNUMBER(Config!$B$12))),"",IF(Config!$B$12=0,"sem base (mínimo zero)",H11/Config!$B$12-1))</f>
        <v>0.433634253583582</v>
      </c>
      <c r="J11" s="33" t="str">
        <f>IF(H11="","",IF(NOT(ISNUMBER(H11)),H11,IF(NOT(ISNUMBER(Config!$B$12)),Config!$B$12,IF(NOT(ISNUMBER(Config!$B$13)),Config!$B$13,IF(H11&lt;Config!$B$12,"Abaixo do mínimo",IF(H11&lt;Config!$B$13,"Na faixa","Acima do alvo"))))))</f>
        <v>Acima do alvo</v>
      </c>
      <c r="K11" s="25">
        <f>IF(OR(NOT(ISNUMBER(H11)),NOT(ISNUMBER(Config!$B$12))),"",MAX(0,Config!$B$12*G11-F11))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IF(OR(A12="",G12="",F12=""),"",IF(OR(NOT(IF(ISNUMBER(F12),F12&gt;=0,FALSE)),NOT(IF(ISNUMBER(G12),G12&gt;=0,FALSE))),"valor ou horas inválidos",IF(G12=0,"",F12/G12)))</f>
        <v>118.75</v>
      </c>
      <c r="I12" s="31">
        <f>IF(OR(NOT(ISNUMBER(H12)),NOT(ISNUMBER(Config!$B$12))),"",IF(Config!$B$12=0,"sem base (mínimo zero)",H12/Config!$B$12-1))</f>
        <v>-0.0713959948379075</v>
      </c>
      <c r="J12" s="33" t="str">
        <f>IF(H12="","",IF(NOT(ISNUMBER(H12)),H12,IF(NOT(ISNUMBER(Config!$B$12)),Config!$B$12,IF(NOT(ISNUMBER(Config!$B$13)),Config!$B$13,IF(H12&lt;Config!$B$12,"Abaixo do mínimo",IF(H12&lt;Config!$B$13,"Na faixa","Acima do alvo"))))))</f>
        <v>Abaixo do mínimo</v>
      </c>
      <c r="K12" s="25">
        <f>IF(OR(NOT(ISNUMBER(H12)),NOT(ISNUMBER(Config!$B$12))),"",MAX(0,Config!$B$12*G12-F12))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IF(OR(A13="",G13="",F13=""),"",IF(OR(NOT(IF(ISNUMBER(F13),F13&gt;=0,FALSE)),NOT(IF(ISNUMBER(G13),G13&gt;=0,FALSE))),"valor ou horas inválidos",IF(G13=0,"",F13/G13)))</f>
        <v>88.8888888888889</v>
      </c>
      <c r="I13" s="31">
        <f>IF(OR(NOT(ISNUMBER(H13)),NOT(ISNUMBER(Config!$B$12))),"",IF(Config!$B$12=0,"sem base (mínimo zero)",H13/Config!$B$12-1))</f>
        <v>-0.304904604323112</v>
      </c>
      <c r="J13" s="33" t="str">
        <f>IF(H13="","",IF(NOT(ISNUMBER(H13)),H13,IF(NOT(ISNUMBER(Config!$B$12)),Config!$B$12,IF(NOT(ISNUMBER(Config!$B$13)),Config!$B$13,IF(H13&lt;Config!$B$12,"Abaixo do mínimo",IF(H13&lt;Config!$B$13,"Na faixa","Acima do alvo"))))))</f>
        <v>Abaixo do mínimo</v>
      </c>
      <c r="K13" s="25">
        <f>IF(OR(NOT(ISNUMBER(H13)),NOT(ISNUMBER(Config!$B$12))),"",MAX(0,Config!$B$12*G13-F13))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IF(OR(A14="",G14="",F14=""),"",IF(OR(NOT(IF(ISNUMBER(F14),F14&gt;=0,FALSE)),NOT(IF(ISNUMBER(G14),G14&gt;=0,FALSE))),"valor ou horas inválidos",IF(G14=0,"",F14/G14)))</f>
        <v>157.894736842105</v>
      </c>
      <c r="I14" s="31">
        <f>IF(OR(NOT(ISNUMBER(H14)),NOT(ISNUMBER(Config!$B$12))),"",IF(Config!$B$12=0,"sem base (mínimo zero)",H14/Config!$B$12-1))</f>
        <v>0.234708926531314</v>
      </c>
      <c r="J14" s="33" t="str">
        <f>IF(H14="","",IF(NOT(ISNUMBER(H14)),H14,IF(NOT(ISNUMBER(Config!$B$12)),Config!$B$12,IF(NOT(ISNUMBER(Config!$B$13)),Config!$B$13,IF(H14&lt;Config!$B$12,"Abaixo do mínimo",IF(H14&lt;Config!$B$13,"Na faixa","Acima do alvo"))))))</f>
        <v>Na faixa</v>
      </c>
      <c r="K14" s="25">
        <f>IF(OR(NOT(ISNUMBER(H14)),NOT(ISNUMBER(Config!$B$12))),"",MAX(0,Config!$B$12*G14-F14))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IF(OR(A15="",G15="",F15=""),"",IF(OR(NOT(IF(ISNUMBER(F15),F15&gt;=0,FALSE)),NOT(IF(ISNUMBER(G15),G15&gt;=0,FALSE))),"valor ou horas inválidos",IF(G15=0,"",F15/G15)))</f>
        <v>170</v>
      </c>
      <c r="I15" s="31">
        <f>IF(OR(NOT(ISNUMBER(H15)),NOT(ISNUMBER(Config!$B$12))),"",IF(Config!$B$12=0,"sem base (mínimo zero)",H15/Config!$B$12-1))</f>
        <v>0.329369944232048</v>
      </c>
      <c r="J15" s="33" t="str">
        <f>IF(H15="","",IF(NOT(ISNUMBER(H15)),H15,IF(NOT(ISNUMBER(Config!$B$12)),Config!$B$12,IF(NOT(ISNUMBER(Config!$B$13)),Config!$B$13,IF(H15&lt;Config!$B$12,"Abaixo do mínimo",IF(H15&lt;Config!$B$13,"Na faixa","Acima do alvo"))))))</f>
        <v>Acima do alvo</v>
      </c>
      <c r="K15" s="25">
        <f>IF(OR(NOT(ISNUMBER(H15)),NOT(ISNUMBER(Config!$B$12))),"",MAX(0,Config!$B$12*G15-F15))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IF(OR(A16="",G16="",F16=""),"",IF(OR(NOT(IF(ISNUMBER(F16),F16&gt;=0,FALSE)),NOT(IF(ISNUMBER(G16),G16&gt;=0,FALSE))),"valor ou horas inválidos",IF(G16=0,"",F16/G16)))</f>
        <v>180</v>
      </c>
      <c r="I16" s="31">
        <f>IF(OR(NOT(ISNUMBER(H16)),NOT(ISNUMBER(Config!$B$12))),"",IF(Config!$B$12=0,"sem base (mínimo zero)",H16/Config!$B$12-1))</f>
        <v>0.407568176245698</v>
      </c>
      <c r="J16" s="33" t="str">
        <f>IF(H16="","",IF(NOT(ISNUMBER(H16)),H16,IF(NOT(ISNUMBER(Config!$B$12)),Config!$B$12,IF(NOT(ISNUMBER(Config!$B$13)),Config!$B$13,IF(H16&lt;Config!$B$12,"Abaixo do mínimo",IF(H16&lt;Config!$B$13,"Na faixa","Acima do alvo"))))))</f>
        <v>Acima do alvo</v>
      </c>
      <c r="K16" s="25">
        <f>IF(OR(NOT(ISNUMBER(H16)),NOT(ISNUMBER(Config!$B$12))),"",MAX(0,Config!$B$12*G16-F16))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IF(OR(A17="",G17="",F17=""),"",IF(OR(NOT(IF(ISNUMBER(F17),F17&gt;=0,FALSE)),NOT(IF(ISNUMBER(G17),G17&gt;=0,FALSE))),"valor ou horas inválidos",IF(G17=0,"",F17/G17)))</f>
        <v>163.636363636364</v>
      </c>
      <c r="I17" s="31">
        <f>IF(OR(NOT(ISNUMBER(H17)),NOT(ISNUMBER(Config!$B$12))),"",IF(Config!$B$12=0,"sem base (mínimo zero)",H17/Config!$B$12-1))</f>
        <v>0.279607432950635</v>
      </c>
      <c r="J17" s="33" t="str">
        <f>IF(H17="","",IF(NOT(ISNUMBER(H17)),H17,IF(NOT(ISNUMBER(Config!$B$12)),Config!$B$12,IF(NOT(ISNUMBER(Config!$B$13)),Config!$B$13,IF(H17&lt;Config!$B$12,"Abaixo do mínimo",IF(H17&lt;Config!$B$13,"Na faixa","Acima do alvo"))))))</f>
        <v>Na faixa</v>
      </c>
      <c r="K17" s="25">
        <f>IF(OR(NOT(ISNUMBER(H17)),NOT(ISNUMBER(Config!$B$12))),"",MAX(0,Config!$B$12*G17-F17))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IF(OR(A18="",G18="",F18=""),"",IF(OR(NOT(IF(ISNUMBER(F18),F18&gt;=0,FALSE)),NOT(IF(ISNUMBER(G18),G18&gt;=0,FALSE))),"valor ou horas inválidos",IF(G18=0,"",F18/G18)))</f>
        <v>150</v>
      </c>
      <c r="I18" s="31">
        <f>IF(OR(NOT(ISNUMBER(H18)),NOT(ISNUMBER(Config!$B$12))),"",IF(Config!$B$12=0,"sem base (mínimo zero)",H18/Config!$B$12-1))</f>
        <v>0.172973480204748</v>
      </c>
      <c r="J18" s="33" t="str">
        <f>IF(H18="","",IF(NOT(ISNUMBER(H18)),H18,IF(NOT(ISNUMBER(Config!$B$12)),Config!$B$12,IF(NOT(ISNUMBER(Config!$B$13)),Config!$B$13,IF(H18&lt;Config!$B$12,"Abaixo do mínimo",IF(H18&lt;Config!$B$13,"Na faixa","Acima do alvo"))))))</f>
        <v>Na faixa</v>
      </c>
      <c r="K18" s="25">
        <f>IF(OR(NOT(ISNUMBER(H18)),NOT(ISNUMBER(Config!$B$12))),"",MAX(0,Config!$B$12*G18-F18))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IF(OR(A19="",G19="",F19=""),"",IF(OR(NOT(IF(ISNUMBER(F19),F19&gt;=0,FALSE)),NOT(IF(ISNUMBER(G19),G19&gt;=0,FALSE))),"valor ou horas inválidos",IF(G19=0,"",F19/G19)))</f>
        <v>112.5</v>
      </c>
      <c r="I19" s="31">
        <f>IF(OR(NOT(ISNUMBER(H19)),NOT(ISNUMBER(Config!$B$12))),"",IF(Config!$B$12=0,"sem base (mínimo zero)",H19/Config!$B$12-1))</f>
        <v>-0.120269889846439</v>
      </c>
      <c r="J19" s="33" t="str">
        <f>IF(H19="","",IF(NOT(ISNUMBER(H19)),H19,IF(NOT(ISNUMBER(Config!$B$12)),Config!$B$12,IF(NOT(ISNUMBER(Config!$B$13)),Config!$B$13,IF(H19&lt;Config!$B$12,"Abaixo do mínimo",IF(H19&lt;Config!$B$13,"Na faixa","Acima do alvo"))))))</f>
        <v>Abaixo do mínimo</v>
      </c>
      <c r="K19" s="25">
        <f>IF(OR(NOT(ISNUMBER(H19)),NOT(ISNUMBER(Config!$B$12))),"",MAX(0,Config!$B$12*G19-F19))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IF(OR(A20="",G20="",F20=""),"",IF(OR(NOT(IF(ISNUMBER(F20),F20&gt;=0,FALSE)),NOT(IF(ISNUMBER(G20),G20&gt;=0,FALSE))),"valor ou horas inválidos",IF(G20=0,"",F20/G20)))</f>
        <v>157.142857142857</v>
      </c>
      <c r="I20" s="31">
        <f>IF(OR(NOT(ISNUMBER(H20)),NOT(ISNUMBER(Config!$B$12))),"",IF(Config!$B$12=0,"sem base (mínimo zero)",H20/Config!$B$12-1))</f>
        <v>0.228829360214498</v>
      </c>
      <c r="J20" s="33" t="str">
        <f>IF(H20="","",IF(NOT(ISNUMBER(H20)),H20,IF(NOT(ISNUMBER(Config!$B$12)),Config!$B$12,IF(NOT(ISNUMBER(Config!$B$13)),Config!$B$13,IF(H20&lt;Config!$B$12,"Abaixo do mínimo",IF(H20&lt;Config!$B$13,"Na faixa","Acima do alvo"))))))</f>
        <v>Na faixa</v>
      </c>
      <c r="K20" s="25">
        <f>IF(OR(NOT(ISNUMBER(H20)),NOT(ISNUMBER(Config!$B$12))),"",MAX(0,Config!$B$12*G20-F20))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IF(OR(A21="",G21="",F21=""),"",IF(OR(NOT(IF(ISNUMBER(F21),F21&gt;=0,FALSE)),NOT(IF(ISNUMBER(G21),G21&gt;=0,FALSE))),"valor ou horas inválidos",IF(G21=0,"",F21/G21)))</f>
        <v>163.636363636364</v>
      </c>
      <c r="I21" s="31">
        <f>IF(OR(NOT(ISNUMBER(H21)),NOT(ISNUMBER(Config!$B$12))),"",IF(Config!$B$12=0,"sem base (mínimo zero)",H21/Config!$B$12-1))</f>
        <v>0.279607432950635</v>
      </c>
      <c r="J21" s="33" t="str">
        <f>IF(H21="","",IF(NOT(ISNUMBER(H21)),H21,IF(NOT(ISNUMBER(Config!$B$12)),Config!$B$12,IF(NOT(ISNUMBER(Config!$B$13)),Config!$B$13,IF(H21&lt;Config!$B$12,"Abaixo do mínimo",IF(H21&lt;Config!$B$13,"Na faixa","Acima do alvo"))))))</f>
        <v>Na faixa</v>
      </c>
      <c r="K21" s="25">
        <f>IF(OR(NOT(ISNUMBER(H21)),NOT(ISNUMBER(Config!$B$12))),"",MAX(0,Config!$B$12*G21-F21))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IF(OR(A22="",G22="",F22=""),"",IF(OR(NOT(IF(ISNUMBER(F22),F22&gt;=0,FALSE)),NOT(IF(ISNUMBER(G22),G22&gt;=0,FALSE))),"valor ou horas inválidos",IF(G22=0,"",F22/G22)))</f>
        <v>146.666666666667</v>
      </c>
      <c r="I22" s="31">
        <f>IF(OR(NOT(ISNUMBER(H22)),NOT(ISNUMBER(Config!$B$12))),"",IF(Config!$B$12=0,"sem base (mínimo zero)",H22/Config!$B$12-1))</f>
        <v>0.146907402866865</v>
      </c>
      <c r="J22" s="33" t="str">
        <f>IF(H22="","",IF(NOT(ISNUMBER(H22)),H22,IF(NOT(ISNUMBER(Config!$B$12)),Config!$B$12,IF(NOT(ISNUMBER(Config!$B$13)),Config!$B$13,IF(H22&lt;Config!$B$12,"Abaixo do mínimo",IF(H22&lt;Config!$B$13,"Na faixa","Acima do alvo"))))))</f>
        <v>Na faixa</v>
      </c>
      <c r="K22" s="25">
        <f>IF(OR(NOT(ISNUMBER(H22)),NOT(ISNUMBER(Config!$B$12))),"",MAX(0,Config!$B$12*G22-F22))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IF(OR(A23="",G23="",F23=""),"",IF(OR(NOT(IF(ISNUMBER(F23),F23&gt;=0,FALSE)),NOT(IF(ISNUMBER(G23),G23&gt;=0,FALSE))),"valor ou horas inválidos",IF(G23=0,"",F23/G23)))</f>
        <v>111.111111111111</v>
      </c>
      <c r="I23" s="31">
        <f>IF(OR(NOT(ISNUMBER(H23)),NOT(ISNUMBER(Config!$B$12))),"",IF(Config!$B$12=0,"sem base (mínimo zero)",H23/Config!$B$12-1))</f>
        <v>-0.13113075540389</v>
      </c>
      <c r="J23" s="33" t="str">
        <f>IF(H23="","",IF(NOT(ISNUMBER(H23)),H23,IF(NOT(ISNUMBER(Config!$B$12)),Config!$B$12,IF(NOT(ISNUMBER(Config!$B$13)),Config!$B$13,IF(H23&lt;Config!$B$12,"Abaixo do mínimo",IF(H23&lt;Config!$B$13,"Na faixa","Acima do alvo"))))))</f>
        <v>Abaixo do mínimo</v>
      </c>
      <c r="K23" s="25">
        <f>IF(OR(NOT(ISNUMBER(H23)),NOT(ISNUMBER(Config!$B$12))),"",MAX(0,Config!$B$12*G23-F23))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IF(OR(A24="",G24="",F24=""),"",IF(OR(NOT(IF(ISNUMBER(F24),F24&gt;=0,FALSE)),NOT(IF(ISNUMBER(G24),G24&gt;=0,FALSE))),"valor ou horas inválidos",IF(G24=0,"",F24/G24)))</f>
        <v>100</v>
      </c>
      <c r="I24" s="31">
        <f>IF(OR(NOT(ISNUMBER(H24)),NOT(ISNUMBER(Config!$B$12))),"",IF(Config!$B$12=0,"sem base (mínimo zero)",H24/Config!$B$12-1))</f>
        <v>-0.218017679863501</v>
      </c>
      <c r="J24" s="33" t="str">
        <f>IF(H24="","",IF(NOT(ISNUMBER(H24)),H24,IF(NOT(ISNUMBER(Config!$B$12)),Config!$B$12,IF(NOT(ISNUMBER(Config!$B$13)),Config!$B$13,IF(H24&lt;Config!$B$12,"Abaixo do mínimo",IF(H24&lt;Config!$B$13,"Na faixa","Acima do alvo"))))))</f>
        <v>Abaixo do mínimo</v>
      </c>
      <c r="K24" s="25">
        <f>IF(OR(NOT(ISNUMBER(H24)),NOT(ISNUMBER(Config!$B$12))),"",MAX(0,Config!$B$12*G24-F24))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IF(OR(A25="",G25="",F25=""),"",IF(OR(NOT(IF(ISNUMBER(F25),F25&gt;=0,FALSE)),NOT(IF(ISNUMBER(G25),G25&gt;=0,FALSE))),"valor ou horas inválidos",IF(G25=0,"",F25/G25)))</f>
        <v>157.894736842105</v>
      </c>
      <c r="I25" s="31">
        <f>IF(OR(NOT(ISNUMBER(H25)),NOT(ISNUMBER(Config!$B$12))),"",IF(Config!$B$12=0,"sem base (mínimo zero)",H25/Config!$B$12-1))</f>
        <v>0.234708926531314</v>
      </c>
      <c r="J25" s="33" t="str">
        <f>IF(H25="","",IF(NOT(ISNUMBER(H25)),H25,IF(NOT(ISNUMBER(Config!$B$12)),Config!$B$12,IF(NOT(ISNUMBER(Config!$B$13)),Config!$B$13,IF(H25&lt;Config!$B$12,"Abaixo do mínimo",IF(H25&lt;Config!$B$13,"Na faixa","Acima do alvo"))))))</f>
        <v>Na faixa</v>
      </c>
      <c r="K25" s="25">
        <f>IF(OR(NOT(ISNUMBER(H25)),NOT(ISNUMBER(Config!$B$12))),"",MAX(0,Config!$B$12*G25-F25))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IF(OR(A26="",G26="",F26=""),"",IF(OR(NOT(IF(ISNUMBER(F26),F26&gt;=0,FALSE)),NOT(IF(ISNUMBER(G26),G26&gt;=0,FALSE))),"valor ou horas inválidos",IF(G26=0,"",F26/G26)))</f>
        <v>150</v>
      </c>
      <c r="I26" s="31">
        <f>IF(OR(NOT(ISNUMBER(H26)),NOT(ISNUMBER(Config!$B$12))),"",IF(Config!$B$12=0,"sem base (mínimo zero)",H26/Config!$B$12-1))</f>
        <v>0.172973480204748</v>
      </c>
      <c r="J26" s="33" t="str">
        <f>IF(H26="","",IF(NOT(ISNUMBER(H26)),H26,IF(NOT(ISNUMBER(Config!$B$12)),Config!$B$12,IF(NOT(ISNUMBER(Config!$B$13)),Config!$B$13,IF(H26&lt;Config!$B$12,"Abaixo do mínimo",IF(H26&lt;Config!$B$13,"Na faixa","Acima do alvo"))))))</f>
        <v>Na faixa</v>
      </c>
      <c r="K26" s="25">
        <f>IF(OR(NOT(ISNUMBER(H26)),NOT(ISNUMBER(Config!$B$12))),"",MAX(0,Config!$B$12*G26-F26))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IF(OR(A27="",G27="",F27=""),"",IF(OR(NOT(IF(ISNUMBER(F27),F27&gt;=0,FALSE)),NOT(IF(ISNUMBER(G27),G27&gt;=0,FALSE))),"valor ou horas inválidos",IF(G27=0,"",F27/G27)))</f>
        <v>160</v>
      </c>
      <c r="I27" s="31">
        <f>IF(OR(NOT(ISNUMBER(H27)),NOT(ISNUMBER(Config!$B$12))),"",IF(Config!$B$12=0,"sem base (mínimo zero)",H27/Config!$B$12-1))</f>
        <v>0.251171712218398</v>
      </c>
      <c r="J27" s="33" t="str">
        <f>IF(H27="","",IF(NOT(ISNUMBER(H27)),H27,IF(NOT(ISNUMBER(Config!$B$12)),Config!$B$12,IF(NOT(ISNUMBER(Config!$B$13)),Config!$B$13,IF(H27&lt;Config!$B$12,"Abaixo do mínimo",IF(H27&lt;Config!$B$13,"Na faixa","Acima do alvo"))))))</f>
        <v>Na faixa</v>
      </c>
      <c r="K27" s="25">
        <f>IF(OR(NOT(ISNUMBER(H27)),NOT(ISNUMBER(Config!$B$12))),"",MAX(0,Config!$B$12*G27-F27))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IF(OR(A28="",G28="",F28=""),"",IF(OR(NOT(IF(ISNUMBER(F28),F28&gt;=0,FALSE)),NOT(IF(ISNUMBER(G28),G28&gt;=0,FALSE))),"valor ou horas inválidos",IF(G28=0,"",F28/G28)))</f>
        <v>190</v>
      </c>
      <c r="I28" s="31">
        <f>IF(OR(NOT(ISNUMBER(H28)),NOT(ISNUMBER(Config!$B$12))),"",IF(Config!$B$12=0,"sem base (mínimo zero)",H28/Config!$B$12-1))</f>
        <v>0.485766408259348</v>
      </c>
      <c r="J28" s="33" t="str">
        <f>IF(H28="","",IF(NOT(ISNUMBER(H28)),H28,IF(NOT(ISNUMBER(Config!$B$12)),Config!$B$12,IF(NOT(ISNUMBER(Config!$B$13)),Config!$B$13,IF(H28&lt;Config!$B$12,"Abaixo do mínimo",IF(H28&lt;Config!$B$13,"Na faixa","Acima do alvo"))))))</f>
        <v>Acima do alvo</v>
      </c>
      <c r="K28" s="25">
        <f>IF(OR(NOT(ISNUMBER(H28)),NOT(ISNUMBER(Config!$B$12))),"",MAX(0,Config!$B$12*G28-F28))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IF(OR(A29="",G29="",F29=""),"",IF(OR(NOT(IF(ISNUMBER(F29),F29&gt;=0,FALSE)),NOT(IF(ISNUMBER(G29),G29&gt;=0,FALSE))),"valor ou horas inválidos",IF(G29=0,"",F29/G29)))</f>
        <v>180.451127819549</v>
      </c>
      <c r="I29" s="31">
        <f>IF(OR(NOT(ISNUMBER(H29)),NOT(ISNUMBER(Config!$B$12))),"",IF(Config!$B$12=0,"sem base (mínimo zero)",H29/Config!$B$12-1))</f>
        <v>0.411095916035788</v>
      </c>
      <c r="J29" s="33" t="str">
        <f>IF(H29="","",IF(NOT(ISNUMBER(H29)),H29,IF(NOT(ISNUMBER(Config!$B$12)),Config!$B$12,IF(NOT(ISNUMBER(Config!$B$13)),Config!$B$13,IF(H29&lt;Config!$B$12,"Abaixo do mínimo",IF(H29&lt;Config!$B$13,"Na faixa","Acima do alvo"))))))</f>
        <v>Acima do alvo</v>
      </c>
      <c r="K29" s="25">
        <f>IF(OR(NOT(ISNUMBER(H29)),NOT(ISNUMBER(Config!$B$12))),"",MAX(0,Config!$B$12*G29-F29))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IF(OR(A30="",G30="",F30=""),"",IF(OR(NOT(IF(ISNUMBER(F30),F30&gt;=0,FALSE)),NOT(IF(ISNUMBER(G30),G30&gt;=0,FALSE))),"valor ou horas inválidos",IF(G30=0,"",F30/G30)))</f>
        <v>233.333333333333</v>
      </c>
      <c r="I30" s="31">
        <f>IF(OR(NOT(ISNUMBER(H30)),NOT(ISNUMBER(Config!$B$12))),"",IF(Config!$B$12=0,"sem base (mínimo zero)",H30/Config!$B$12-1))</f>
        <v>0.824625413651831</v>
      </c>
      <c r="J30" s="33" t="str">
        <f>IF(H30="","",IF(NOT(ISNUMBER(H30)),H30,IF(NOT(ISNUMBER(Config!$B$12)),Config!$B$12,IF(NOT(ISNUMBER(Config!$B$13)),Config!$B$13,IF(H30&lt;Config!$B$12,"Abaixo do mínimo",IF(H30&lt;Config!$B$13,"Na faixa","Acima do alvo"))))))</f>
        <v>Acima do alvo</v>
      </c>
      <c r="K30" s="25">
        <f>IF(OR(NOT(ISNUMBER(H30)),NOT(ISNUMBER(Config!$B$12))),"",MAX(0,Config!$B$12*G30-F30))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IF(OR(A31="",G31="",F31=""),"",IF(OR(NOT(IF(ISNUMBER(F31),F31&gt;=0,FALSE)),NOT(IF(ISNUMBER(G31),G31&gt;=0,FALSE))),"valor ou horas inválidos",IF(G31=0,"",F31/G31)))</f>
        <v>100</v>
      </c>
      <c r="I31" s="31">
        <f>IF(OR(NOT(ISNUMBER(H31)),NOT(ISNUMBER(Config!$B$12))),"",IF(Config!$B$12=0,"sem base (mínimo zero)",H31/Config!$B$12-1))</f>
        <v>-0.218017679863501</v>
      </c>
      <c r="J31" s="33" t="str">
        <f>IF(H31="","",IF(NOT(ISNUMBER(H31)),H31,IF(NOT(ISNUMBER(Config!$B$12)),Config!$B$12,IF(NOT(ISNUMBER(Config!$B$13)),Config!$B$13,IF(H31&lt;Config!$B$12,"Abaixo do mínimo",IF(H31&lt;Config!$B$13,"Na faixa","Acima do alvo"))))))</f>
        <v>Abaixo do mínimo</v>
      </c>
      <c r="K31" s="25">
        <f>IF(OR(NOT(ISNUMBER(H31)),NOT(ISNUMBER(Config!$B$12))),"",MAX(0,Config!$B$12*G31-F31))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IF(OR(A32="",G32="",F32=""),"",IF(OR(NOT(IF(ISNUMBER(F32),F32&gt;=0,FALSE)),NOT(IF(ISNUMBER(G32),G32&gt;=0,FALSE))),"valor ou horas inválidos",IF(G32=0,"",F32/G32)))</f>
        <v>136.363636363636</v>
      </c>
      <c r="I32" s="31">
        <f>IF(OR(NOT(ISNUMBER(H32)),NOT(ISNUMBER(Config!$B$12))),"",IF(Config!$B$12=0,"sem base (mínimo zero)",H32/Config!$B$12-1))</f>
        <v>0.0663395274588623</v>
      </c>
      <c r="J32" s="33" t="str">
        <f>IF(H32="","",IF(NOT(ISNUMBER(H32)),H32,IF(NOT(ISNUMBER(Config!$B$12)),Config!$B$12,IF(NOT(ISNUMBER(Config!$B$13)),Config!$B$13,IF(H32&lt;Config!$B$12,"Abaixo do mínimo",IF(H32&lt;Config!$B$13,"Na faixa","Acima do alvo"))))))</f>
        <v>Na faixa</v>
      </c>
      <c r="K32" s="25">
        <f>IF(OR(NOT(ISNUMBER(H32)),NOT(ISNUMBER(Config!$B$12))),"",MAX(0,Config!$B$12*G32-F32))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IF(OR(A33="",G33="",F33=""),"",IF(OR(NOT(IF(ISNUMBER(F33),F33&gt;=0,FALSE)),NOT(IF(ISNUMBER(G33),G33&gt;=0,FALSE))),"valor ou horas inválidos",IF(G33=0,"",F33/G33)))</f>
        <v>190</v>
      </c>
      <c r="I33" s="31">
        <f>IF(OR(NOT(ISNUMBER(H33)),NOT(ISNUMBER(Config!$B$12))),"",IF(Config!$B$12=0,"sem base (mínimo zero)",H33/Config!$B$12-1))</f>
        <v>0.485766408259348</v>
      </c>
      <c r="J33" s="33" t="str">
        <f>IF(H33="","",IF(NOT(ISNUMBER(H33)),H33,IF(NOT(ISNUMBER(Config!$B$12)),Config!$B$12,IF(NOT(ISNUMBER(Config!$B$13)),Config!$B$13,IF(H33&lt;Config!$B$12,"Abaixo do mínimo",IF(H33&lt;Config!$B$13,"Na faixa","Acima do alvo"))))))</f>
        <v>Acima do alvo</v>
      </c>
      <c r="K33" s="25">
        <f>IF(OR(NOT(ISNUMBER(H33)),NOT(ISNUMBER(Config!$B$12))),"",MAX(0,Config!$B$12*G33-F33))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IF(OR(A34="",G34="",F34=""),"",IF(OR(NOT(IF(ISNUMBER(F34),F34&gt;=0,FALSE)),NOT(IF(ISNUMBER(G34),G34&gt;=0,FALSE))),"valor ou horas inválidos",IF(G34=0,"",F34/G34)))</f>
        <v>154.285714285714</v>
      </c>
      <c r="I34" s="31">
        <f>IF(OR(NOT(ISNUMBER(H34)),NOT(ISNUMBER(Config!$B$12))),"",IF(Config!$B$12=0,"sem base (mínimo zero)",H34/Config!$B$12-1))</f>
        <v>0.206487008210598</v>
      </c>
      <c r="J34" s="33" t="str">
        <f>IF(H34="","",IF(NOT(ISNUMBER(H34)),H34,IF(NOT(ISNUMBER(Config!$B$12)),Config!$B$12,IF(NOT(ISNUMBER(Config!$B$13)),Config!$B$13,IF(H34&lt;Config!$B$12,"Abaixo do mínimo",IF(H34&lt;Config!$B$13,"Na faixa","Acima do alvo"))))))</f>
        <v>Na faixa</v>
      </c>
      <c r="K34" s="25">
        <f>IF(OR(NOT(ISNUMBER(H34)),NOT(ISNUMBER(Config!$B$12))),"",MAX(0,Config!$B$12*G34-F34))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IF(OR(A35="",G35="",F35=""),"",IF(OR(NOT(IF(ISNUMBER(F35),F35&gt;=0,FALSE)),NOT(IF(ISNUMBER(G35),G35&gt;=0,FALSE))),"valor ou horas inválidos",IF(G35=0,"",F35/G35)))</f>
        <v>200</v>
      </c>
      <c r="I35" s="31">
        <f>IF(OR(NOT(ISNUMBER(H35)),NOT(ISNUMBER(Config!$B$12))),"",IF(Config!$B$12=0,"sem base (mínimo zero)",H35/Config!$B$12-1))</f>
        <v>0.563964640272998</v>
      </c>
      <c r="J35" s="33" t="str">
        <f>IF(H35="","",IF(NOT(ISNUMBER(H35)),H35,IF(NOT(ISNUMBER(Config!$B$12)),Config!$B$12,IF(NOT(ISNUMBER(Config!$B$13)),Config!$B$13,IF(H35&lt;Config!$B$12,"Abaixo do mínimo",IF(H35&lt;Config!$B$13,"Na faixa","Acima do alvo"))))))</f>
        <v>Acima do alvo</v>
      </c>
      <c r="K35" s="25">
        <f>IF(OR(NOT(ISNUMBER(H35)),NOT(ISNUMBER(Config!$B$12))),"",MAX(0,Config!$B$12*G35-F35))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IF(OR(A36="",G36="",F36=""),"",IF(OR(NOT(IF(ISNUMBER(F36),F36&gt;=0,FALSE)),NOT(IF(ISNUMBER(G36),G36&gt;=0,FALSE))),"valor ou horas inválidos",IF(G36=0,"",F36/G36)))</f>
        <v>163.636363636364</v>
      </c>
      <c r="I36" s="31">
        <f>IF(OR(NOT(ISNUMBER(H36)),NOT(ISNUMBER(Config!$B$12))),"",IF(Config!$B$12=0,"sem base (mínimo zero)",H36/Config!$B$12-1))</f>
        <v>0.279607432950635</v>
      </c>
      <c r="J36" s="33" t="str">
        <f>IF(H36="","",IF(NOT(ISNUMBER(H36)),H36,IF(NOT(ISNUMBER(Config!$B$12)),Config!$B$12,IF(NOT(ISNUMBER(Config!$B$13)),Config!$B$13,IF(H36&lt;Config!$B$12,"Abaixo do mínimo",IF(H36&lt;Config!$B$13,"Na faixa","Acima do alvo"))))))</f>
        <v>Na faixa</v>
      </c>
      <c r="K36" s="25">
        <f>IF(OR(NOT(ISNUMBER(H36)),NOT(ISNUMBER(Config!$B$12))),"",MAX(0,Config!$B$12*G36-F36))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IF(OR(A37="",G37="",F37=""),"",IF(OR(NOT(IF(ISNUMBER(F37),F37&gt;=0,FALSE)),NOT(IF(ISNUMBER(G37),G37&gt;=0,FALSE))),"valor ou horas inválidos",IF(G37=0,"",F37/G37)))</f>
        <v>144.444444444444</v>
      </c>
      <c r="I37" s="31">
        <f>IF(OR(NOT(ISNUMBER(H37)),NOT(ISNUMBER(Config!$B$12))),"",IF(Config!$B$12=0,"sem base (mínimo zero)",H37/Config!$B$12-1))</f>
        <v>0.129530017974943</v>
      </c>
      <c r="J37" s="33" t="str">
        <f>IF(H37="","",IF(NOT(ISNUMBER(H37)),H37,IF(NOT(ISNUMBER(Config!$B$12)),Config!$B$12,IF(NOT(ISNUMBER(Config!$B$13)),Config!$B$13,IF(H37&lt;Config!$B$12,"Abaixo do mínimo",IF(H37&lt;Config!$B$13,"Na faixa","Acima do alvo"))))))</f>
        <v>Na faixa</v>
      </c>
      <c r="K37" s="25">
        <f>IF(OR(NOT(ISNUMBER(H37)),NOT(ISNUMBER(Config!$B$12))),"",MAX(0,Config!$B$12*G37-F37))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IF(OR(A38="",G38="",F38=""),"",IF(OR(NOT(IF(ISNUMBER(F38),F38&gt;=0,FALSE)),NOT(IF(ISNUMBER(G38),G38&gt;=0,FALSE))),"valor ou horas inválidos",IF(G38=0,"",F38/G38)))</f>
        <v>133.333333333333</v>
      </c>
      <c r="I38" s="31">
        <f>IF(OR(NOT(ISNUMBER(H38)),NOT(ISNUMBER(Config!$B$12))),"",IF(Config!$B$12=0,"sem base (mínimo zero)",H38/Config!$B$12-1))</f>
        <v>0.0426430935153319</v>
      </c>
      <c r="J38" s="33" t="str">
        <f>IF(H38="","",IF(NOT(ISNUMBER(H38)),H38,IF(NOT(ISNUMBER(Config!$B$12)),Config!$B$12,IF(NOT(ISNUMBER(Config!$B$13)),Config!$B$13,IF(H38&lt;Config!$B$12,"Abaixo do mínimo",IF(H38&lt;Config!$B$13,"Na faixa","Acima do alvo"))))))</f>
        <v>Na faixa</v>
      </c>
      <c r="K38" s="25">
        <f>IF(OR(NOT(ISNUMBER(H38)),NOT(ISNUMBER(Config!$B$12))),"",MAX(0,Config!$B$12*G38-F38))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IF(OR(A39="",G39="",F39=""),"",IF(OR(NOT(IF(ISNUMBER(F39),F39&gt;=0,FALSE)),NOT(IF(ISNUMBER(G39),G39&gt;=0,FALSE))),"valor ou horas inválidos",IF(G39=0,"",F39/G39)))</f>
        <v>126.315789473684</v>
      </c>
      <c r="I39" s="31">
        <f>IF(OR(NOT(ISNUMBER(H39)),NOT(ISNUMBER(Config!$B$12))),"",IF(Config!$B$12=0,"sem base (mínimo zero)",H39/Config!$B$12-1))</f>
        <v>-0.0122328587749487</v>
      </c>
      <c r="J39" s="33" t="str">
        <f>IF(H39="","",IF(NOT(ISNUMBER(H39)),H39,IF(NOT(ISNUMBER(Config!$B$12)),Config!$B$12,IF(NOT(ISNUMBER(Config!$B$13)),Config!$B$13,IF(H39&lt;Config!$B$12,"Abaixo do mínimo",IF(H39&lt;Config!$B$13,"Na faixa","Acima do alvo"))))))</f>
        <v>Abaixo do mínimo</v>
      </c>
      <c r="K39" s="25">
        <f>IF(OR(NOT(ISNUMBER(H39)),NOT(ISNUMBER(Config!$B$12))),"",MAX(0,Config!$B$12*G39-F39))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IF(OR(A40="",G40="",F40=""),"",IF(OR(NOT(IF(ISNUMBER(F40),F40&gt;=0,FALSE)),NOT(IF(ISNUMBER(G40),G40&gt;=0,FALSE))),"valor ou horas inválidos",IF(G40=0,"",F40/G40)))</f>
        <v>127.272727272727</v>
      </c>
      <c r="I40" s="31">
        <f>IF(OR(NOT(ISNUMBER(H40)),NOT(ISNUMBER(Config!$B$12))),"",IF(Config!$B$12=0,"sem base (mínimo zero)",H40/Config!$B$12-1))</f>
        <v>-0.00474977437172863</v>
      </c>
      <c r="J40" s="33" t="str">
        <f>IF(H40="","",IF(NOT(ISNUMBER(H40)),H40,IF(NOT(ISNUMBER(Config!$B$12)),Config!$B$12,IF(NOT(ISNUMBER(Config!$B$13)),Config!$B$13,IF(H40&lt;Config!$B$12,"Abaixo do mínimo",IF(H40&lt;Config!$B$13,"Na faixa","Acima do alvo"))))))</f>
        <v>Abaixo do mínimo</v>
      </c>
      <c r="K40" s="25">
        <f>IF(OR(NOT(ISNUMBER(H40)),NOT(ISNUMBER(Config!$B$12))),"",MAX(0,Config!$B$12*G40-F40))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IF(OR(A41="",G41="",F41=""),"",IF(OR(NOT(IF(ISNUMBER(F41),F41&gt;=0,FALSE)),NOT(IF(ISNUMBER(G41),G41&gt;=0,FALSE))),"valor ou horas inválidos",IF(G41=0,"",F41/G41)))</f>
        <v>150</v>
      </c>
      <c r="I41" s="31">
        <f>IF(OR(NOT(ISNUMBER(H41)),NOT(ISNUMBER(Config!$B$12))),"",IF(Config!$B$12=0,"sem base (mínimo zero)",H41/Config!$B$12-1))</f>
        <v>0.172973480204748</v>
      </c>
      <c r="J41" s="33" t="str">
        <f>IF(H41="","",IF(NOT(ISNUMBER(H41)),H41,IF(NOT(ISNUMBER(Config!$B$12)),Config!$B$12,IF(NOT(ISNUMBER(Config!$B$13)),Config!$B$13,IF(H41&lt;Config!$B$12,"Abaixo do mínimo",IF(H41&lt;Config!$B$13,"Na faixa","Acima do alvo"))))))</f>
        <v>Na faixa</v>
      </c>
      <c r="K41" s="25">
        <f>IF(OR(NOT(ISNUMBER(H41)),NOT(ISNUMBER(Config!$B$12))),"",MAX(0,Config!$B$12*G41-F41))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IF(OR(A42="",G42="",F42=""),"",IF(OR(NOT(IF(ISNUMBER(F42),F42&gt;=0,FALSE)),NOT(IF(ISNUMBER(G42),G42&gt;=0,FALSE))),"valor ou horas inválidos",IF(G42=0,"",F42/G42)))</f>
        <v>121.428571428571</v>
      </c>
      <c r="I42" s="31">
        <f>IF(OR(NOT(ISNUMBER(H42)),NOT(ISNUMBER(Config!$B$12))),"",IF(Config!$B$12=0,"sem base (mínimo zero)",H42/Config!$B$12-1))</f>
        <v>-0.0504500398342512</v>
      </c>
      <c r="J42" s="33" t="str">
        <f>IF(H42="","",IF(NOT(ISNUMBER(H42)),H42,IF(NOT(ISNUMBER(Config!$B$12)),Config!$B$12,IF(NOT(ISNUMBER(Config!$B$13)),Config!$B$13,IF(H42&lt;Config!$B$12,"Abaixo do mínimo",IF(H42&lt;Config!$B$13,"Na faixa","Acima do alvo"))))))</f>
        <v>Abaixo do mínimo</v>
      </c>
      <c r="K42" s="25">
        <f>IF(OR(NOT(ISNUMBER(H42)),NOT(ISNUMBER(Config!$B$12))),"",MAX(0,Config!$B$12*G42-F42))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IF(OR(A43="",G43="",F43=""),"",IF(OR(NOT(IF(ISNUMBER(F43),F43&gt;=0,FALSE)),NOT(IF(ISNUMBER(G43),G43&gt;=0,FALSE))),"valor ou horas inválidos",IF(G43=0,"",F43/G43)))</f>
        <v/>
      </c>
      <c r="I43" s="31">
        <f>IF(OR(NOT(ISNUMBER(H43)),NOT(ISNUMBER(Config!$B$12))),"",IF(Config!$B$12=0,"sem base (mínimo zero)",H43/Config!$B$12-1))</f>
        <v/>
      </c>
      <c r="J43" s="33">
        <f>IF(H43="","",IF(NOT(ISNUMBER(H43)),H43,IF(NOT(ISNUMBER(Config!$B$12)),Config!$B$12,IF(NOT(ISNUMBER(Config!$B$13)),Config!$B$13,IF(H43&lt;Config!$B$12,"Abaixo do mínimo",IF(H43&lt;Config!$B$13,"Na faixa","Acima do alvo"))))))</f>
        <v/>
      </c>
      <c r="K43" s="25">
        <f>IF(OR(NOT(ISNUMBER(H43)),NOT(ISNUMBER(Config!$B$12))),"",MAX(0,Config!$B$12*G43-F43))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IF(OR(A44="",G44="",F44=""),"",IF(OR(NOT(IF(ISNUMBER(F44),F44&gt;=0,FALSE)),NOT(IF(ISNUMBER(G44),G44&gt;=0,FALSE))),"valor ou horas inválidos",IF(G44=0,"",F44/G44)))</f>
        <v/>
      </c>
      <c r="I44" s="31">
        <f>IF(OR(NOT(ISNUMBER(H44)),NOT(ISNUMBER(Config!$B$12))),"",IF(Config!$B$12=0,"sem base (mínimo zero)",H44/Config!$B$12-1))</f>
        <v/>
      </c>
      <c r="J44" s="33">
        <f>IF(H44="","",IF(NOT(ISNUMBER(H44)),H44,IF(NOT(ISNUMBER(Config!$B$12)),Config!$B$12,IF(NOT(ISNUMBER(Config!$B$13)),Config!$B$13,IF(H44&lt;Config!$B$12,"Abaixo do mínimo",IF(H44&lt;Config!$B$13,"Na faixa","Acima do alvo"))))))</f>
        <v/>
      </c>
      <c r="K44" s="25">
        <f>IF(OR(NOT(ISNUMBER(H44)),NOT(ISNUMBER(Config!$B$12))),"",MAX(0,Config!$B$12*G44-F44))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IF(OR(A45="",G45="",F45=""),"",IF(OR(NOT(IF(ISNUMBER(F45),F45&gt;=0,FALSE)),NOT(IF(ISNUMBER(G45),G45&gt;=0,FALSE))),"valor ou horas inválidos",IF(G45=0,"",F45/G45)))</f>
        <v/>
      </c>
      <c r="I45" s="31">
        <f>IF(OR(NOT(ISNUMBER(H45)),NOT(ISNUMBER(Config!$B$12))),"",IF(Config!$B$12=0,"sem base (mínimo zero)",H45/Config!$B$12-1))</f>
        <v/>
      </c>
      <c r="J45" s="33">
        <f>IF(H45="","",IF(NOT(ISNUMBER(H45)),H45,IF(NOT(ISNUMBER(Config!$B$12)),Config!$B$12,IF(NOT(ISNUMBER(Config!$B$13)),Config!$B$13,IF(H45&lt;Config!$B$12,"Abaixo do mínimo",IF(H45&lt;Config!$B$13,"Na faixa","Acima do alvo"))))))</f>
        <v/>
      </c>
      <c r="K45" s="25">
        <f>IF(OR(NOT(ISNUMBER(H45)),NOT(ISNUMBER(Config!$B$12))),"",MAX(0,Config!$B$12*G45-F45))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IF(OR(A46="",G46="",F46=""),"",IF(OR(NOT(IF(ISNUMBER(F46),F46&gt;=0,FALSE)),NOT(IF(ISNUMBER(G46),G46&gt;=0,FALSE))),"valor ou horas inválidos",IF(G46=0,"",F46/G46)))</f>
        <v/>
      </c>
      <c r="I46" s="31">
        <f>IF(OR(NOT(ISNUMBER(H46)),NOT(ISNUMBER(Config!$B$12))),"",IF(Config!$B$12=0,"sem base (mínimo zero)",H46/Config!$B$12-1))</f>
        <v/>
      </c>
      <c r="J46" s="33">
        <f>IF(H46="","",IF(NOT(ISNUMBER(H46)),H46,IF(NOT(ISNUMBER(Config!$B$12)),Config!$B$12,IF(NOT(ISNUMBER(Config!$B$13)),Config!$B$13,IF(H46&lt;Config!$B$12,"Abaixo do mínimo",IF(H46&lt;Config!$B$13,"Na faixa","Acima do alvo"))))))</f>
        <v/>
      </c>
      <c r="K46" s="25">
        <f>IF(OR(NOT(ISNUMBER(H46)),NOT(ISNUMBER(Config!$B$12))),"",MAX(0,Config!$B$12*G46-F46))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IF(OR(A47="",G47="",F47=""),"",IF(OR(NOT(IF(ISNUMBER(F47),F47&gt;=0,FALSE)),NOT(IF(ISNUMBER(G47),G47&gt;=0,FALSE))),"valor ou horas inválidos",IF(G47=0,"",F47/G47)))</f>
        <v/>
      </c>
      <c r="I47" s="31">
        <f>IF(OR(NOT(ISNUMBER(H47)),NOT(ISNUMBER(Config!$B$12))),"",IF(Config!$B$12=0,"sem base (mínimo zero)",H47/Config!$B$12-1))</f>
        <v/>
      </c>
      <c r="J47" s="33">
        <f>IF(H47="","",IF(NOT(ISNUMBER(H47)),H47,IF(NOT(ISNUMBER(Config!$B$12)),Config!$B$12,IF(NOT(ISNUMBER(Config!$B$13)),Config!$B$13,IF(H47&lt;Config!$B$12,"Abaixo do mínimo",IF(H47&lt;Config!$B$13,"Na faixa","Acima do alvo"))))))</f>
        <v/>
      </c>
      <c r="K47" s="25">
        <f>IF(OR(NOT(ISNUMBER(H47)),NOT(ISNUMBER(Config!$B$12))),"",MAX(0,Config!$B$12*G47-F47))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IF(OR(A48="",G48="",F48=""),"",IF(OR(NOT(IF(ISNUMBER(F48),F48&gt;=0,FALSE)),NOT(IF(ISNUMBER(G48),G48&gt;=0,FALSE))),"valor ou horas inválidos",IF(G48=0,"",F48/G48)))</f>
        <v/>
      </c>
      <c r="I48" s="31">
        <f>IF(OR(NOT(ISNUMBER(H48)),NOT(ISNUMBER(Config!$B$12))),"",IF(Config!$B$12=0,"sem base (mínimo zero)",H48/Config!$B$12-1))</f>
        <v/>
      </c>
      <c r="J48" s="33">
        <f>IF(H48="","",IF(NOT(ISNUMBER(H48)),H48,IF(NOT(ISNUMBER(Config!$B$12)),Config!$B$12,IF(NOT(ISNUMBER(Config!$B$13)),Config!$B$13,IF(H48&lt;Config!$B$12,"Abaixo do mínimo",IF(H48&lt;Config!$B$13,"Na faixa","Acima do alvo"))))))</f>
        <v/>
      </c>
      <c r="K48" s="25">
        <f>IF(OR(NOT(ISNUMBER(H48)),NOT(ISNUMBER(Config!$B$12))),"",MAX(0,Config!$B$12*G48-F48))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IF(OR(A49="",G49="",F49=""),"",IF(OR(NOT(IF(ISNUMBER(F49),F49&gt;=0,FALSE)),NOT(IF(ISNUMBER(G49),G49&gt;=0,FALSE))),"valor ou horas inválidos",IF(G49=0,"",F49/G49)))</f>
        <v/>
      </c>
      <c r="I49" s="31">
        <f>IF(OR(NOT(ISNUMBER(H49)),NOT(ISNUMBER(Config!$B$12))),"",IF(Config!$B$12=0,"sem base (mínimo zero)",H49/Config!$B$12-1))</f>
        <v/>
      </c>
      <c r="J49" s="33">
        <f>IF(H49="","",IF(NOT(ISNUMBER(H49)),H49,IF(NOT(ISNUMBER(Config!$B$12)),Config!$B$12,IF(NOT(ISNUMBER(Config!$B$13)),Config!$B$13,IF(H49&lt;Config!$B$12,"Abaixo do mínimo",IF(H49&lt;Config!$B$13,"Na faixa","Acima do alvo"))))))</f>
        <v/>
      </c>
      <c r="K49" s="25">
        <f>IF(OR(NOT(ISNUMBER(H49)),NOT(ISNUMBER(Config!$B$12))),"",MAX(0,Config!$B$12*G49-F49))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IF(OR(A50="",G50="",F50=""),"",IF(OR(NOT(IF(ISNUMBER(F50),F50&gt;=0,FALSE)),NOT(IF(ISNUMBER(G50),G50&gt;=0,FALSE))),"valor ou horas inválidos",IF(G50=0,"",F50/G50)))</f>
        <v/>
      </c>
      <c r="I50" s="31">
        <f>IF(OR(NOT(ISNUMBER(H50)),NOT(ISNUMBER(Config!$B$12))),"",IF(Config!$B$12=0,"sem base (mínimo zero)",H50/Config!$B$12-1))</f>
        <v/>
      </c>
      <c r="J50" s="33">
        <f>IF(H50="","",IF(NOT(ISNUMBER(H50)),H50,IF(NOT(ISNUMBER(Config!$B$12)),Config!$B$12,IF(NOT(ISNUMBER(Config!$B$13)),Config!$B$13,IF(H50&lt;Config!$B$12,"Abaixo do mínimo",IF(H50&lt;Config!$B$13,"Na faixa","Acima do alvo"))))))</f>
        <v/>
      </c>
      <c r="K50" s="25">
        <f>IF(OR(NOT(ISNUMBER(H50)),NOT(ISNUMBER(Config!$B$12))),"",MAX(0,Config!$B$12*G50-F50))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IF(OR(A51="",G51="",F51=""),"",IF(OR(NOT(IF(ISNUMBER(F51),F51&gt;=0,FALSE)),NOT(IF(ISNUMBER(G51),G51&gt;=0,FALSE))),"valor ou horas inválidos",IF(G51=0,"",F51/G51)))</f>
        <v/>
      </c>
      <c r="I51" s="31">
        <f>IF(OR(NOT(ISNUMBER(H51)),NOT(ISNUMBER(Config!$B$12))),"",IF(Config!$B$12=0,"sem base (mínimo zero)",H51/Config!$B$12-1))</f>
        <v/>
      </c>
      <c r="J51" s="33">
        <f>IF(H51="","",IF(NOT(ISNUMBER(H51)),H51,IF(NOT(ISNUMBER(Config!$B$12)),Config!$B$12,IF(NOT(ISNUMBER(Config!$B$13)),Config!$B$13,IF(H51&lt;Config!$B$12,"Abaixo do mínimo",IF(H51&lt;Config!$B$13,"Na faixa","Acima do alvo"))))))</f>
        <v/>
      </c>
      <c r="K51" s="25">
        <f>IF(OR(NOT(ISNUMBER(H51)),NOT(ISNUMBER(Config!$B$12))),"",MAX(0,Config!$B$12*G51-F51))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IF(OR(A52="",G52="",F52=""),"",IF(OR(NOT(IF(ISNUMBER(F52),F52&gt;=0,FALSE)),NOT(IF(ISNUMBER(G52),G52&gt;=0,FALSE))),"valor ou horas inválidos",IF(G52=0,"",F52/G52)))</f>
        <v/>
      </c>
      <c r="I52" s="31">
        <f>IF(OR(NOT(ISNUMBER(H52)),NOT(ISNUMBER(Config!$B$12))),"",IF(Config!$B$12=0,"sem base (mínimo zero)",H52/Config!$B$12-1))</f>
        <v/>
      </c>
      <c r="J52" s="33">
        <f>IF(H52="","",IF(NOT(ISNUMBER(H52)),H52,IF(NOT(ISNUMBER(Config!$B$12)),Config!$B$12,IF(NOT(ISNUMBER(Config!$B$13)),Config!$B$13,IF(H52&lt;Config!$B$12,"Abaixo do mínimo",IF(H52&lt;Config!$B$13,"Na faixa","Acima do alvo"))))))</f>
        <v/>
      </c>
      <c r="K52" s="25">
        <f>IF(OR(NOT(ISNUMBER(H52)),NOT(ISNUMBER(Config!$B$12))),"",MAX(0,Config!$B$12*G52-F52))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IF(OR(A53="",G53="",F53=""),"",IF(OR(NOT(IF(ISNUMBER(F53),F53&gt;=0,FALSE)),NOT(IF(ISNUMBER(G53),G53&gt;=0,FALSE))),"valor ou horas inválidos",IF(G53=0,"",F53/G53)))</f>
        <v/>
      </c>
      <c r="I53" s="31">
        <f>IF(OR(NOT(ISNUMBER(H53)),NOT(ISNUMBER(Config!$B$12))),"",IF(Config!$B$12=0,"sem base (mínimo zero)",H53/Config!$B$12-1))</f>
        <v/>
      </c>
      <c r="J53" s="33">
        <f>IF(H53="","",IF(NOT(ISNUMBER(H53)),H53,IF(NOT(ISNUMBER(Config!$B$12)),Config!$B$12,IF(NOT(ISNUMBER(Config!$B$13)),Config!$B$13,IF(H53&lt;Config!$B$12,"Abaixo do mínimo",IF(H53&lt;Config!$B$13,"Na faixa","Acima do alvo"))))))</f>
        <v/>
      </c>
      <c r="K53" s="25">
        <f>IF(OR(NOT(ISNUMBER(H53)),NOT(ISNUMBER(Config!$B$12))),"",MAX(0,Config!$B$12*G53-F53))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IF(OR(A54="",G54="",F54=""),"",IF(OR(NOT(IF(ISNUMBER(F54),F54&gt;=0,FALSE)),NOT(IF(ISNUMBER(G54),G54&gt;=0,FALSE))),"valor ou horas inválidos",IF(G54=0,"",F54/G54)))</f>
        <v/>
      </c>
      <c r="I54" s="31">
        <f>IF(OR(NOT(ISNUMBER(H54)),NOT(ISNUMBER(Config!$B$12))),"",IF(Config!$B$12=0,"sem base (mínimo zero)",H54/Config!$B$12-1))</f>
        <v/>
      </c>
      <c r="J54" s="33">
        <f>IF(H54="","",IF(NOT(ISNUMBER(H54)),H54,IF(NOT(ISNUMBER(Config!$B$12)),Config!$B$12,IF(NOT(ISNUMBER(Config!$B$13)),Config!$B$13,IF(H54&lt;Config!$B$12,"Abaixo do mínimo",IF(H54&lt;Config!$B$13,"Na faixa","Acima do alvo"))))))</f>
        <v/>
      </c>
      <c r="K54" s="25">
        <f>IF(OR(NOT(ISNUMBER(H54)),NOT(ISNUMBER(Config!$B$12))),"",MAX(0,Config!$B$12*G54-F54))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IF(OR(A55="",G55="",F55=""),"",IF(OR(NOT(IF(ISNUMBER(F55),F55&gt;=0,FALSE)),NOT(IF(ISNUMBER(G55),G55&gt;=0,FALSE))),"valor ou horas inválidos",IF(G55=0,"",F55/G55)))</f>
        <v/>
      </c>
      <c r="I55" s="31">
        <f>IF(OR(NOT(ISNUMBER(H55)),NOT(ISNUMBER(Config!$B$12))),"",IF(Config!$B$12=0,"sem base (mínimo zero)",H55/Config!$B$12-1))</f>
        <v/>
      </c>
      <c r="J55" s="33">
        <f>IF(H55="","",IF(NOT(ISNUMBER(H55)),H55,IF(NOT(ISNUMBER(Config!$B$12)),Config!$B$12,IF(NOT(ISNUMBER(Config!$B$13)),Config!$B$13,IF(H55&lt;Config!$B$12,"Abaixo do mínimo",IF(H55&lt;Config!$B$13,"Na faixa","Acima do alvo"))))))</f>
        <v/>
      </c>
      <c r="K55" s="25">
        <f>IF(OR(NOT(ISNUMBER(H55)),NOT(ISNUMBER(Config!$B$12))),"",MAX(0,Config!$B$12*G55-F55))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IF(OR(A56="",G56="",F56=""),"",IF(OR(NOT(IF(ISNUMBER(F56),F56&gt;=0,FALSE)),NOT(IF(ISNUMBER(G56),G56&gt;=0,FALSE))),"valor ou horas inválidos",IF(G56=0,"",F56/G56)))</f>
        <v/>
      </c>
      <c r="I56" s="31">
        <f>IF(OR(NOT(ISNUMBER(H56)),NOT(ISNUMBER(Config!$B$12))),"",IF(Config!$B$12=0,"sem base (mínimo zero)",H56/Config!$B$12-1))</f>
        <v/>
      </c>
      <c r="J56" s="33">
        <f>IF(H56="","",IF(NOT(ISNUMBER(H56)),H56,IF(NOT(ISNUMBER(Config!$B$12)),Config!$B$12,IF(NOT(ISNUMBER(Config!$B$13)),Config!$B$13,IF(H56&lt;Config!$B$12,"Abaixo do mínimo",IF(H56&lt;Config!$B$13,"Na faixa","Acima do alvo"))))))</f>
        <v/>
      </c>
      <c r="K56" s="25">
        <f>IF(OR(NOT(ISNUMBER(H56)),NOT(ISNUMBER(Config!$B$12))),"",MAX(0,Config!$B$12*G56-F56))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IF(OR(A57="",G57="",F57=""),"",IF(OR(NOT(IF(ISNUMBER(F57),F57&gt;=0,FALSE)),NOT(IF(ISNUMBER(G57),G57&gt;=0,FALSE))),"valor ou horas inválidos",IF(G57=0,"",F57/G57)))</f>
        <v/>
      </c>
      <c r="I57" s="31">
        <f>IF(OR(NOT(ISNUMBER(H57)),NOT(ISNUMBER(Config!$B$12))),"",IF(Config!$B$12=0,"sem base (mínimo zero)",H57/Config!$B$12-1))</f>
        <v/>
      </c>
      <c r="J57" s="33">
        <f>IF(H57="","",IF(NOT(ISNUMBER(H57)),H57,IF(NOT(ISNUMBER(Config!$B$12)),Config!$B$12,IF(NOT(ISNUMBER(Config!$B$13)),Config!$B$13,IF(H57&lt;Config!$B$12,"Abaixo do mínimo",IF(H57&lt;Config!$B$13,"Na faixa","Acima do alvo"))))))</f>
        <v/>
      </c>
      <c r="K57" s="25">
        <f>IF(OR(NOT(ISNUMBER(H57)),NOT(ISNUMBER(Config!$B$12))),"",MAX(0,Config!$B$12*G57-F57))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IF(OR(A58="",G58="",F58=""),"",IF(OR(NOT(IF(ISNUMBER(F58),F58&gt;=0,FALSE)),NOT(IF(ISNUMBER(G58),G58&gt;=0,FALSE))),"valor ou horas inválidos",IF(G58=0,"",F58/G58)))</f>
        <v/>
      </c>
      <c r="I58" s="31">
        <f>IF(OR(NOT(ISNUMBER(H58)),NOT(ISNUMBER(Config!$B$12))),"",IF(Config!$B$12=0,"sem base (mínimo zero)",H58/Config!$B$12-1))</f>
        <v/>
      </c>
      <c r="J58" s="33">
        <f>IF(H58="","",IF(NOT(ISNUMBER(H58)),H58,IF(NOT(ISNUMBER(Config!$B$12)),Config!$B$12,IF(NOT(ISNUMBER(Config!$B$13)),Config!$B$13,IF(H58&lt;Config!$B$12,"Abaixo do mínimo",IF(H58&lt;Config!$B$13,"Na faixa","Acima do alvo"))))))</f>
        <v/>
      </c>
      <c r="K58" s="25">
        <f>IF(OR(NOT(ISNUMBER(H58)),NOT(ISNUMBER(Config!$B$12))),"",MAX(0,Config!$B$12*G58-F58))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IF(OR(A59="",G59="",F59=""),"",IF(OR(NOT(IF(ISNUMBER(F59),F59&gt;=0,FALSE)),NOT(IF(ISNUMBER(G59),G59&gt;=0,FALSE))),"valor ou horas inválidos",IF(G59=0,"",F59/G59)))</f>
        <v/>
      </c>
      <c r="I59" s="31">
        <f>IF(OR(NOT(ISNUMBER(H59)),NOT(ISNUMBER(Config!$B$12))),"",IF(Config!$B$12=0,"sem base (mínimo zero)",H59/Config!$B$12-1))</f>
        <v/>
      </c>
      <c r="J59" s="33">
        <f>IF(H59="","",IF(NOT(ISNUMBER(H59)),H59,IF(NOT(ISNUMBER(Config!$B$12)),Config!$B$12,IF(NOT(ISNUMBER(Config!$B$13)),Config!$B$13,IF(H59&lt;Config!$B$12,"Abaixo do mínimo",IF(H59&lt;Config!$B$13,"Na faixa","Acima do alvo"))))))</f>
        <v/>
      </c>
      <c r="K59" s="25">
        <f>IF(OR(NOT(ISNUMBER(H59)),NOT(ISNUMBER(Config!$B$12))),"",MAX(0,Config!$B$12*G59-F59))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IF(OR(A60="",G60="",F60=""),"",IF(OR(NOT(IF(ISNUMBER(F60),F60&gt;=0,FALSE)),NOT(IF(ISNUMBER(G60),G60&gt;=0,FALSE))),"valor ou horas inválidos",IF(G60=0,"",F60/G60)))</f>
        <v/>
      </c>
      <c r="I60" s="31">
        <f>IF(OR(NOT(ISNUMBER(H60)),NOT(ISNUMBER(Config!$B$12))),"",IF(Config!$B$12=0,"sem base (mínimo zero)",H60/Config!$B$12-1))</f>
        <v/>
      </c>
      <c r="J60" s="33">
        <f>IF(H60="","",IF(NOT(ISNUMBER(H60)),H60,IF(NOT(ISNUMBER(Config!$B$12)),Config!$B$12,IF(NOT(ISNUMBER(Config!$B$13)),Config!$B$13,IF(H60&lt;Config!$B$12,"Abaixo do mínimo",IF(H60&lt;Config!$B$13,"Na faixa","Acima do alvo"))))))</f>
        <v/>
      </c>
      <c r="K60" s="25">
        <f>IF(OR(NOT(ISNUMBER(H60)),NOT(ISNUMBER(Config!$B$12))),"",MAX(0,Config!$B$12*G60-F60))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IF(OR(A61="",G61="",F61=""),"",IF(OR(NOT(IF(ISNUMBER(F61),F61&gt;=0,FALSE)),NOT(IF(ISNUMBER(G61),G61&gt;=0,FALSE))),"valor ou horas inválidos",IF(G61=0,"",F61/G61)))</f>
        <v/>
      </c>
      <c r="I61" s="31">
        <f>IF(OR(NOT(ISNUMBER(H61)),NOT(ISNUMBER(Config!$B$12))),"",IF(Config!$B$12=0,"sem base (mínimo zero)",H61/Config!$B$12-1))</f>
        <v/>
      </c>
      <c r="J61" s="33">
        <f>IF(H61="","",IF(NOT(ISNUMBER(H61)),H61,IF(NOT(ISNUMBER(Config!$B$12)),Config!$B$12,IF(NOT(ISNUMBER(Config!$B$13)),Config!$B$13,IF(H61&lt;Config!$B$12,"Abaixo do mínimo",IF(H61&lt;Config!$B$13,"Na faixa","Acima do alvo"))))))</f>
        <v/>
      </c>
      <c r="K61" s="25">
        <f>IF(OR(NOT(ISNUMBER(H61)),NOT(ISNUMBER(Config!$B$12))),"",MAX(0,Config!$B$12*G61-F61))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IF(OR(A62="",G62="",F62=""),"",IF(OR(NOT(IF(ISNUMBER(F62),F62&gt;=0,FALSE)),NOT(IF(ISNUMBER(G62),G62&gt;=0,FALSE))),"valor ou horas inválidos",IF(G62=0,"",F62/G62)))</f>
        <v/>
      </c>
      <c r="I62" s="31">
        <f>IF(OR(NOT(ISNUMBER(H62)),NOT(ISNUMBER(Config!$B$12))),"",IF(Config!$B$12=0,"sem base (mínimo zero)",H62/Config!$B$12-1))</f>
        <v/>
      </c>
      <c r="J62" s="33">
        <f>IF(H62="","",IF(NOT(ISNUMBER(H62)),H62,IF(NOT(ISNUMBER(Config!$B$12)),Config!$B$12,IF(NOT(ISNUMBER(Config!$B$13)),Config!$B$13,IF(H62&lt;Config!$B$12,"Abaixo do mínimo",IF(H62&lt;Config!$B$13,"Na faixa","Acima do alvo"))))))</f>
        <v/>
      </c>
      <c r="K62" s="25">
        <f>IF(OR(NOT(ISNUMBER(H62)),NOT(ISNUMBER(Config!$B$12))),"",MAX(0,Config!$B$12*G62-F62))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IF(OR(A63="",G63="",F63=""),"",IF(OR(NOT(IF(ISNUMBER(F63),F63&gt;=0,FALSE)),NOT(IF(ISNUMBER(G63),G63&gt;=0,FALSE))),"valor ou horas inválidos",IF(G63=0,"",F63/G63)))</f>
        <v/>
      </c>
      <c r="I63" s="31">
        <f>IF(OR(NOT(ISNUMBER(H63)),NOT(ISNUMBER(Config!$B$12))),"",IF(Config!$B$12=0,"sem base (mínimo zero)",H63/Config!$B$12-1))</f>
        <v/>
      </c>
      <c r="J63" s="33">
        <f>IF(H63="","",IF(NOT(ISNUMBER(H63)),H63,IF(NOT(ISNUMBER(Config!$B$12)),Config!$B$12,IF(NOT(ISNUMBER(Config!$B$13)),Config!$B$13,IF(H63&lt;Config!$B$12,"Abaixo do mínimo",IF(H63&lt;Config!$B$13,"Na faixa","Acima do alvo"))))))</f>
        <v/>
      </c>
      <c r="K63" s="25">
        <f>IF(OR(NOT(ISNUMBER(H63)),NOT(ISNUMBER(Config!$B$12))),"",MAX(0,Config!$B$12*G63-F63))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IF(OR(A64="",G64="",F64=""),"",IF(OR(NOT(IF(ISNUMBER(F64),F64&gt;=0,FALSE)),NOT(IF(ISNUMBER(G64),G64&gt;=0,FALSE))),"valor ou horas inválidos",IF(G64=0,"",F64/G64)))</f>
        <v/>
      </c>
      <c r="I64" s="31">
        <f>IF(OR(NOT(ISNUMBER(H64)),NOT(ISNUMBER(Config!$B$12))),"",IF(Config!$B$12=0,"sem base (mínimo zero)",H64/Config!$B$12-1))</f>
        <v/>
      </c>
      <c r="J64" s="33">
        <f>IF(H64="","",IF(NOT(ISNUMBER(H64)),H64,IF(NOT(ISNUMBER(Config!$B$12)),Config!$B$12,IF(NOT(ISNUMBER(Config!$B$13)),Config!$B$13,IF(H64&lt;Config!$B$12,"Abaixo do mínimo",IF(H64&lt;Config!$B$13,"Na faixa","Acima do alvo"))))))</f>
        <v/>
      </c>
      <c r="K64" s="25">
        <f>IF(OR(NOT(ISNUMBER(H64)),NOT(ISNUMBER(Config!$B$12))),"",MAX(0,Config!$B$12*G64-F64))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IF(OR(A65="",G65="",F65=""),"",IF(OR(NOT(IF(ISNUMBER(F65),F65&gt;=0,FALSE)),NOT(IF(ISNUMBER(G65),G65&gt;=0,FALSE))),"valor ou horas inválidos",IF(G65=0,"",F65/G65)))</f>
        <v/>
      </c>
      <c r="I65" s="31">
        <f>IF(OR(NOT(ISNUMBER(H65)),NOT(ISNUMBER(Config!$B$12))),"",IF(Config!$B$12=0,"sem base (mínimo zero)",H65/Config!$B$12-1))</f>
        <v/>
      </c>
      <c r="J65" s="33">
        <f>IF(H65="","",IF(NOT(ISNUMBER(H65)),H65,IF(NOT(ISNUMBER(Config!$B$12)),Config!$B$12,IF(NOT(ISNUMBER(Config!$B$13)),Config!$B$13,IF(H65&lt;Config!$B$12,"Abaixo do mínimo",IF(H65&lt;Config!$B$13,"Na faixa","Acima do alvo"))))))</f>
        <v/>
      </c>
      <c r="K65" s="25">
        <f>IF(OR(NOT(ISNUMBER(H65)),NOT(ISNUMBER(Config!$B$12))),"",MAX(0,Config!$B$12*G65-F65))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IF(OR(A66="",G66="",F66=""),"",IF(OR(NOT(IF(ISNUMBER(F66),F66&gt;=0,FALSE)),NOT(IF(ISNUMBER(G66),G66&gt;=0,FALSE))),"valor ou horas inválidos",IF(G66=0,"",F66/G66)))</f>
        <v/>
      </c>
      <c r="I66" s="31">
        <f>IF(OR(NOT(ISNUMBER(H66)),NOT(ISNUMBER(Config!$B$12))),"",IF(Config!$B$12=0,"sem base (mínimo zero)",H66/Config!$B$12-1))</f>
        <v/>
      </c>
      <c r="J66" s="33">
        <f>IF(H66="","",IF(NOT(ISNUMBER(H66)),H66,IF(NOT(ISNUMBER(Config!$B$12)),Config!$B$12,IF(NOT(ISNUMBER(Config!$B$13)),Config!$B$13,IF(H66&lt;Config!$B$12,"Abaixo do mínimo",IF(H66&lt;Config!$B$13,"Na faixa","Acima do alvo"))))))</f>
        <v/>
      </c>
      <c r="K66" s="25">
        <f>IF(OR(NOT(ISNUMBER(H66)),NOT(ISNUMBER(Config!$B$12))),"",MAX(0,Config!$B$12*G66-F66))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IF(OR(A67="",G67="",F67=""),"",IF(OR(NOT(IF(ISNUMBER(F67),F67&gt;=0,FALSE)),NOT(IF(ISNUMBER(G67),G67&gt;=0,FALSE))),"valor ou horas inválidos",IF(G67=0,"",F67/G67)))</f>
        <v/>
      </c>
      <c r="I67" s="31">
        <f>IF(OR(NOT(ISNUMBER(H67)),NOT(ISNUMBER(Config!$B$12))),"",IF(Config!$B$12=0,"sem base (mínimo zero)",H67/Config!$B$12-1))</f>
        <v/>
      </c>
      <c r="J67" s="33">
        <f>IF(H67="","",IF(NOT(ISNUMBER(H67)),H67,IF(NOT(ISNUMBER(Config!$B$12)),Config!$B$12,IF(NOT(ISNUMBER(Config!$B$13)),Config!$B$13,IF(H67&lt;Config!$B$12,"Abaixo do mínimo",IF(H67&lt;Config!$B$13,"Na faixa","Acima do alvo"))))))</f>
        <v/>
      </c>
      <c r="K67" s="25">
        <f>IF(OR(NOT(ISNUMBER(H67)),NOT(ISNUMBER(Config!$B$12))),"",MAX(0,Config!$B$12*G67-F67))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IF(OR(A68="",G68="",F68=""),"",IF(OR(NOT(IF(ISNUMBER(F68),F68&gt;=0,FALSE)),NOT(IF(ISNUMBER(G68),G68&gt;=0,FALSE))),"valor ou horas inválidos",IF(G68=0,"",F68/G68)))</f>
        <v/>
      </c>
      <c r="I68" s="31">
        <f>IF(OR(NOT(ISNUMBER(H68)),NOT(ISNUMBER(Config!$B$12))),"",IF(Config!$B$12=0,"sem base (mínimo zero)",H68/Config!$B$12-1))</f>
        <v/>
      </c>
      <c r="J68" s="33">
        <f>IF(H68="","",IF(NOT(ISNUMBER(H68)),H68,IF(NOT(ISNUMBER(Config!$B$12)),Config!$B$12,IF(NOT(ISNUMBER(Config!$B$13)),Config!$B$13,IF(H68&lt;Config!$B$12,"Abaixo do mínimo",IF(H68&lt;Config!$B$13,"Na faixa","Acima do alvo"))))))</f>
        <v/>
      </c>
      <c r="K68" s="25">
        <f>IF(OR(NOT(ISNUMBER(H68)),NOT(ISNUMBER(Config!$B$12))),"",MAX(0,Config!$B$12*G68-F68))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IF(OR(A69="",G69="",F69=""),"",IF(OR(NOT(IF(ISNUMBER(F69),F69&gt;=0,FALSE)),NOT(IF(ISNUMBER(G69),G69&gt;=0,FALSE))),"valor ou horas inválidos",IF(G69=0,"",F69/G69)))</f>
        <v/>
      </c>
      <c r="I69" s="31">
        <f>IF(OR(NOT(ISNUMBER(H69)),NOT(ISNUMBER(Config!$B$12))),"",IF(Config!$B$12=0,"sem base (mínimo zero)",H69/Config!$B$12-1))</f>
        <v/>
      </c>
      <c r="J69" s="33">
        <f>IF(H69="","",IF(NOT(ISNUMBER(H69)),H69,IF(NOT(ISNUMBER(Config!$B$12)),Config!$B$12,IF(NOT(ISNUMBER(Config!$B$13)),Config!$B$13,IF(H69&lt;Config!$B$12,"Abaixo do mínimo",IF(H69&lt;Config!$B$13,"Na faixa","Acima do alvo"))))))</f>
        <v/>
      </c>
      <c r="K69" s="25">
        <f>IF(OR(NOT(ISNUMBER(H69)),NOT(ISNUMBER(Config!$B$12))),"",MAX(0,Config!$B$12*G69-F69))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IF(OR(A70="",G70="",F70=""),"",IF(OR(NOT(IF(ISNUMBER(F70),F70&gt;=0,FALSE)),NOT(IF(ISNUMBER(G70),G70&gt;=0,FALSE))),"valor ou horas inválidos",IF(G70=0,"",F70/G70)))</f>
        <v/>
      </c>
      <c r="I70" s="31">
        <f>IF(OR(NOT(ISNUMBER(H70)),NOT(ISNUMBER(Config!$B$12))),"",IF(Config!$B$12=0,"sem base (mínimo zero)",H70/Config!$B$12-1))</f>
        <v/>
      </c>
      <c r="J70" s="33">
        <f>IF(H70="","",IF(NOT(ISNUMBER(H70)),H70,IF(NOT(ISNUMBER(Config!$B$12)),Config!$B$12,IF(NOT(ISNUMBER(Config!$B$13)),Config!$B$13,IF(H70&lt;Config!$B$12,"Abaixo do mínimo",IF(H70&lt;Config!$B$13,"Na faixa","Acima do alvo"))))))</f>
        <v/>
      </c>
      <c r="K70" s="25">
        <f>IF(OR(NOT(ISNUMBER(H70)),NOT(ISNUMBER(Config!$B$12))),"",MAX(0,Config!$B$12*G70-F70))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IF(OR(A71="",G71="",F71=""),"",IF(OR(NOT(IF(ISNUMBER(F71),F71&gt;=0,FALSE)),NOT(IF(ISNUMBER(G71),G71&gt;=0,FALSE))),"valor ou horas inválidos",IF(G71=0,"",F71/G71)))</f>
        <v/>
      </c>
      <c r="I71" s="31">
        <f>IF(OR(NOT(ISNUMBER(H71)),NOT(ISNUMBER(Config!$B$12))),"",IF(Config!$B$12=0,"sem base (mínimo zero)",H71/Config!$B$12-1))</f>
        <v/>
      </c>
      <c r="J71" s="33">
        <f>IF(H71="","",IF(NOT(ISNUMBER(H71)),H71,IF(NOT(ISNUMBER(Config!$B$12)),Config!$B$12,IF(NOT(ISNUMBER(Config!$B$13)),Config!$B$13,IF(H71&lt;Config!$B$12,"Abaixo do mínimo",IF(H71&lt;Config!$B$13,"Na faixa","Acima do alvo"))))))</f>
        <v/>
      </c>
      <c r="K71" s="25">
        <f>IF(OR(NOT(ISNUMBER(H71)),NOT(ISNUMBER(Config!$B$12))),"",MAX(0,Config!$B$12*G71-F71))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IF(OR(A72="",G72="",F72=""),"",IF(OR(NOT(IF(ISNUMBER(F72),F72&gt;=0,FALSE)),NOT(IF(ISNUMBER(G72),G72&gt;=0,FALSE))),"valor ou horas inválidos",IF(G72=0,"",F72/G72)))</f>
        <v/>
      </c>
      <c r="I72" s="31">
        <f>IF(OR(NOT(ISNUMBER(H72)),NOT(ISNUMBER(Config!$B$12))),"",IF(Config!$B$12=0,"sem base (mínimo zero)",H72/Config!$B$12-1))</f>
        <v/>
      </c>
      <c r="J72" s="33">
        <f>IF(H72="","",IF(NOT(ISNUMBER(H72)),H72,IF(NOT(ISNUMBER(Config!$B$12)),Config!$B$12,IF(NOT(ISNUMBER(Config!$B$13)),Config!$B$13,IF(H72&lt;Config!$B$12,"Abaixo do mínimo",IF(H72&lt;Config!$B$13,"Na faixa","Acima do alvo"))))))</f>
        <v/>
      </c>
      <c r="K72" s="25">
        <f>IF(OR(NOT(ISNUMBER(H72)),NOT(ISNUMBER(Config!$B$12))),"",MAX(0,Config!$B$12*G72-F72))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IF(OR(A73="",G73="",F73=""),"",IF(OR(NOT(IF(ISNUMBER(F73),F73&gt;=0,FALSE)),NOT(IF(ISNUMBER(G73),G73&gt;=0,FALSE))),"valor ou horas inválidos",IF(G73=0,"",F73/G73)))</f>
        <v/>
      </c>
      <c r="I73" s="31">
        <f>IF(OR(NOT(ISNUMBER(H73)),NOT(ISNUMBER(Config!$B$12))),"",IF(Config!$B$12=0,"sem base (mínimo zero)",H73/Config!$B$12-1))</f>
        <v/>
      </c>
      <c r="J73" s="33">
        <f>IF(H73="","",IF(NOT(ISNUMBER(H73)),H73,IF(NOT(ISNUMBER(Config!$B$12)),Config!$B$12,IF(NOT(ISNUMBER(Config!$B$13)),Config!$B$13,IF(H73&lt;Config!$B$12,"Abaixo do mínimo",IF(H73&lt;Config!$B$13,"Na faixa","Acima do alvo"))))))</f>
        <v/>
      </c>
      <c r="K73" s="25">
        <f>IF(OR(NOT(ISNUMBER(H73)),NOT(ISNUMBER(Config!$B$12))),"",MAX(0,Config!$B$12*G73-F73))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IF(OR(A74="",G74="",F74=""),"",IF(OR(NOT(IF(ISNUMBER(F74),F74&gt;=0,FALSE)),NOT(IF(ISNUMBER(G74),G74&gt;=0,FALSE))),"valor ou horas inválidos",IF(G74=0,"",F74/G74)))</f>
        <v/>
      </c>
      <c r="I74" s="31">
        <f>IF(OR(NOT(ISNUMBER(H74)),NOT(ISNUMBER(Config!$B$12))),"",IF(Config!$B$12=0,"sem base (mínimo zero)",H74/Config!$B$12-1))</f>
        <v/>
      </c>
      <c r="J74" s="33">
        <f>IF(H74="","",IF(NOT(ISNUMBER(H74)),H74,IF(NOT(ISNUMBER(Config!$B$12)),Config!$B$12,IF(NOT(ISNUMBER(Config!$B$13)),Config!$B$13,IF(H74&lt;Config!$B$12,"Abaixo do mínimo",IF(H74&lt;Config!$B$13,"Na faixa","Acima do alvo"))))))</f>
        <v/>
      </c>
      <c r="K74" s="25">
        <f>IF(OR(NOT(ISNUMBER(H74)),NOT(ISNUMBER(Config!$B$12))),"",MAX(0,Config!$B$12*G74-F74))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IF(OR(A75="",G75="",F75=""),"",IF(OR(NOT(IF(ISNUMBER(F75),F75&gt;=0,FALSE)),NOT(IF(ISNUMBER(G75),G75&gt;=0,FALSE))),"valor ou horas inválidos",IF(G75=0,"",F75/G75)))</f>
        <v/>
      </c>
      <c r="I75" s="31">
        <f>IF(OR(NOT(ISNUMBER(H75)),NOT(ISNUMBER(Config!$B$12))),"",IF(Config!$B$12=0,"sem base (mínimo zero)",H75/Config!$B$12-1))</f>
        <v/>
      </c>
      <c r="J75" s="33">
        <f>IF(H75="","",IF(NOT(ISNUMBER(H75)),H75,IF(NOT(ISNUMBER(Config!$B$12)),Config!$B$12,IF(NOT(ISNUMBER(Config!$B$13)),Config!$B$13,IF(H75&lt;Config!$B$12,"Abaixo do mínimo",IF(H75&lt;Config!$B$13,"Na faixa","Acima do alvo"))))))</f>
        <v/>
      </c>
      <c r="K75" s="25">
        <f>IF(OR(NOT(ISNUMBER(H75)),NOT(ISNUMBER(Config!$B$12))),"",MAX(0,Config!$B$12*G75-F75))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IF(OR(A76="",G76="",F76=""),"",IF(OR(NOT(IF(ISNUMBER(F76),F76&gt;=0,FALSE)),NOT(IF(ISNUMBER(G76),G76&gt;=0,FALSE))),"valor ou horas inválidos",IF(G76=0,"",F76/G76)))</f>
        <v/>
      </c>
      <c r="I76" s="31">
        <f>IF(OR(NOT(ISNUMBER(H76)),NOT(ISNUMBER(Config!$B$12))),"",IF(Config!$B$12=0,"sem base (mínimo zero)",H76/Config!$B$12-1))</f>
        <v/>
      </c>
      <c r="J76" s="33">
        <f>IF(H76="","",IF(NOT(ISNUMBER(H76)),H76,IF(NOT(ISNUMBER(Config!$B$12)),Config!$B$12,IF(NOT(ISNUMBER(Config!$B$13)),Config!$B$13,IF(H76&lt;Config!$B$12,"Abaixo do mínimo",IF(H76&lt;Config!$B$13,"Na faixa","Acima do alvo"))))))</f>
        <v/>
      </c>
      <c r="K76" s="25">
        <f>IF(OR(NOT(ISNUMBER(H76)),NOT(ISNUMBER(Config!$B$12))),"",MAX(0,Config!$B$12*G76-F76))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IF(OR(A77="",G77="",F77=""),"",IF(OR(NOT(IF(ISNUMBER(F77),F77&gt;=0,FALSE)),NOT(IF(ISNUMBER(G77),G77&gt;=0,FALSE))),"valor ou horas inválidos",IF(G77=0,"",F77/G77)))</f>
        <v/>
      </c>
      <c r="I77" s="31">
        <f>IF(OR(NOT(ISNUMBER(H77)),NOT(ISNUMBER(Config!$B$12))),"",IF(Config!$B$12=0,"sem base (mínimo zero)",H77/Config!$B$12-1))</f>
        <v/>
      </c>
      <c r="J77" s="33">
        <f>IF(H77="","",IF(NOT(ISNUMBER(H77)),H77,IF(NOT(ISNUMBER(Config!$B$12)),Config!$B$12,IF(NOT(ISNUMBER(Config!$B$13)),Config!$B$13,IF(H77&lt;Config!$B$12,"Abaixo do mínimo",IF(H77&lt;Config!$B$13,"Na faixa","Acima do alvo"))))))</f>
        <v/>
      </c>
      <c r="K77" s="25">
        <f>IF(OR(NOT(ISNUMBER(H77)),NOT(ISNUMBER(Config!$B$12))),"",MAX(0,Config!$B$12*G77-F77))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IF(OR(A78="",G78="",F78=""),"",IF(OR(NOT(IF(ISNUMBER(F78),F78&gt;=0,FALSE)),NOT(IF(ISNUMBER(G78),G78&gt;=0,FALSE))),"valor ou horas inválidos",IF(G78=0,"",F78/G78)))</f>
        <v/>
      </c>
      <c r="I78" s="31">
        <f>IF(OR(NOT(ISNUMBER(H78)),NOT(ISNUMBER(Config!$B$12))),"",IF(Config!$B$12=0,"sem base (mínimo zero)",H78/Config!$B$12-1))</f>
        <v/>
      </c>
      <c r="J78" s="33">
        <f>IF(H78="","",IF(NOT(ISNUMBER(H78)),H78,IF(NOT(ISNUMBER(Config!$B$12)),Config!$B$12,IF(NOT(ISNUMBER(Config!$B$13)),Config!$B$13,IF(H78&lt;Config!$B$12,"Abaixo do mínimo",IF(H78&lt;Config!$B$13,"Na faixa","Acima do alvo"))))))</f>
        <v/>
      </c>
      <c r="K78" s="25">
        <f>IF(OR(NOT(ISNUMBER(H78)),NOT(ISNUMBER(Config!$B$12))),"",MAX(0,Config!$B$12*G78-F78))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IF(OR(A79="",G79="",F79=""),"",IF(OR(NOT(IF(ISNUMBER(F79),F79&gt;=0,FALSE)),NOT(IF(ISNUMBER(G79),G79&gt;=0,FALSE))),"valor ou horas inválidos",IF(G79=0,"",F79/G79)))</f>
        <v/>
      </c>
      <c r="I79" s="31">
        <f>IF(OR(NOT(ISNUMBER(H79)),NOT(ISNUMBER(Config!$B$12))),"",IF(Config!$B$12=0,"sem base (mínimo zero)",H79/Config!$B$12-1))</f>
        <v/>
      </c>
      <c r="J79" s="33">
        <f>IF(H79="","",IF(NOT(ISNUMBER(H79)),H79,IF(NOT(ISNUMBER(Config!$B$12)),Config!$B$12,IF(NOT(ISNUMBER(Config!$B$13)),Config!$B$13,IF(H79&lt;Config!$B$12,"Abaixo do mínimo",IF(H79&lt;Config!$B$13,"Na faixa","Acima do alvo"))))))</f>
        <v/>
      </c>
      <c r="K79" s="25">
        <f>IF(OR(NOT(ISNUMBER(H79)),NOT(ISNUMBER(Config!$B$12))),"",MAX(0,Config!$B$12*G79-F79))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IF(OR(A80="",G80="",F80=""),"",IF(OR(NOT(IF(ISNUMBER(F80),F80&gt;=0,FALSE)),NOT(IF(ISNUMBER(G80),G80&gt;=0,FALSE))),"valor ou horas inválidos",IF(G80=0,"",F80/G80)))</f>
        <v/>
      </c>
      <c r="I80" s="31">
        <f>IF(OR(NOT(ISNUMBER(H80)),NOT(ISNUMBER(Config!$B$12))),"",IF(Config!$B$12=0,"sem base (mínimo zero)",H80/Config!$B$12-1))</f>
        <v/>
      </c>
      <c r="J80" s="33">
        <f>IF(H80="","",IF(NOT(ISNUMBER(H80)),H80,IF(NOT(ISNUMBER(Config!$B$12)),Config!$B$12,IF(NOT(ISNUMBER(Config!$B$13)),Config!$B$13,IF(H80&lt;Config!$B$12,"Abaixo do mínimo",IF(H80&lt;Config!$B$13,"Na faixa","Acima do alvo"))))))</f>
        <v/>
      </c>
      <c r="K80" s="25">
        <f>IF(OR(NOT(ISNUMBER(H80)),NOT(ISNUMBER(Config!$B$12))),"",MAX(0,Config!$B$12*G80-F80))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IF(OR(A81="",G81="",F81=""),"",IF(OR(NOT(IF(ISNUMBER(F81),F81&gt;=0,FALSE)),NOT(IF(ISNUMBER(G81),G81&gt;=0,FALSE))),"valor ou horas inválidos",IF(G81=0,"",F81/G81)))</f>
        <v/>
      </c>
      <c r="I81" s="31">
        <f>IF(OR(NOT(ISNUMBER(H81)),NOT(ISNUMBER(Config!$B$12))),"",IF(Config!$B$12=0,"sem base (mínimo zero)",H81/Config!$B$12-1))</f>
        <v/>
      </c>
      <c r="J81" s="33">
        <f>IF(H81="","",IF(NOT(ISNUMBER(H81)),H81,IF(NOT(ISNUMBER(Config!$B$12)),Config!$B$12,IF(NOT(ISNUMBER(Config!$B$13)),Config!$B$13,IF(H81&lt;Config!$B$12,"Abaixo do mínimo",IF(H81&lt;Config!$B$13,"Na faixa","Acima do alvo"))))))</f>
        <v/>
      </c>
      <c r="K81" s="25">
        <f>IF(OR(NOT(ISNUMBER(H81)),NOT(ISNUMBER(Config!$B$12))),"",MAX(0,Config!$B$12*G81-F81))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IF(OR(A82="",G82="",F82=""),"",IF(OR(NOT(IF(ISNUMBER(F82),F82&gt;=0,FALSE)),NOT(IF(ISNUMBER(G82),G82&gt;=0,FALSE))),"valor ou horas inválidos",IF(G82=0,"",F82/G82)))</f>
        <v/>
      </c>
      <c r="I82" s="31">
        <f>IF(OR(NOT(ISNUMBER(H82)),NOT(ISNUMBER(Config!$B$12))),"",IF(Config!$B$12=0,"sem base (mínimo zero)",H82/Config!$B$12-1))</f>
        <v/>
      </c>
      <c r="J82" s="33">
        <f>IF(H82="","",IF(NOT(ISNUMBER(H82)),H82,IF(NOT(ISNUMBER(Config!$B$12)),Config!$B$12,IF(NOT(ISNUMBER(Config!$B$13)),Config!$B$13,IF(H82&lt;Config!$B$12,"Abaixo do mínimo",IF(H82&lt;Config!$B$13,"Na faixa","Acima do alvo"))))))</f>
        <v/>
      </c>
      <c r="K82" s="25">
        <f>IF(OR(NOT(ISNUMBER(H82)),NOT(ISNUMBER(Config!$B$12))),"",MAX(0,Config!$B$12*G82-F82))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IF(OR(A83="",G83="",F83=""),"",IF(OR(NOT(IF(ISNUMBER(F83),F83&gt;=0,FALSE)),NOT(IF(ISNUMBER(G83),G83&gt;=0,FALSE))),"valor ou horas inválidos",IF(G83=0,"",F83/G83)))</f>
        <v/>
      </c>
      <c r="I83" s="31">
        <f>IF(OR(NOT(ISNUMBER(H83)),NOT(ISNUMBER(Config!$B$12))),"",IF(Config!$B$12=0,"sem base (mínimo zero)",H83/Config!$B$12-1))</f>
        <v/>
      </c>
      <c r="J83" s="33">
        <f>IF(H83="","",IF(NOT(ISNUMBER(H83)),H83,IF(NOT(ISNUMBER(Config!$B$12)),Config!$B$12,IF(NOT(ISNUMBER(Config!$B$13)),Config!$B$13,IF(H83&lt;Config!$B$12,"Abaixo do mínimo",IF(H83&lt;Config!$B$13,"Na faixa","Acima do alvo"))))))</f>
        <v/>
      </c>
      <c r="K83" s="25">
        <f>IF(OR(NOT(ISNUMBER(H83)),NOT(ISNUMBER(Config!$B$12))),"",MAX(0,Config!$B$12*G83-F83))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IF(OR(A84="",G84="",F84=""),"",IF(OR(NOT(IF(ISNUMBER(F84),F84&gt;=0,FALSE)),NOT(IF(ISNUMBER(G84),G84&gt;=0,FALSE))),"valor ou horas inválidos",IF(G84=0,"",F84/G84)))</f>
        <v/>
      </c>
      <c r="I84" s="31">
        <f>IF(OR(NOT(ISNUMBER(H84)),NOT(ISNUMBER(Config!$B$12))),"",IF(Config!$B$12=0,"sem base (mínimo zero)",H84/Config!$B$12-1))</f>
        <v/>
      </c>
      <c r="J84" s="33">
        <f>IF(H84="","",IF(NOT(ISNUMBER(H84)),H84,IF(NOT(ISNUMBER(Config!$B$12)),Config!$B$12,IF(NOT(ISNUMBER(Config!$B$13)),Config!$B$13,IF(H84&lt;Config!$B$12,"Abaixo do mínimo",IF(H84&lt;Config!$B$13,"Na faixa","Acima do alvo"))))))</f>
        <v/>
      </c>
      <c r="K84" s="25">
        <f>IF(OR(NOT(ISNUMBER(H84)),NOT(ISNUMBER(Config!$B$12))),"",MAX(0,Config!$B$12*G84-F84))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IF(OR(A85="",G85="",F85=""),"",IF(OR(NOT(IF(ISNUMBER(F85),F85&gt;=0,FALSE)),NOT(IF(ISNUMBER(G85),G85&gt;=0,FALSE))),"valor ou horas inválidos",IF(G85=0,"",F85/G85)))</f>
        <v/>
      </c>
      <c r="I85" s="31">
        <f>IF(OR(NOT(ISNUMBER(H85)),NOT(ISNUMBER(Config!$B$12))),"",IF(Config!$B$12=0,"sem base (mínimo zero)",H85/Config!$B$12-1))</f>
        <v/>
      </c>
      <c r="J85" s="33">
        <f>IF(H85="","",IF(NOT(ISNUMBER(H85)),H85,IF(NOT(ISNUMBER(Config!$B$12)),Config!$B$12,IF(NOT(ISNUMBER(Config!$B$13)),Config!$B$13,IF(H85&lt;Config!$B$12,"Abaixo do mínimo",IF(H85&lt;Config!$B$13,"Na faixa","Acima do alvo"))))))</f>
        <v/>
      </c>
      <c r="K85" s="25">
        <f>IF(OR(NOT(ISNUMBER(H85)),NOT(ISNUMBER(Config!$B$12))),"",MAX(0,Config!$B$12*G85-F85))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IF(OR(A86="",G86="",F86=""),"",IF(OR(NOT(IF(ISNUMBER(F86),F86&gt;=0,FALSE)),NOT(IF(ISNUMBER(G86),G86&gt;=0,FALSE))),"valor ou horas inválidos",IF(G86=0,"",F86/G86)))</f>
        <v/>
      </c>
      <c r="I86" s="31">
        <f>IF(OR(NOT(ISNUMBER(H86)),NOT(ISNUMBER(Config!$B$12))),"",IF(Config!$B$12=0,"sem base (mínimo zero)",H86/Config!$B$12-1))</f>
        <v/>
      </c>
      <c r="J86" s="33">
        <f>IF(H86="","",IF(NOT(ISNUMBER(H86)),H86,IF(NOT(ISNUMBER(Config!$B$12)),Config!$B$12,IF(NOT(ISNUMBER(Config!$B$13)),Config!$B$13,IF(H86&lt;Config!$B$12,"Abaixo do mínimo",IF(H86&lt;Config!$B$13,"Na faixa","Acima do alvo"))))))</f>
        <v/>
      </c>
      <c r="K86" s="25">
        <f>IF(OR(NOT(ISNUMBER(H86)),NOT(ISNUMBER(Config!$B$12))),"",MAX(0,Config!$B$12*G86-F86))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IF(OR(A87="",G87="",F87=""),"",IF(OR(NOT(IF(ISNUMBER(F87),F87&gt;=0,FALSE)),NOT(IF(ISNUMBER(G87),G87&gt;=0,FALSE))),"valor ou horas inválidos",IF(G87=0,"",F87/G87)))</f>
        <v/>
      </c>
      <c r="I87" s="31">
        <f>IF(OR(NOT(ISNUMBER(H87)),NOT(ISNUMBER(Config!$B$12))),"",IF(Config!$B$12=0,"sem base (mínimo zero)",H87/Config!$B$12-1))</f>
        <v/>
      </c>
      <c r="J87" s="33">
        <f>IF(H87="","",IF(NOT(ISNUMBER(H87)),H87,IF(NOT(ISNUMBER(Config!$B$12)),Config!$B$12,IF(NOT(ISNUMBER(Config!$B$13)),Config!$B$13,IF(H87&lt;Config!$B$12,"Abaixo do mínimo",IF(H87&lt;Config!$B$13,"Na faixa","Acima do alvo"))))))</f>
        <v/>
      </c>
      <c r="K87" s="25">
        <f>IF(OR(NOT(ISNUMBER(H87)),NOT(ISNUMBER(Config!$B$12))),"",MAX(0,Config!$B$12*G87-F87))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IF(OR(A88="",G88="",F88=""),"",IF(OR(NOT(IF(ISNUMBER(F88),F88&gt;=0,FALSE)),NOT(IF(ISNUMBER(G88),G88&gt;=0,FALSE))),"valor ou horas inválidos",IF(G88=0,"",F88/G88)))</f>
        <v/>
      </c>
      <c r="I88" s="31">
        <f>IF(OR(NOT(ISNUMBER(H88)),NOT(ISNUMBER(Config!$B$12))),"",IF(Config!$B$12=0,"sem base (mínimo zero)",H88/Config!$B$12-1))</f>
        <v/>
      </c>
      <c r="J88" s="33">
        <f>IF(H88="","",IF(NOT(ISNUMBER(H88)),H88,IF(NOT(ISNUMBER(Config!$B$12)),Config!$B$12,IF(NOT(ISNUMBER(Config!$B$13)),Config!$B$13,IF(H88&lt;Config!$B$12,"Abaixo do mínimo",IF(H88&lt;Config!$B$13,"Na faixa","Acima do alvo"))))))</f>
        <v/>
      </c>
      <c r="K88" s="25">
        <f>IF(OR(NOT(ISNUMBER(H88)),NOT(ISNUMBER(Config!$B$12))),"",MAX(0,Config!$B$12*G88-F88))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IF(OR(A89="",G89="",F89=""),"",IF(OR(NOT(IF(ISNUMBER(F89),F89&gt;=0,FALSE)),NOT(IF(ISNUMBER(G89),G89&gt;=0,FALSE))),"valor ou horas inválidos",IF(G89=0,"",F89/G89)))</f>
        <v/>
      </c>
      <c r="I89" s="31">
        <f>IF(OR(NOT(ISNUMBER(H89)),NOT(ISNUMBER(Config!$B$12))),"",IF(Config!$B$12=0,"sem base (mínimo zero)",H89/Config!$B$12-1))</f>
        <v/>
      </c>
      <c r="J89" s="33">
        <f>IF(H89="","",IF(NOT(ISNUMBER(H89)),H89,IF(NOT(ISNUMBER(Config!$B$12)),Config!$B$12,IF(NOT(ISNUMBER(Config!$B$13)),Config!$B$13,IF(H89&lt;Config!$B$12,"Abaixo do mínimo",IF(H89&lt;Config!$B$13,"Na faixa","Acima do alvo"))))))</f>
        <v/>
      </c>
      <c r="K89" s="25">
        <f>IF(OR(NOT(ISNUMBER(H89)),NOT(ISNUMBER(Config!$B$12))),"",MAX(0,Config!$B$12*G89-F89))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IF(OR(A90="",G90="",F90=""),"",IF(OR(NOT(IF(ISNUMBER(F90),F90&gt;=0,FALSE)),NOT(IF(ISNUMBER(G90),G90&gt;=0,FALSE))),"valor ou horas inválidos",IF(G90=0,"",F90/G90)))</f>
        <v/>
      </c>
      <c r="I90" s="31">
        <f>IF(OR(NOT(ISNUMBER(H90)),NOT(ISNUMBER(Config!$B$12))),"",IF(Config!$B$12=0,"sem base (mínimo zero)",H90/Config!$B$12-1))</f>
        <v/>
      </c>
      <c r="J90" s="33">
        <f>IF(H90="","",IF(NOT(ISNUMBER(H90)),H90,IF(NOT(ISNUMBER(Config!$B$12)),Config!$B$12,IF(NOT(ISNUMBER(Config!$B$13)),Config!$B$13,IF(H90&lt;Config!$B$12,"Abaixo do mínimo",IF(H90&lt;Config!$B$13,"Na faixa","Acima do alvo"))))))</f>
        <v/>
      </c>
      <c r="K90" s="25">
        <f>IF(OR(NOT(ISNUMBER(H90)),NOT(ISNUMBER(Config!$B$12))),"",MAX(0,Config!$B$12*G90-F90))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IF(OR(A91="",G91="",F91=""),"",IF(OR(NOT(IF(ISNUMBER(F91),F91&gt;=0,FALSE)),NOT(IF(ISNUMBER(G91),G91&gt;=0,FALSE))),"valor ou horas inválidos",IF(G91=0,"",F91/G91)))</f>
        <v/>
      </c>
      <c r="I91" s="31">
        <f>IF(OR(NOT(ISNUMBER(H91)),NOT(ISNUMBER(Config!$B$12))),"",IF(Config!$B$12=0,"sem base (mínimo zero)",H91/Config!$B$12-1))</f>
        <v/>
      </c>
      <c r="J91" s="33">
        <f>IF(H91="","",IF(NOT(ISNUMBER(H91)),H91,IF(NOT(ISNUMBER(Config!$B$12)),Config!$B$12,IF(NOT(ISNUMBER(Config!$B$13)),Config!$B$13,IF(H91&lt;Config!$B$12,"Abaixo do mínimo",IF(H91&lt;Config!$B$13,"Na faixa","Acima do alvo"))))))</f>
        <v/>
      </c>
      <c r="K91" s="25">
        <f>IF(OR(NOT(ISNUMBER(H91)),NOT(ISNUMBER(Config!$B$12))),"",MAX(0,Config!$B$12*G91-F91))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IF(OR(A92="",G92="",F92=""),"",IF(OR(NOT(IF(ISNUMBER(F92),F92&gt;=0,FALSE)),NOT(IF(ISNUMBER(G92),G92&gt;=0,FALSE))),"valor ou horas inválidos",IF(G92=0,"",F92/G92)))</f>
        <v/>
      </c>
      <c r="I92" s="31">
        <f>IF(OR(NOT(ISNUMBER(H92)),NOT(ISNUMBER(Config!$B$12))),"",IF(Config!$B$12=0,"sem base (mínimo zero)",H92/Config!$B$12-1))</f>
        <v/>
      </c>
      <c r="J92" s="33">
        <f>IF(H92="","",IF(NOT(ISNUMBER(H92)),H92,IF(NOT(ISNUMBER(Config!$B$12)),Config!$B$12,IF(NOT(ISNUMBER(Config!$B$13)),Config!$B$13,IF(H92&lt;Config!$B$12,"Abaixo do mínimo",IF(H92&lt;Config!$B$13,"Na faixa","Acima do alvo"))))))</f>
        <v/>
      </c>
      <c r="K92" s="25">
        <f>IF(OR(NOT(ISNUMBER(H92)),NOT(ISNUMBER(Config!$B$12))),"",MAX(0,Config!$B$12*G92-F92))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IF(OR(A93="",G93="",F93=""),"",IF(OR(NOT(IF(ISNUMBER(F93),F93&gt;=0,FALSE)),NOT(IF(ISNUMBER(G93),G93&gt;=0,FALSE))),"valor ou horas inválidos",IF(G93=0,"",F93/G93)))</f>
        <v/>
      </c>
      <c r="I93" s="31">
        <f>IF(OR(NOT(ISNUMBER(H93)),NOT(ISNUMBER(Config!$B$12))),"",IF(Config!$B$12=0,"sem base (mínimo zero)",H93/Config!$B$12-1))</f>
        <v/>
      </c>
      <c r="J93" s="33">
        <f>IF(H93="","",IF(NOT(ISNUMBER(H93)),H93,IF(NOT(ISNUMBER(Config!$B$12)),Config!$B$12,IF(NOT(ISNUMBER(Config!$B$13)),Config!$B$13,IF(H93&lt;Config!$B$12,"Abaixo do mínimo",IF(H93&lt;Config!$B$13,"Na faixa","Acima do alvo"))))))</f>
        <v/>
      </c>
      <c r="K93" s="25">
        <f>IF(OR(NOT(ISNUMBER(H93)),NOT(ISNUMBER(Config!$B$12))),"",MAX(0,Config!$B$12*G93-F93))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IF(OR(A94="",G94="",F94=""),"",IF(OR(NOT(IF(ISNUMBER(F94),F94&gt;=0,FALSE)),NOT(IF(ISNUMBER(G94),G94&gt;=0,FALSE))),"valor ou horas inválidos",IF(G94=0,"",F94/G94)))</f>
        <v/>
      </c>
      <c r="I94" s="31">
        <f>IF(OR(NOT(ISNUMBER(H94)),NOT(ISNUMBER(Config!$B$12))),"",IF(Config!$B$12=0,"sem base (mínimo zero)",H94/Config!$B$12-1))</f>
        <v/>
      </c>
      <c r="J94" s="33">
        <f>IF(H94="","",IF(NOT(ISNUMBER(H94)),H94,IF(NOT(ISNUMBER(Config!$B$12)),Config!$B$12,IF(NOT(ISNUMBER(Config!$B$13)),Config!$B$13,IF(H94&lt;Config!$B$12,"Abaixo do mínimo",IF(H94&lt;Config!$B$13,"Na faixa","Acima do alvo"))))))</f>
        <v/>
      </c>
      <c r="K94" s="25">
        <f>IF(OR(NOT(ISNUMBER(H94)),NOT(ISNUMBER(Config!$B$12))),"",MAX(0,Config!$B$12*G94-F94))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IF(OR(A95="",G95="",F95=""),"",IF(OR(NOT(IF(ISNUMBER(F95),F95&gt;=0,FALSE)),NOT(IF(ISNUMBER(G95),G95&gt;=0,FALSE))),"valor ou horas inválidos",IF(G95=0,"",F95/G95)))</f>
        <v/>
      </c>
      <c r="I95" s="31">
        <f>IF(OR(NOT(ISNUMBER(H95)),NOT(ISNUMBER(Config!$B$12))),"",IF(Config!$B$12=0,"sem base (mínimo zero)",H95/Config!$B$12-1))</f>
        <v/>
      </c>
      <c r="J95" s="33">
        <f>IF(H95="","",IF(NOT(ISNUMBER(H95)),H95,IF(NOT(ISNUMBER(Config!$B$12)),Config!$B$12,IF(NOT(ISNUMBER(Config!$B$13)),Config!$B$13,IF(H95&lt;Config!$B$12,"Abaixo do mínimo",IF(H95&lt;Config!$B$13,"Na faixa","Acima do alvo"))))))</f>
        <v/>
      </c>
      <c r="K95" s="25">
        <f>IF(OR(NOT(ISNUMBER(H95)),NOT(ISNUMBER(Config!$B$12))),"",MAX(0,Config!$B$12*G95-F95))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IF(OR(A96="",G96="",F96=""),"",IF(OR(NOT(IF(ISNUMBER(F96),F96&gt;=0,FALSE)),NOT(IF(ISNUMBER(G96),G96&gt;=0,FALSE))),"valor ou horas inválidos",IF(G96=0,"",F96/G96)))</f>
        <v/>
      </c>
      <c r="I96" s="31">
        <f>IF(OR(NOT(ISNUMBER(H96)),NOT(ISNUMBER(Config!$B$12))),"",IF(Config!$B$12=0,"sem base (mínimo zero)",H96/Config!$B$12-1))</f>
        <v/>
      </c>
      <c r="J96" s="33">
        <f>IF(H96="","",IF(NOT(ISNUMBER(H96)),H96,IF(NOT(ISNUMBER(Config!$B$12)),Config!$B$12,IF(NOT(ISNUMBER(Config!$B$13)),Config!$B$13,IF(H96&lt;Config!$B$12,"Abaixo do mínimo",IF(H96&lt;Config!$B$13,"Na faixa","Acima do alvo"))))))</f>
        <v/>
      </c>
      <c r="K96" s="25">
        <f>IF(OR(NOT(ISNUMBER(H96)),NOT(ISNUMBER(Config!$B$12))),"",MAX(0,Config!$B$12*G96-F96))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IF(OR(A97="",G97="",F97=""),"",IF(OR(NOT(IF(ISNUMBER(F97),F97&gt;=0,FALSE)),NOT(IF(ISNUMBER(G97),G97&gt;=0,FALSE))),"valor ou horas inválidos",IF(G97=0,"",F97/G97)))</f>
        <v/>
      </c>
      <c r="I97" s="31">
        <f>IF(OR(NOT(ISNUMBER(H97)),NOT(ISNUMBER(Config!$B$12))),"",IF(Config!$B$12=0,"sem base (mínimo zero)",H97/Config!$B$12-1))</f>
        <v/>
      </c>
      <c r="J97" s="33">
        <f>IF(H97="","",IF(NOT(ISNUMBER(H97)),H97,IF(NOT(ISNUMBER(Config!$B$12)),Config!$B$12,IF(NOT(ISNUMBER(Config!$B$13)),Config!$B$13,IF(H97&lt;Config!$B$12,"Abaixo do mínimo",IF(H97&lt;Config!$B$13,"Na faixa","Acima do alvo"))))))</f>
        <v/>
      </c>
      <c r="K97" s="25">
        <f>IF(OR(NOT(ISNUMBER(H97)),NOT(ISNUMBER(Config!$B$12))),"",MAX(0,Config!$B$12*G97-F97))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IF(OR(A98="",G98="",F98=""),"",IF(OR(NOT(IF(ISNUMBER(F98),F98&gt;=0,FALSE)),NOT(IF(ISNUMBER(G98),G98&gt;=0,FALSE))),"valor ou horas inválidos",IF(G98=0,"",F98/G98)))</f>
        <v/>
      </c>
      <c r="I98" s="31">
        <f>IF(OR(NOT(ISNUMBER(H98)),NOT(ISNUMBER(Config!$B$12))),"",IF(Config!$B$12=0,"sem base (mínimo zero)",H98/Config!$B$12-1))</f>
        <v/>
      </c>
      <c r="J98" s="33">
        <f>IF(H98="","",IF(NOT(ISNUMBER(H98)),H98,IF(NOT(ISNUMBER(Config!$B$12)),Config!$B$12,IF(NOT(ISNUMBER(Config!$B$13)),Config!$B$13,IF(H98&lt;Config!$B$12,"Abaixo do mínimo",IF(H98&lt;Config!$B$13,"Na faixa","Acima do alvo"))))))</f>
        <v/>
      </c>
      <c r="K98" s="25">
        <f>IF(OR(NOT(ISNUMBER(H98)),NOT(ISNUMBER(Config!$B$12))),"",MAX(0,Config!$B$12*G98-F98))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IF(OR(A99="",G99="",F99=""),"",IF(OR(NOT(IF(ISNUMBER(F99),F99&gt;=0,FALSE)),NOT(IF(ISNUMBER(G99),G99&gt;=0,FALSE))),"valor ou horas inválidos",IF(G99=0,"",F99/G99)))</f>
        <v/>
      </c>
      <c r="I99" s="31">
        <f>IF(OR(NOT(ISNUMBER(H99)),NOT(ISNUMBER(Config!$B$12))),"",IF(Config!$B$12=0,"sem base (mínimo zero)",H99/Config!$B$12-1))</f>
        <v/>
      </c>
      <c r="J99" s="33">
        <f>IF(H99="","",IF(NOT(ISNUMBER(H99)),H99,IF(NOT(ISNUMBER(Config!$B$12)),Config!$B$12,IF(NOT(ISNUMBER(Config!$B$13)),Config!$B$13,IF(H99&lt;Config!$B$12,"Abaixo do mínimo",IF(H99&lt;Config!$B$13,"Na faixa","Acima do alvo"))))))</f>
        <v/>
      </c>
      <c r="K99" s="25">
        <f>IF(OR(NOT(ISNUMBER(H99)),NOT(ISNUMBER(Config!$B$12))),"",MAX(0,Config!$B$12*G99-F99))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IF(OR(A100="",G100="",F100=""),"",IF(OR(NOT(IF(ISNUMBER(F100),F100&gt;=0,FALSE)),NOT(IF(ISNUMBER(G100),G100&gt;=0,FALSE))),"valor ou horas inválidos",IF(G100=0,"",F100/G100)))</f>
        <v/>
      </c>
      <c r="I100" s="31">
        <f>IF(OR(NOT(ISNUMBER(H100)),NOT(ISNUMBER(Config!$B$12))),"",IF(Config!$B$12=0,"sem base (mínimo zero)",H100/Config!$B$12-1))</f>
        <v/>
      </c>
      <c r="J100" s="33">
        <f>IF(H100="","",IF(NOT(ISNUMBER(H100)),H100,IF(NOT(ISNUMBER(Config!$B$12)),Config!$B$12,IF(NOT(ISNUMBER(Config!$B$13)),Config!$B$13,IF(H100&lt;Config!$B$12,"Abaixo do mínimo",IF(H100&lt;Config!$B$13,"Na faixa","Acima do alvo"))))))</f>
        <v/>
      </c>
      <c r="K100" s="25">
        <f>IF(OR(NOT(ISNUMBER(H100)),NOT(ISNUMBER(Config!$B$12))),"",MAX(0,Config!$B$12*G100-F100))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IF(OR(A101="",G101="",F101=""),"",IF(OR(NOT(IF(ISNUMBER(F101),F101&gt;=0,FALSE)),NOT(IF(ISNUMBER(G101),G101&gt;=0,FALSE))),"valor ou horas inválidos",IF(G101=0,"",F101/G101)))</f>
        <v/>
      </c>
      <c r="I101" s="31">
        <f>IF(OR(NOT(ISNUMBER(H101)),NOT(ISNUMBER(Config!$B$12))),"",IF(Config!$B$12=0,"sem base (mínimo zero)",H101/Config!$B$12-1))</f>
        <v/>
      </c>
      <c r="J101" s="33">
        <f>IF(H101="","",IF(NOT(ISNUMBER(H101)),H101,IF(NOT(ISNUMBER(Config!$B$12)),Config!$B$12,IF(NOT(ISNUMBER(Config!$B$13)),Config!$B$13,IF(H101&lt;Config!$B$12,"Abaixo do mínimo",IF(H101&lt;Config!$B$13,"Na faixa","Acima do alvo"))))))</f>
        <v/>
      </c>
      <c r="K101" s="25">
        <f>IF(OR(NOT(ISNUMBER(H101)),NOT(ISNUMBER(Config!$B$12))),"",MAX(0,Config!$B$12*G101-F101))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IF(OR(A102="",G102="",F102=""),"",IF(OR(NOT(IF(ISNUMBER(F102),F102&gt;=0,FALSE)),NOT(IF(ISNUMBER(G102),G102&gt;=0,FALSE))),"valor ou horas inválidos",IF(G102=0,"",F102/G102)))</f>
        <v/>
      </c>
      <c r="I102" s="31">
        <f>IF(OR(NOT(ISNUMBER(H102)),NOT(ISNUMBER(Config!$B$12))),"",IF(Config!$B$12=0,"sem base (mínimo zero)",H102/Config!$B$12-1))</f>
        <v/>
      </c>
      <c r="J102" s="33">
        <f>IF(H102="","",IF(NOT(ISNUMBER(H102)),H102,IF(NOT(ISNUMBER(Config!$B$12)),Config!$B$12,IF(NOT(ISNUMBER(Config!$B$13)),Config!$B$13,IF(H102&lt;Config!$B$12,"Abaixo do mínimo",IF(H102&lt;Config!$B$13,"Na faixa","Acima do alvo"))))))</f>
        <v/>
      </c>
      <c r="K102" s="25">
        <f>IF(OR(NOT(ISNUMBER(H102)),NOT(ISNUMBER(Config!$B$12))),"",MAX(0,Config!$B$12*G102-F102))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IF(OR(A103="",G103="",F103=""),"",IF(OR(NOT(IF(ISNUMBER(F103),F103&gt;=0,FALSE)),NOT(IF(ISNUMBER(G103),G103&gt;=0,FALSE))),"valor ou horas inválidos",IF(G103=0,"",F103/G103)))</f>
        <v/>
      </c>
      <c r="I103" s="31">
        <f>IF(OR(NOT(ISNUMBER(H103)),NOT(ISNUMBER(Config!$B$12))),"",IF(Config!$B$12=0,"sem base (mínimo zero)",H103/Config!$B$12-1))</f>
        <v/>
      </c>
      <c r="J103" s="33">
        <f>IF(H103="","",IF(NOT(ISNUMBER(H103)),H103,IF(NOT(ISNUMBER(Config!$B$12)),Config!$B$12,IF(NOT(ISNUMBER(Config!$B$13)),Config!$B$13,IF(H103&lt;Config!$B$12,"Abaixo do mínimo",IF(H103&lt;Config!$B$13,"Na faixa","Acima do alvo"))))))</f>
        <v/>
      </c>
      <c r="K103" s="25">
        <f>IF(OR(NOT(ISNUMBER(H103)),NOT(ISNUMBER(Config!$B$12))),"",MAX(0,Config!$B$12*G103-F103))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IF(OR(A104="",G104="",F104=""),"",IF(OR(NOT(IF(ISNUMBER(F104),F104&gt;=0,FALSE)),NOT(IF(ISNUMBER(G104),G104&gt;=0,FALSE))),"valor ou horas inválidos",IF(G104=0,"",F104/G104)))</f>
        <v/>
      </c>
      <c r="I104" s="31">
        <f>IF(OR(NOT(ISNUMBER(H104)),NOT(ISNUMBER(Config!$B$12))),"",IF(Config!$B$12=0,"sem base (mínimo zero)",H104/Config!$B$12-1))</f>
        <v/>
      </c>
      <c r="J104" s="33">
        <f>IF(H104="","",IF(NOT(ISNUMBER(H104)),H104,IF(NOT(ISNUMBER(Config!$B$12)),Config!$B$12,IF(NOT(ISNUMBER(Config!$B$13)),Config!$B$13,IF(H104&lt;Config!$B$12,"Abaixo do mínimo",IF(H104&lt;Config!$B$13,"Na faixa","Acima do alvo"))))))</f>
        <v/>
      </c>
      <c r="K104" s="25">
        <f>IF(OR(NOT(ISNUMBER(H104)),NOT(ISNUMBER(Config!$B$12))),"",MAX(0,Config!$B$12*G104-F104))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IF(OR(A105="",G105="",F105=""),"",IF(OR(NOT(IF(ISNUMBER(F105),F105&gt;=0,FALSE)),NOT(IF(ISNUMBER(G105),G105&gt;=0,FALSE))),"valor ou horas inválidos",IF(G105=0,"",F105/G105)))</f>
        <v/>
      </c>
      <c r="I105" s="31">
        <f>IF(OR(NOT(ISNUMBER(H105)),NOT(ISNUMBER(Config!$B$12))),"",IF(Config!$B$12=0,"sem base (mínimo zero)",H105/Config!$B$12-1))</f>
        <v/>
      </c>
      <c r="J105" s="33">
        <f>IF(H105="","",IF(NOT(ISNUMBER(H105)),H105,IF(NOT(ISNUMBER(Config!$B$12)),Config!$B$12,IF(NOT(ISNUMBER(Config!$B$13)),Config!$B$13,IF(H105&lt;Config!$B$12,"Abaixo do mínimo",IF(H105&lt;Config!$B$13,"Na faixa","Acima do alvo"))))))</f>
        <v/>
      </c>
      <c r="K105" s="25">
        <f>IF(OR(NOT(ISNUMBER(H105)),NOT(ISNUMBER(Config!$B$12))),"",MAX(0,Config!$B$12*G105-F105))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IF(OR(A106="",G106="",F106=""),"",IF(OR(NOT(IF(ISNUMBER(F106),F106&gt;=0,FALSE)),NOT(IF(ISNUMBER(G106),G106&gt;=0,FALSE))),"valor ou horas inválidos",IF(G106=0,"",F106/G106)))</f>
        <v/>
      </c>
      <c r="I106" s="31">
        <f>IF(OR(NOT(ISNUMBER(H106)),NOT(ISNUMBER(Config!$B$12))),"",IF(Config!$B$12=0,"sem base (mínimo zero)",H106/Config!$B$12-1))</f>
        <v/>
      </c>
      <c r="J106" s="33">
        <f>IF(H106="","",IF(NOT(ISNUMBER(H106)),H106,IF(NOT(ISNUMBER(Config!$B$12)),Config!$B$12,IF(NOT(ISNUMBER(Config!$B$13)),Config!$B$13,IF(H106&lt;Config!$B$12,"Abaixo do mínimo",IF(H106&lt;Config!$B$13,"Na faixa","Acima do alvo"))))))</f>
        <v/>
      </c>
      <c r="K106" s="25">
        <f>IF(OR(NOT(ISNUMBER(H106)),NOT(ISNUMBER(Config!$B$12))),"",MAX(0,Config!$B$12*G106-F106))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IF(OR(A107="",G107="",F107=""),"",IF(OR(NOT(IF(ISNUMBER(F107),F107&gt;=0,FALSE)),NOT(IF(ISNUMBER(G107),G107&gt;=0,FALSE))),"valor ou horas inválidos",IF(G107=0,"",F107/G107)))</f>
        <v/>
      </c>
      <c r="I107" s="31">
        <f>IF(OR(NOT(ISNUMBER(H107)),NOT(ISNUMBER(Config!$B$12))),"",IF(Config!$B$12=0,"sem base (mínimo zero)",H107/Config!$B$12-1))</f>
        <v/>
      </c>
      <c r="J107" s="33">
        <f>IF(H107="","",IF(NOT(ISNUMBER(H107)),H107,IF(NOT(ISNUMBER(Config!$B$12)),Config!$B$12,IF(NOT(ISNUMBER(Config!$B$13)),Config!$B$13,IF(H107&lt;Config!$B$12,"Abaixo do mínimo",IF(H107&lt;Config!$B$13,"Na faixa","Acima do alvo"))))))</f>
        <v/>
      </c>
      <c r="K107" s="25">
        <f>IF(OR(NOT(ISNUMBER(H107)),NOT(ISNUMBER(Config!$B$12))),"",MAX(0,Config!$B$12*G107-F107))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IF(OR(A108="",G108="",F108=""),"",IF(OR(NOT(IF(ISNUMBER(F108),F108&gt;=0,FALSE)),NOT(IF(ISNUMBER(G108),G108&gt;=0,FALSE))),"valor ou horas inválidos",IF(G108=0,"",F108/G108)))</f>
        <v/>
      </c>
      <c r="I108" s="31">
        <f>IF(OR(NOT(ISNUMBER(H108)),NOT(ISNUMBER(Config!$B$12))),"",IF(Config!$B$12=0,"sem base (mínimo zero)",H108/Config!$B$12-1))</f>
        <v/>
      </c>
      <c r="J108" s="33">
        <f>IF(H108="","",IF(NOT(ISNUMBER(H108)),H108,IF(NOT(ISNUMBER(Config!$B$12)),Config!$B$12,IF(NOT(ISNUMBER(Config!$B$13)),Config!$B$13,IF(H108&lt;Config!$B$12,"Abaixo do mínimo",IF(H108&lt;Config!$B$13,"Na faixa","Acima do alvo"))))))</f>
        <v/>
      </c>
      <c r="K108" s="25">
        <f>IF(OR(NOT(ISNUMBER(H108)),NOT(ISNUMBER(Config!$B$12))),"",MAX(0,Config!$B$12*G108-F108))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IF(OR(A109="",G109="",F109=""),"",IF(OR(NOT(IF(ISNUMBER(F109),F109&gt;=0,FALSE)),NOT(IF(ISNUMBER(G109),G109&gt;=0,FALSE))),"valor ou horas inválidos",IF(G109=0,"",F109/G109)))</f>
        <v/>
      </c>
      <c r="I109" s="31">
        <f>IF(OR(NOT(ISNUMBER(H109)),NOT(ISNUMBER(Config!$B$12))),"",IF(Config!$B$12=0,"sem base (mínimo zero)",H109/Config!$B$12-1))</f>
        <v/>
      </c>
      <c r="J109" s="33">
        <f>IF(H109="","",IF(NOT(ISNUMBER(H109)),H109,IF(NOT(ISNUMBER(Config!$B$12)),Config!$B$12,IF(NOT(ISNUMBER(Config!$B$13)),Config!$B$13,IF(H109&lt;Config!$B$12,"Abaixo do mínimo",IF(H109&lt;Config!$B$13,"Na faixa","Acima do alvo"))))))</f>
        <v/>
      </c>
      <c r="K109" s="25">
        <f>IF(OR(NOT(ISNUMBER(H109)),NOT(ISNUMBER(Config!$B$12))),"",MAX(0,Config!$B$12*G109-F109))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IF(OR(A110="",G110="",F110=""),"",IF(OR(NOT(IF(ISNUMBER(F110),F110&gt;=0,FALSE)),NOT(IF(ISNUMBER(G110),G110&gt;=0,FALSE))),"valor ou horas inválidos",IF(G110=0,"",F110/G110)))</f>
        <v/>
      </c>
      <c r="I110" s="31">
        <f>IF(OR(NOT(ISNUMBER(H110)),NOT(ISNUMBER(Config!$B$12))),"",IF(Config!$B$12=0,"sem base (mínimo zero)",H110/Config!$B$12-1))</f>
        <v/>
      </c>
      <c r="J110" s="33">
        <f>IF(H110="","",IF(NOT(ISNUMBER(H110)),H110,IF(NOT(ISNUMBER(Config!$B$12)),Config!$B$12,IF(NOT(ISNUMBER(Config!$B$13)),Config!$B$13,IF(H110&lt;Config!$B$12,"Abaixo do mínimo",IF(H110&lt;Config!$B$13,"Na faixa","Acima do alvo"))))))</f>
        <v/>
      </c>
      <c r="K110" s="25">
        <f>IF(OR(NOT(ISNUMBER(H110)),NOT(ISNUMBER(Config!$B$12))),"",MAX(0,Config!$B$12*G110-F110))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IF(OR(A111="",G111="",F111=""),"",IF(OR(NOT(IF(ISNUMBER(F111),F111&gt;=0,FALSE)),NOT(IF(ISNUMBER(G111),G111&gt;=0,FALSE))),"valor ou horas inválidos",IF(G111=0,"",F111/G111)))</f>
        <v/>
      </c>
      <c r="I111" s="31">
        <f>IF(OR(NOT(ISNUMBER(H111)),NOT(ISNUMBER(Config!$B$12))),"",IF(Config!$B$12=0,"sem base (mínimo zero)",H111/Config!$B$12-1))</f>
        <v/>
      </c>
      <c r="J111" s="33">
        <f>IF(H111="","",IF(NOT(ISNUMBER(H111)),H111,IF(NOT(ISNUMBER(Config!$B$12)),Config!$B$12,IF(NOT(ISNUMBER(Config!$B$13)),Config!$B$13,IF(H111&lt;Config!$B$12,"Abaixo do mínimo",IF(H111&lt;Config!$B$13,"Na faixa","Acima do alvo"))))))</f>
        <v/>
      </c>
      <c r="K111" s="25">
        <f>IF(OR(NOT(ISNUMBER(H111)),NOT(ISNUMBER(Config!$B$12))),"",MAX(0,Config!$B$12*G111-F111))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IF(OR(A112="",G112="",F112=""),"",IF(OR(NOT(IF(ISNUMBER(F112),F112&gt;=0,FALSE)),NOT(IF(ISNUMBER(G112),G112&gt;=0,FALSE))),"valor ou horas inválidos",IF(G112=0,"",F112/G112)))</f>
        <v/>
      </c>
      <c r="I112" s="31">
        <f>IF(OR(NOT(ISNUMBER(H112)),NOT(ISNUMBER(Config!$B$12))),"",IF(Config!$B$12=0,"sem base (mínimo zero)",H112/Config!$B$12-1))</f>
        <v/>
      </c>
      <c r="J112" s="33">
        <f>IF(H112="","",IF(NOT(ISNUMBER(H112)),H112,IF(NOT(ISNUMBER(Config!$B$12)),Config!$B$12,IF(NOT(ISNUMBER(Config!$B$13)),Config!$B$13,IF(H112&lt;Config!$B$12,"Abaixo do mínimo",IF(H112&lt;Config!$B$13,"Na faixa","Acima do alvo"))))))</f>
        <v/>
      </c>
      <c r="K112" s="25">
        <f>IF(OR(NOT(ISNUMBER(H112)),NOT(ISNUMBER(Config!$B$12))),"",MAX(0,Config!$B$12*G112-F112))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IF(OR(A113="",G113="",F113=""),"",IF(OR(NOT(IF(ISNUMBER(F113),F113&gt;=0,FALSE)),NOT(IF(ISNUMBER(G113),G113&gt;=0,FALSE))),"valor ou horas inválidos",IF(G113=0,"",F113/G113)))</f>
        <v/>
      </c>
      <c r="I113" s="31">
        <f>IF(OR(NOT(ISNUMBER(H113)),NOT(ISNUMBER(Config!$B$12))),"",IF(Config!$B$12=0,"sem base (mínimo zero)",H113/Config!$B$12-1))</f>
        <v/>
      </c>
      <c r="J113" s="33">
        <f>IF(H113="","",IF(NOT(ISNUMBER(H113)),H113,IF(NOT(ISNUMBER(Config!$B$12)),Config!$B$12,IF(NOT(ISNUMBER(Config!$B$13)),Config!$B$13,IF(H113&lt;Config!$B$12,"Abaixo do mínimo",IF(H113&lt;Config!$B$13,"Na faixa","Acima do alvo"))))))</f>
        <v/>
      </c>
      <c r="K113" s="25">
        <f>IF(OR(NOT(ISNUMBER(H113)),NOT(ISNUMBER(Config!$B$12))),"",MAX(0,Config!$B$12*G113-F113))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IF(OR(A114="",G114="",F114=""),"",IF(OR(NOT(IF(ISNUMBER(F114),F114&gt;=0,FALSE)),NOT(IF(ISNUMBER(G114),G114&gt;=0,FALSE))),"valor ou horas inválidos",IF(G114=0,"",F114/G114)))</f>
        <v/>
      </c>
      <c r="I114" s="31">
        <f>IF(OR(NOT(ISNUMBER(H114)),NOT(ISNUMBER(Config!$B$12))),"",IF(Config!$B$12=0,"sem base (mínimo zero)",H114/Config!$B$12-1))</f>
        <v/>
      </c>
      <c r="J114" s="33">
        <f>IF(H114="","",IF(NOT(ISNUMBER(H114)),H114,IF(NOT(ISNUMBER(Config!$B$12)),Config!$B$12,IF(NOT(ISNUMBER(Config!$B$13)),Config!$B$13,IF(H114&lt;Config!$B$12,"Abaixo do mínimo",IF(H114&lt;Config!$B$13,"Na faixa","Acima do alvo"))))))</f>
        <v/>
      </c>
      <c r="K114" s="25">
        <f>IF(OR(NOT(ISNUMBER(H114)),NOT(ISNUMBER(Config!$B$12))),"",MAX(0,Config!$B$12*G114-F114))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IF(OR(A115="",G115="",F115=""),"",IF(OR(NOT(IF(ISNUMBER(F115),F115&gt;=0,FALSE)),NOT(IF(ISNUMBER(G115),G115&gt;=0,FALSE))),"valor ou horas inválidos",IF(G115=0,"",F115/G115)))</f>
        <v/>
      </c>
      <c r="I115" s="31">
        <f>IF(OR(NOT(ISNUMBER(H115)),NOT(ISNUMBER(Config!$B$12))),"",IF(Config!$B$12=0,"sem base (mínimo zero)",H115/Config!$B$12-1))</f>
        <v/>
      </c>
      <c r="J115" s="33">
        <f>IF(H115="","",IF(NOT(ISNUMBER(H115)),H115,IF(NOT(ISNUMBER(Config!$B$12)),Config!$B$12,IF(NOT(ISNUMBER(Config!$B$13)),Config!$B$13,IF(H115&lt;Config!$B$12,"Abaixo do mínimo",IF(H115&lt;Config!$B$13,"Na faixa","Acima do alvo"))))))</f>
        <v/>
      </c>
      <c r="K115" s="25">
        <f>IF(OR(NOT(ISNUMBER(H115)),NOT(ISNUMBER(Config!$B$12))),"",MAX(0,Config!$B$12*G115-F115))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IF(OR(A116="",G116="",F116=""),"",IF(OR(NOT(IF(ISNUMBER(F116),F116&gt;=0,FALSE)),NOT(IF(ISNUMBER(G116),G116&gt;=0,FALSE))),"valor ou horas inválidos",IF(G116=0,"",F116/G116)))</f>
        <v/>
      </c>
      <c r="I116" s="31">
        <f>IF(OR(NOT(ISNUMBER(H116)),NOT(ISNUMBER(Config!$B$12))),"",IF(Config!$B$12=0,"sem base (mínimo zero)",H116/Config!$B$12-1))</f>
        <v/>
      </c>
      <c r="J116" s="33">
        <f>IF(H116="","",IF(NOT(ISNUMBER(H116)),H116,IF(NOT(ISNUMBER(Config!$B$12)),Config!$B$12,IF(NOT(ISNUMBER(Config!$B$13)),Config!$B$13,IF(H116&lt;Config!$B$12,"Abaixo do mínimo",IF(H116&lt;Config!$B$13,"Na faixa","Acima do alvo"))))))</f>
        <v/>
      </c>
      <c r="K116" s="25">
        <f>IF(OR(NOT(ISNUMBER(H116)),NOT(ISNUMBER(Config!$B$12))),"",MAX(0,Config!$B$12*G116-F116))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IF(OR(A117="",G117="",F117=""),"",IF(OR(NOT(IF(ISNUMBER(F117),F117&gt;=0,FALSE)),NOT(IF(ISNUMBER(G117),G117&gt;=0,FALSE))),"valor ou horas inválidos",IF(G117=0,"",F117/G117)))</f>
        <v/>
      </c>
      <c r="I117" s="31">
        <f>IF(OR(NOT(ISNUMBER(H117)),NOT(ISNUMBER(Config!$B$12))),"",IF(Config!$B$12=0,"sem base (mínimo zero)",H117/Config!$B$12-1))</f>
        <v/>
      </c>
      <c r="J117" s="33">
        <f>IF(H117="","",IF(NOT(ISNUMBER(H117)),H117,IF(NOT(ISNUMBER(Config!$B$12)),Config!$B$12,IF(NOT(ISNUMBER(Config!$B$13)),Config!$B$13,IF(H117&lt;Config!$B$12,"Abaixo do mínimo",IF(H117&lt;Config!$B$13,"Na faixa","Acima do alvo"))))))</f>
        <v/>
      </c>
      <c r="K117" s="25">
        <f>IF(OR(NOT(ISNUMBER(H117)),NOT(ISNUMBER(Config!$B$12))),"",MAX(0,Config!$B$12*G117-F117))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IF(OR(A118="",G118="",F118=""),"",IF(OR(NOT(IF(ISNUMBER(F118),F118&gt;=0,FALSE)),NOT(IF(ISNUMBER(G118),G118&gt;=0,FALSE))),"valor ou horas inválidos",IF(G118=0,"",F118/G118)))</f>
        <v/>
      </c>
      <c r="I118" s="31">
        <f>IF(OR(NOT(ISNUMBER(H118)),NOT(ISNUMBER(Config!$B$12))),"",IF(Config!$B$12=0,"sem base (mínimo zero)",H118/Config!$B$12-1))</f>
        <v/>
      </c>
      <c r="J118" s="33">
        <f>IF(H118="","",IF(NOT(ISNUMBER(H118)),H118,IF(NOT(ISNUMBER(Config!$B$12)),Config!$B$12,IF(NOT(ISNUMBER(Config!$B$13)),Config!$B$13,IF(H118&lt;Config!$B$12,"Abaixo do mínimo",IF(H118&lt;Config!$B$13,"Na faixa","Acima do alvo"))))))</f>
        <v/>
      </c>
      <c r="K118" s="25">
        <f>IF(OR(NOT(ISNUMBER(H118)),NOT(ISNUMBER(Config!$B$12))),"",MAX(0,Config!$B$12*G118-F118))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IF(OR(A119="",G119="",F119=""),"",IF(OR(NOT(IF(ISNUMBER(F119),F119&gt;=0,FALSE)),NOT(IF(ISNUMBER(G119),G119&gt;=0,FALSE))),"valor ou horas inválidos",IF(G119=0,"",F119/G119)))</f>
        <v/>
      </c>
      <c r="I119" s="31">
        <f>IF(OR(NOT(ISNUMBER(H119)),NOT(ISNUMBER(Config!$B$12))),"",IF(Config!$B$12=0,"sem base (mínimo zero)",H119/Config!$B$12-1))</f>
        <v/>
      </c>
      <c r="J119" s="33">
        <f>IF(H119="","",IF(NOT(ISNUMBER(H119)),H119,IF(NOT(ISNUMBER(Config!$B$12)),Config!$B$12,IF(NOT(ISNUMBER(Config!$B$13)),Config!$B$13,IF(H119&lt;Config!$B$12,"Abaixo do mínimo",IF(H119&lt;Config!$B$13,"Na faixa","Acima do alvo"))))))</f>
        <v/>
      </c>
      <c r="K119" s="25">
        <f>IF(OR(NOT(ISNUMBER(H119)),NOT(ISNUMBER(Config!$B$12))),"",MAX(0,Config!$B$12*G119-F119))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IF(OR(A120="",G120="",F120=""),"",IF(OR(NOT(IF(ISNUMBER(F120),F120&gt;=0,FALSE)),NOT(IF(ISNUMBER(G120),G120&gt;=0,FALSE))),"valor ou horas inválidos",IF(G120=0,"",F120/G120)))</f>
        <v/>
      </c>
      <c r="I120" s="31">
        <f>IF(OR(NOT(ISNUMBER(H120)),NOT(ISNUMBER(Config!$B$12))),"",IF(Config!$B$12=0,"sem base (mínimo zero)",H120/Config!$B$12-1))</f>
        <v/>
      </c>
      <c r="J120" s="33">
        <f>IF(H120="","",IF(NOT(ISNUMBER(H120)),H120,IF(NOT(ISNUMBER(Config!$B$12)),Config!$B$12,IF(NOT(ISNUMBER(Config!$B$13)),Config!$B$13,IF(H120&lt;Config!$B$12,"Abaixo do mínimo",IF(H120&lt;Config!$B$13,"Na faixa","Acima do alvo"))))))</f>
        <v/>
      </c>
      <c r="K120" s="25">
        <f>IF(OR(NOT(ISNUMBER(H120)),NOT(ISNUMBER(Config!$B$12))),"",MAX(0,Config!$B$12*G120-F120))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IF(OR(A121="",G121="",F121=""),"",IF(OR(NOT(IF(ISNUMBER(F121),F121&gt;=0,FALSE)),NOT(IF(ISNUMBER(G121),G121&gt;=0,FALSE))),"valor ou horas inválidos",IF(G121=0,"",F121/G121)))</f>
        <v/>
      </c>
      <c r="I121" s="31">
        <f>IF(OR(NOT(ISNUMBER(H121)),NOT(ISNUMBER(Config!$B$12))),"",IF(Config!$B$12=0,"sem base (mínimo zero)",H121/Config!$B$12-1))</f>
        <v/>
      </c>
      <c r="J121" s="33">
        <f>IF(H121="","",IF(NOT(ISNUMBER(H121)),H121,IF(NOT(ISNUMBER(Config!$B$12)),Config!$B$12,IF(NOT(ISNUMBER(Config!$B$13)),Config!$B$13,IF(H121&lt;Config!$B$12,"Abaixo do mínimo",IF(H121&lt;Config!$B$13,"Na faixa","Acima do alvo"))))))</f>
        <v/>
      </c>
      <c r="K121" s="25">
        <f>IF(OR(NOT(ISNUMBER(H121)),NOT(ISNUMBER(Config!$B$12))),"",MAX(0,Config!$B$12*G121-F121))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IF(OR(A122="",G122="",F122=""),"",IF(OR(NOT(IF(ISNUMBER(F122),F122&gt;=0,FALSE)),NOT(IF(ISNUMBER(G122),G122&gt;=0,FALSE))),"valor ou horas inválidos",IF(G122=0,"",F122/G122)))</f>
        <v/>
      </c>
      <c r="I122" s="31">
        <f>IF(OR(NOT(ISNUMBER(H122)),NOT(ISNUMBER(Config!$B$12))),"",IF(Config!$B$12=0,"sem base (mínimo zero)",H122/Config!$B$12-1))</f>
        <v/>
      </c>
      <c r="J122" s="33">
        <f>IF(H122="","",IF(NOT(ISNUMBER(H122)),H122,IF(NOT(ISNUMBER(Config!$B$12)),Config!$B$12,IF(NOT(ISNUMBER(Config!$B$13)),Config!$B$13,IF(H122&lt;Config!$B$12,"Abaixo do mínimo",IF(H122&lt;Config!$B$13,"Na faixa","Acima do alvo"))))))</f>
        <v/>
      </c>
      <c r="K122" s="25">
        <f>IF(OR(NOT(ISNUMBER(H122)),NOT(ISNUMBER(Config!$B$12))),"",MAX(0,Config!$B$12*G122-F122))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IF(OR(A123="",G123="",F123=""),"",IF(OR(NOT(IF(ISNUMBER(F123),F123&gt;=0,FALSE)),NOT(IF(ISNUMBER(G123),G123&gt;=0,FALSE))),"valor ou horas inválidos",IF(G123=0,"",F123/G123)))</f>
        <v/>
      </c>
      <c r="I123" s="31">
        <f>IF(OR(NOT(ISNUMBER(H123)),NOT(ISNUMBER(Config!$B$12))),"",IF(Config!$B$12=0,"sem base (mínimo zero)",H123/Config!$B$12-1))</f>
        <v/>
      </c>
      <c r="J123" s="33">
        <f>IF(H123="","",IF(NOT(ISNUMBER(H123)),H123,IF(NOT(ISNUMBER(Config!$B$12)),Config!$B$12,IF(NOT(ISNUMBER(Config!$B$13)),Config!$B$13,IF(H123&lt;Config!$B$12,"Abaixo do mínimo",IF(H123&lt;Config!$B$13,"Na faixa","Acima do alvo"))))))</f>
        <v/>
      </c>
      <c r="K123" s="25">
        <f>IF(OR(NOT(ISNUMBER(H123)),NOT(ISNUMBER(Config!$B$12))),"",MAX(0,Config!$B$12*G123-F123))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IF(OR(A124="",G124="",F124=""),"",IF(OR(NOT(IF(ISNUMBER(F124),F124&gt;=0,FALSE)),NOT(IF(ISNUMBER(G124),G124&gt;=0,FALSE))),"valor ou horas inválidos",IF(G124=0,"",F124/G124)))</f>
        <v/>
      </c>
      <c r="I124" s="31">
        <f>IF(OR(NOT(ISNUMBER(H124)),NOT(ISNUMBER(Config!$B$12))),"",IF(Config!$B$12=0,"sem base (mínimo zero)",H124/Config!$B$12-1))</f>
        <v/>
      </c>
      <c r="J124" s="33">
        <f>IF(H124="","",IF(NOT(ISNUMBER(H124)),H124,IF(NOT(ISNUMBER(Config!$B$12)),Config!$B$12,IF(NOT(ISNUMBER(Config!$B$13)),Config!$B$13,IF(H124&lt;Config!$B$12,"Abaixo do mínimo",IF(H124&lt;Config!$B$13,"Na faixa","Acima do alvo"))))))</f>
        <v/>
      </c>
      <c r="K124" s="25">
        <f>IF(OR(NOT(ISNUMBER(H124)),NOT(ISNUMBER(Config!$B$12))),"",MAX(0,Config!$B$12*G124-F124))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IF(OR(A125="",G125="",F125=""),"",IF(OR(NOT(IF(ISNUMBER(F125),F125&gt;=0,FALSE)),NOT(IF(ISNUMBER(G125),G125&gt;=0,FALSE))),"valor ou horas inválidos",IF(G125=0,"",F125/G125)))</f>
        <v/>
      </c>
      <c r="I125" s="31">
        <f>IF(OR(NOT(ISNUMBER(H125)),NOT(ISNUMBER(Config!$B$12))),"",IF(Config!$B$12=0,"sem base (mínimo zero)",H125/Config!$B$12-1))</f>
        <v/>
      </c>
      <c r="J125" s="33">
        <f>IF(H125="","",IF(NOT(ISNUMBER(H125)),H125,IF(NOT(ISNUMBER(Config!$B$12)),Config!$B$12,IF(NOT(ISNUMBER(Config!$B$13)),Config!$B$13,IF(H125&lt;Config!$B$12,"Abaixo do mínimo",IF(H125&lt;Config!$B$13,"Na faixa","Acima do alvo"))))))</f>
        <v/>
      </c>
      <c r="K125" s="25">
        <f>IF(OR(NOT(ISNUMBER(H125)),NOT(ISNUMBER(Config!$B$12))),"",MAX(0,Config!$B$12*G125-F125))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IF(OR(A126="",G126="",F126=""),"",IF(OR(NOT(IF(ISNUMBER(F126),F126&gt;=0,FALSE)),NOT(IF(ISNUMBER(G126),G126&gt;=0,FALSE))),"valor ou horas inválidos",IF(G126=0,"",F126/G126)))</f>
        <v/>
      </c>
      <c r="I126" s="31">
        <f>IF(OR(NOT(ISNUMBER(H126)),NOT(ISNUMBER(Config!$B$12))),"",IF(Config!$B$12=0,"sem base (mínimo zero)",H126/Config!$B$12-1))</f>
        <v/>
      </c>
      <c r="J126" s="33">
        <f>IF(H126="","",IF(NOT(ISNUMBER(H126)),H126,IF(NOT(ISNUMBER(Config!$B$12)),Config!$B$12,IF(NOT(ISNUMBER(Config!$B$13)),Config!$B$13,IF(H126&lt;Config!$B$12,"Abaixo do mínimo",IF(H126&lt;Config!$B$13,"Na faixa","Acima do alvo"))))))</f>
        <v/>
      </c>
      <c r="K126" s="25">
        <f>IF(OR(NOT(ISNUMBER(H126)),NOT(ISNUMBER(Config!$B$12))),"",MAX(0,Config!$B$12*G126-F126))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IF(OR(A127="",G127="",F127=""),"",IF(OR(NOT(IF(ISNUMBER(F127),F127&gt;=0,FALSE)),NOT(IF(ISNUMBER(G127),G127&gt;=0,FALSE))),"valor ou horas inválidos",IF(G127=0,"",F127/G127)))</f>
        <v/>
      </c>
      <c r="I127" s="31">
        <f>IF(OR(NOT(ISNUMBER(H127)),NOT(ISNUMBER(Config!$B$12))),"",IF(Config!$B$12=0,"sem base (mínimo zero)",H127/Config!$B$12-1))</f>
        <v/>
      </c>
      <c r="J127" s="33">
        <f>IF(H127="","",IF(NOT(ISNUMBER(H127)),H127,IF(NOT(ISNUMBER(Config!$B$12)),Config!$B$12,IF(NOT(ISNUMBER(Config!$B$13)),Config!$B$13,IF(H127&lt;Config!$B$12,"Abaixo do mínimo",IF(H127&lt;Config!$B$13,"Na faixa","Acima do alvo"))))))</f>
        <v/>
      </c>
      <c r="K127" s="25">
        <f>IF(OR(NOT(ISNUMBER(H127)),NOT(ISNUMBER(Config!$B$12))),"",MAX(0,Config!$B$12*G127-F127))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IF(OR(A128="",G128="",F128=""),"",IF(OR(NOT(IF(ISNUMBER(F128),F128&gt;=0,FALSE)),NOT(IF(ISNUMBER(G128),G128&gt;=0,FALSE))),"valor ou horas inválidos",IF(G128=0,"",F128/G128)))</f>
        <v/>
      </c>
      <c r="I128" s="31">
        <f>IF(OR(NOT(ISNUMBER(H128)),NOT(ISNUMBER(Config!$B$12))),"",IF(Config!$B$12=0,"sem base (mínimo zero)",H128/Config!$B$12-1))</f>
        <v/>
      </c>
      <c r="J128" s="33">
        <f>IF(H128="","",IF(NOT(ISNUMBER(H128)),H128,IF(NOT(ISNUMBER(Config!$B$12)),Config!$B$12,IF(NOT(ISNUMBER(Config!$B$13)),Config!$B$13,IF(H128&lt;Config!$B$12,"Abaixo do mínimo",IF(H128&lt;Config!$B$13,"Na faixa","Acima do alvo"))))))</f>
        <v/>
      </c>
      <c r="K128" s="25">
        <f>IF(OR(NOT(ISNUMBER(H128)),NOT(ISNUMBER(Config!$B$12))),"",MAX(0,Config!$B$12*G128-F128))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IF(OR(A129="",G129="",F129=""),"",IF(OR(NOT(IF(ISNUMBER(F129),F129&gt;=0,FALSE)),NOT(IF(ISNUMBER(G129),G129&gt;=0,FALSE))),"valor ou horas inválidos",IF(G129=0,"",F129/G129)))</f>
        <v/>
      </c>
      <c r="I129" s="31">
        <f>IF(OR(NOT(ISNUMBER(H129)),NOT(ISNUMBER(Config!$B$12))),"",IF(Config!$B$12=0,"sem base (mínimo zero)",H129/Config!$B$12-1))</f>
        <v/>
      </c>
      <c r="J129" s="33">
        <f>IF(H129="","",IF(NOT(ISNUMBER(H129)),H129,IF(NOT(ISNUMBER(Config!$B$12)),Config!$B$12,IF(NOT(ISNUMBER(Config!$B$13)),Config!$B$13,IF(H129&lt;Config!$B$12,"Abaixo do mínimo",IF(H129&lt;Config!$B$13,"Na faixa","Acima do alvo"))))))</f>
        <v/>
      </c>
      <c r="K129" s="25">
        <f>IF(OR(NOT(ISNUMBER(H129)),NOT(ISNUMBER(Config!$B$12))),"",MAX(0,Config!$B$12*G129-F129))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IF(OR(A130="",G130="",F130=""),"",IF(OR(NOT(IF(ISNUMBER(F130),F130&gt;=0,FALSE)),NOT(IF(ISNUMBER(G130),G130&gt;=0,FALSE))),"valor ou horas inválidos",IF(G130=0,"",F130/G130)))</f>
        <v/>
      </c>
      <c r="I130" s="31">
        <f>IF(OR(NOT(ISNUMBER(H130)),NOT(ISNUMBER(Config!$B$12))),"",IF(Config!$B$12=0,"sem base (mínimo zero)",H130/Config!$B$12-1))</f>
        <v/>
      </c>
      <c r="J130" s="33">
        <f>IF(H130="","",IF(NOT(ISNUMBER(H130)),H130,IF(NOT(ISNUMBER(Config!$B$12)),Config!$B$12,IF(NOT(ISNUMBER(Config!$B$13)),Config!$B$13,IF(H130&lt;Config!$B$12,"Abaixo do mínimo",IF(H130&lt;Config!$B$13,"Na faixa","Acima do alvo"))))))</f>
        <v/>
      </c>
      <c r="K130" s="25">
        <f>IF(OR(NOT(ISNUMBER(H130)),NOT(ISNUMBER(Config!$B$12))),"",MAX(0,Config!$B$12*G130-F130))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IF(OR(A131="",G131="",F131=""),"",IF(OR(NOT(IF(ISNUMBER(F131),F131&gt;=0,FALSE)),NOT(IF(ISNUMBER(G131),G131&gt;=0,FALSE))),"valor ou horas inválidos",IF(G131=0,"",F131/G131)))</f>
        <v/>
      </c>
      <c r="I131" s="31">
        <f>IF(OR(NOT(ISNUMBER(H131)),NOT(ISNUMBER(Config!$B$12))),"",IF(Config!$B$12=0,"sem base (mínimo zero)",H131/Config!$B$12-1))</f>
        <v/>
      </c>
      <c r="J131" s="33">
        <f>IF(H131="","",IF(NOT(ISNUMBER(H131)),H131,IF(NOT(ISNUMBER(Config!$B$12)),Config!$B$12,IF(NOT(ISNUMBER(Config!$B$13)),Config!$B$13,IF(H131&lt;Config!$B$12,"Abaixo do mínimo",IF(H131&lt;Config!$B$13,"Na faixa","Acima do alvo"))))))</f>
        <v/>
      </c>
      <c r="K131" s="25">
        <f>IF(OR(NOT(ISNUMBER(H131)),NOT(ISNUMBER(Config!$B$12))),"",MAX(0,Config!$B$12*G131-F131))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IF(OR(A132="",G132="",F132=""),"",IF(OR(NOT(IF(ISNUMBER(F132),F132&gt;=0,FALSE)),NOT(IF(ISNUMBER(G132),G132&gt;=0,FALSE))),"valor ou horas inválidos",IF(G132=0,"",F132/G132)))</f>
        <v/>
      </c>
      <c r="I132" s="31">
        <f>IF(OR(NOT(ISNUMBER(H132)),NOT(ISNUMBER(Config!$B$12))),"",IF(Config!$B$12=0,"sem base (mínimo zero)",H132/Config!$B$12-1))</f>
        <v/>
      </c>
      <c r="J132" s="33">
        <f>IF(H132="","",IF(NOT(ISNUMBER(H132)),H132,IF(NOT(ISNUMBER(Config!$B$12)),Config!$B$12,IF(NOT(ISNUMBER(Config!$B$13)),Config!$B$13,IF(H132&lt;Config!$B$12,"Abaixo do mínimo",IF(H132&lt;Config!$B$13,"Na faixa","Acima do alvo"))))))</f>
        <v/>
      </c>
      <c r="K132" s="25">
        <f>IF(OR(NOT(ISNUMBER(H132)),NOT(ISNUMBER(Config!$B$12))),"",MAX(0,Config!$B$12*G132-F132))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IF(OR(A133="",G133="",F133=""),"",IF(OR(NOT(IF(ISNUMBER(F133),F133&gt;=0,FALSE)),NOT(IF(ISNUMBER(G133),G133&gt;=0,FALSE))),"valor ou horas inválidos",IF(G133=0,"",F133/G133)))</f>
        <v/>
      </c>
      <c r="I133" s="31">
        <f>IF(OR(NOT(ISNUMBER(H133)),NOT(ISNUMBER(Config!$B$12))),"",IF(Config!$B$12=0,"sem base (mínimo zero)",H133/Config!$B$12-1))</f>
        <v/>
      </c>
      <c r="J133" s="33">
        <f>IF(H133="","",IF(NOT(ISNUMBER(H133)),H133,IF(NOT(ISNUMBER(Config!$B$12)),Config!$B$12,IF(NOT(ISNUMBER(Config!$B$13)),Config!$B$13,IF(H133&lt;Config!$B$12,"Abaixo do mínimo",IF(H133&lt;Config!$B$13,"Na faixa","Acima do alvo"))))))</f>
        <v/>
      </c>
      <c r="K133" s="25">
        <f>IF(OR(NOT(ISNUMBER(H133)),NOT(ISNUMBER(Config!$B$12))),"",MAX(0,Config!$B$12*G133-F133))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IF(OR(A134="",G134="",F134=""),"",IF(OR(NOT(IF(ISNUMBER(F134),F134&gt;=0,FALSE)),NOT(IF(ISNUMBER(G134),G134&gt;=0,FALSE))),"valor ou horas inválidos",IF(G134=0,"",F134/G134)))</f>
        <v/>
      </c>
      <c r="I134" s="31">
        <f>IF(OR(NOT(ISNUMBER(H134)),NOT(ISNUMBER(Config!$B$12))),"",IF(Config!$B$12=0,"sem base (mínimo zero)",H134/Config!$B$12-1))</f>
        <v/>
      </c>
      <c r="J134" s="33">
        <f>IF(H134="","",IF(NOT(ISNUMBER(H134)),H134,IF(NOT(ISNUMBER(Config!$B$12)),Config!$B$12,IF(NOT(ISNUMBER(Config!$B$13)),Config!$B$13,IF(H134&lt;Config!$B$12,"Abaixo do mínimo",IF(H134&lt;Config!$B$13,"Na faixa","Acima do alvo"))))))</f>
        <v/>
      </c>
      <c r="K134" s="25">
        <f>IF(OR(NOT(ISNUMBER(H134)),NOT(ISNUMBER(Config!$B$12))),"",MAX(0,Config!$B$12*G134-F134))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IF(OR(A135="",G135="",F135=""),"",IF(OR(NOT(IF(ISNUMBER(F135),F135&gt;=0,FALSE)),NOT(IF(ISNUMBER(G135),G135&gt;=0,FALSE))),"valor ou horas inválidos",IF(G135=0,"",F135/G135)))</f>
        <v/>
      </c>
      <c r="I135" s="31">
        <f>IF(OR(NOT(ISNUMBER(H135)),NOT(ISNUMBER(Config!$B$12))),"",IF(Config!$B$12=0,"sem base (mínimo zero)",H135/Config!$B$12-1))</f>
        <v/>
      </c>
      <c r="J135" s="33">
        <f>IF(H135="","",IF(NOT(ISNUMBER(H135)),H135,IF(NOT(ISNUMBER(Config!$B$12)),Config!$B$12,IF(NOT(ISNUMBER(Config!$B$13)),Config!$B$13,IF(H135&lt;Config!$B$12,"Abaixo do mínimo",IF(H135&lt;Config!$B$13,"Na faixa","Acima do alvo"))))))</f>
        <v/>
      </c>
      <c r="K135" s="25">
        <f>IF(OR(NOT(ISNUMBER(H135)),NOT(ISNUMBER(Config!$B$12))),"",MAX(0,Config!$B$12*G135-F135))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IF(OR(A136="",G136="",F136=""),"",IF(OR(NOT(IF(ISNUMBER(F136),F136&gt;=0,FALSE)),NOT(IF(ISNUMBER(G136),G136&gt;=0,FALSE))),"valor ou horas inválidos",IF(G136=0,"",F136/G136)))</f>
        <v/>
      </c>
      <c r="I136" s="31">
        <f>IF(OR(NOT(ISNUMBER(H136)),NOT(ISNUMBER(Config!$B$12))),"",IF(Config!$B$12=0,"sem base (mínimo zero)",H136/Config!$B$12-1))</f>
        <v/>
      </c>
      <c r="J136" s="33">
        <f>IF(H136="","",IF(NOT(ISNUMBER(H136)),H136,IF(NOT(ISNUMBER(Config!$B$12)),Config!$B$12,IF(NOT(ISNUMBER(Config!$B$13)),Config!$B$13,IF(H136&lt;Config!$B$12,"Abaixo do mínimo",IF(H136&lt;Config!$B$13,"Na faixa","Acima do alvo"))))))</f>
        <v/>
      </c>
      <c r="K136" s="25">
        <f>IF(OR(NOT(ISNUMBER(H136)),NOT(ISNUMBER(Config!$B$12))),"",MAX(0,Config!$B$12*G136-F136))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IF(OR(A137="",G137="",F137=""),"",IF(OR(NOT(IF(ISNUMBER(F137),F137&gt;=0,FALSE)),NOT(IF(ISNUMBER(G137),G137&gt;=0,FALSE))),"valor ou horas inválidos",IF(G137=0,"",F137/G137)))</f>
        <v/>
      </c>
      <c r="I137" s="31">
        <f>IF(OR(NOT(ISNUMBER(H137)),NOT(ISNUMBER(Config!$B$12))),"",IF(Config!$B$12=0,"sem base (mínimo zero)",H137/Config!$B$12-1))</f>
        <v/>
      </c>
      <c r="J137" s="33">
        <f>IF(H137="","",IF(NOT(ISNUMBER(H137)),H137,IF(NOT(ISNUMBER(Config!$B$12)),Config!$B$12,IF(NOT(ISNUMBER(Config!$B$13)),Config!$B$13,IF(H137&lt;Config!$B$12,"Abaixo do mínimo",IF(H137&lt;Config!$B$13,"Na faixa","Acima do alvo"))))))</f>
        <v/>
      </c>
      <c r="K137" s="25">
        <f>IF(OR(NOT(ISNUMBER(H137)),NOT(ISNUMBER(Config!$B$12))),"",MAX(0,Config!$B$12*G137-F137))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IF(OR(A138="",G138="",F138=""),"",IF(OR(NOT(IF(ISNUMBER(F138),F138&gt;=0,FALSE)),NOT(IF(ISNUMBER(G138),G138&gt;=0,FALSE))),"valor ou horas inválidos",IF(G138=0,"",F138/G138)))</f>
        <v/>
      </c>
      <c r="I138" s="31">
        <f>IF(OR(NOT(ISNUMBER(H138)),NOT(ISNUMBER(Config!$B$12))),"",IF(Config!$B$12=0,"sem base (mínimo zero)",H138/Config!$B$12-1))</f>
        <v/>
      </c>
      <c r="J138" s="33">
        <f>IF(H138="","",IF(NOT(ISNUMBER(H138)),H138,IF(NOT(ISNUMBER(Config!$B$12)),Config!$B$12,IF(NOT(ISNUMBER(Config!$B$13)),Config!$B$13,IF(H138&lt;Config!$B$12,"Abaixo do mínimo",IF(H138&lt;Config!$B$13,"Na faixa","Acima do alvo"))))))</f>
        <v/>
      </c>
      <c r="K138" s="25">
        <f>IF(OR(NOT(ISNUMBER(H138)),NOT(ISNUMBER(Config!$B$12))),"",MAX(0,Config!$B$12*G138-F138))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IF(OR(A139="",G139="",F139=""),"",IF(OR(NOT(IF(ISNUMBER(F139),F139&gt;=0,FALSE)),NOT(IF(ISNUMBER(G139),G139&gt;=0,FALSE))),"valor ou horas inválidos",IF(G139=0,"",F139/G139)))</f>
        <v/>
      </c>
      <c r="I139" s="31">
        <f>IF(OR(NOT(ISNUMBER(H139)),NOT(ISNUMBER(Config!$B$12))),"",IF(Config!$B$12=0,"sem base (mínimo zero)",H139/Config!$B$12-1))</f>
        <v/>
      </c>
      <c r="J139" s="33">
        <f>IF(H139="","",IF(NOT(ISNUMBER(H139)),H139,IF(NOT(ISNUMBER(Config!$B$12)),Config!$B$12,IF(NOT(ISNUMBER(Config!$B$13)),Config!$B$13,IF(H139&lt;Config!$B$12,"Abaixo do mínimo",IF(H139&lt;Config!$B$13,"Na faixa","Acima do alvo"))))))</f>
        <v/>
      </c>
      <c r="K139" s="25">
        <f>IF(OR(NOT(ISNUMBER(H139)),NOT(ISNUMBER(Config!$B$12))),"",MAX(0,Config!$B$12*G139-F139))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IF(OR(A140="",G140="",F140=""),"",IF(OR(NOT(IF(ISNUMBER(F140),F140&gt;=0,FALSE)),NOT(IF(ISNUMBER(G140),G140&gt;=0,FALSE))),"valor ou horas inválidos",IF(G140=0,"",F140/G140)))</f>
        <v/>
      </c>
      <c r="I140" s="31">
        <f>IF(OR(NOT(ISNUMBER(H140)),NOT(ISNUMBER(Config!$B$12))),"",IF(Config!$B$12=0,"sem base (mínimo zero)",H140/Config!$B$12-1))</f>
        <v/>
      </c>
      <c r="J140" s="33">
        <f>IF(H140="","",IF(NOT(ISNUMBER(H140)),H140,IF(NOT(ISNUMBER(Config!$B$12)),Config!$B$12,IF(NOT(ISNUMBER(Config!$B$13)),Config!$B$13,IF(H140&lt;Config!$B$12,"Abaixo do mínimo",IF(H140&lt;Config!$B$13,"Na faixa","Acima do alvo"))))))</f>
        <v/>
      </c>
      <c r="K140" s="25">
        <f>IF(OR(NOT(ISNUMBER(H140)),NOT(ISNUMBER(Config!$B$12))),"",MAX(0,Config!$B$12*G140-F140))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IF(OR(A141="",G141="",F141=""),"",IF(OR(NOT(IF(ISNUMBER(F141),F141&gt;=0,FALSE)),NOT(IF(ISNUMBER(G141),G141&gt;=0,FALSE))),"valor ou horas inválidos",IF(G141=0,"",F141/G141)))</f>
        <v/>
      </c>
      <c r="I141" s="31">
        <f>IF(OR(NOT(ISNUMBER(H141)),NOT(ISNUMBER(Config!$B$12))),"",IF(Config!$B$12=0,"sem base (mínimo zero)",H141/Config!$B$12-1))</f>
        <v/>
      </c>
      <c r="J141" s="33">
        <f>IF(H141="","",IF(NOT(ISNUMBER(H141)),H141,IF(NOT(ISNUMBER(Config!$B$12)),Config!$B$12,IF(NOT(ISNUMBER(Config!$B$13)),Config!$B$13,IF(H141&lt;Config!$B$12,"Abaixo do mínimo",IF(H141&lt;Config!$B$13,"Na faixa","Acima do alvo"))))))</f>
        <v/>
      </c>
      <c r="K141" s="25">
        <f>IF(OR(NOT(ISNUMBER(H141)),NOT(ISNUMBER(Config!$B$12))),"",MAX(0,Config!$B$12*G141-F141))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IF(OR(A142="",G142="",F142=""),"",IF(OR(NOT(IF(ISNUMBER(F142),F142&gt;=0,FALSE)),NOT(IF(ISNUMBER(G142),G142&gt;=0,FALSE))),"valor ou horas inválidos",IF(G142=0,"",F142/G142)))</f>
        <v/>
      </c>
      <c r="I142" s="31">
        <f>IF(OR(NOT(ISNUMBER(H142)),NOT(ISNUMBER(Config!$B$12))),"",IF(Config!$B$12=0,"sem base (mínimo zero)",H142/Config!$B$12-1))</f>
        <v/>
      </c>
      <c r="J142" s="33">
        <f>IF(H142="","",IF(NOT(ISNUMBER(H142)),H142,IF(NOT(ISNUMBER(Config!$B$12)),Config!$B$12,IF(NOT(ISNUMBER(Config!$B$13)),Config!$B$13,IF(H142&lt;Config!$B$12,"Abaixo do mínimo",IF(H142&lt;Config!$B$13,"Na faixa","Acima do alvo"))))))</f>
        <v/>
      </c>
      <c r="K142" s="25">
        <f>IF(OR(NOT(ISNUMBER(H142)),NOT(ISNUMBER(Config!$B$12))),"",MAX(0,Config!$B$12*G142-F142))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IF(OR(A143="",G143="",F143=""),"",IF(OR(NOT(IF(ISNUMBER(F143),F143&gt;=0,FALSE)),NOT(IF(ISNUMBER(G143),G143&gt;=0,FALSE))),"valor ou horas inválidos",IF(G143=0,"",F143/G143)))</f>
        <v/>
      </c>
      <c r="I143" s="31">
        <f>IF(OR(NOT(ISNUMBER(H143)),NOT(ISNUMBER(Config!$B$12))),"",IF(Config!$B$12=0,"sem base (mínimo zero)",H143/Config!$B$12-1))</f>
        <v/>
      </c>
      <c r="J143" s="33">
        <f>IF(H143="","",IF(NOT(ISNUMBER(H143)),H143,IF(NOT(ISNUMBER(Config!$B$12)),Config!$B$12,IF(NOT(ISNUMBER(Config!$B$13)),Config!$B$13,IF(H143&lt;Config!$B$12,"Abaixo do mínimo",IF(H143&lt;Config!$B$13,"Na faixa","Acima do alvo"))))))</f>
        <v/>
      </c>
      <c r="K143" s="25">
        <f>IF(OR(NOT(ISNUMBER(H143)),NOT(ISNUMBER(Config!$B$12))),"",MAX(0,Config!$B$12*G143-F143))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IF(OR(A144="",G144="",F144=""),"",IF(OR(NOT(IF(ISNUMBER(F144),F144&gt;=0,FALSE)),NOT(IF(ISNUMBER(G144),G144&gt;=0,FALSE))),"valor ou horas inválidos",IF(G144=0,"",F144/G144)))</f>
        <v/>
      </c>
      <c r="I144" s="31">
        <f>IF(OR(NOT(ISNUMBER(H144)),NOT(ISNUMBER(Config!$B$12))),"",IF(Config!$B$12=0,"sem base (mínimo zero)",H144/Config!$B$12-1))</f>
        <v/>
      </c>
      <c r="J144" s="33">
        <f>IF(H144="","",IF(NOT(ISNUMBER(H144)),H144,IF(NOT(ISNUMBER(Config!$B$12)),Config!$B$12,IF(NOT(ISNUMBER(Config!$B$13)),Config!$B$13,IF(H144&lt;Config!$B$12,"Abaixo do mínimo",IF(H144&lt;Config!$B$13,"Na faixa","Acima do alvo"))))))</f>
        <v/>
      </c>
      <c r="K144" s="25">
        <f>IF(OR(NOT(ISNUMBER(H144)),NOT(ISNUMBER(Config!$B$12))),"",MAX(0,Config!$B$12*G144-F144))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IF(OR(A145="",G145="",F145=""),"",IF(OR(NOT(IF(ISNUMBER(F145),F145&gt;=0,FALSE)),NOT(IF(ISNUMBER(G145),G145&gt;=0,FALSE))),"valor ou horas inválidos",IF(G145=0,"",F145/G145)))</f>
        <v/>
      </c>
      <c r="I145" s="31">
        <f>IF(OR(NOT(ISNUMBER(H145)),NOT(ISNUMBER(Config!$B$12))),"",IF(Config!$B$12=0,"sem base (mínimo zero)",H145/Config!$B$12-1))</f>
        <v/>
      </c>
      <c r="J145" s="33">
        <f>IF(H145="","",IF(NOT(ISNUMBER(H145)),H145,IF(NOT(ISNUMBER(Config!$B$12)),Config!$B$12,IF(NOT(ISNUMBER(Config!$B$13)),Config!$B$13,IF(H145&lt;Config!$B$12,"Abaixo do mínimo",IF(H145&lt;Config!$B$13,"Na faixa","Acima do alvo"))))))</f>
        <v/>
      </c>
      <c r="K145" s="25">
        <f>IF(OR(NOT(ISNUMBER(H145)),NOT(ISNUMBER(Config!$B$12))),"",MAX(0,Config!$B$12*G145-F145))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IF(OR(A146="",G146="",F146=""),"",IF(OR(NOT(IF(ISNUMBER(F146),F146&gt;=0,FALSE)),NOT(IF(ISNUMBER(G146),G146&gt;=0,FALSE))),"valor ou horas inválidos",IF(G146=0,"",F146/G146)))</f>
        <v/>
      </c>
      <c r="I146" s="31">
        <f>IF(OR(NOT(ISNUMBER(H146)),NOT(ISNUMBER(Config!$B$12))),"",IF(Config!$B$12=0,"sem base (mínimo zero)",H146/Config!$B$12-1))</f>
        <v/>
      </c>
      <c r="J146" s="33">
        <f>IF(H146="","",IF(NOT(ISNUMBER(H146)),H146,IF(NOT(ISNUMBER(Config!$B$12)),Config!$B$12,IF(NOT(ISNUMBER(Config!$B$13)),Config!$B$13,IF(H146&lt;Config!$B$12,"Abaixo do mínimo",IF(H146&lt;Config!$B$13,"Na faixa","Acima do alvo"))))))</f>
        <v/>
      </c>
      <c r="K146" s="25">
        <f>IF(OR(NOT(ISNUMBER(H146)),NOT(ISNUMBER(Config!$B$12))),"",MAX(0,Config!$B$12*G146-F146))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IF(OR(A147="",G147="",F147=""),"",IF(OR(NOT(IF(ISNUMBER(F147),F147&gt;=0,FALSE)),NOT(IF(ISNUMBER(G147),G147&gt;=0,FALSE))),"valor ou horas inválidos",IF(G147=0,"",F147/G147)))</f>
        <v/>
      </c>
      <c r="I147" s="31">
        <f>IF(OR(NOT(ISNUMBER(H147)),NOT(ISNUMBER(Config!$B$12))),"",IF(Config!$B$12=0,"sem base (mínimo zero)",H147/Config!$B$12-1))</f>
        <v/>
      </c>
      <c r="J147" s="33">
        <f>IF(H147="","",IF(NOT(ISNUMBER(H147)),H147,IF(NOT(ISNUMBER(Config!$B$12)),Config!$B$12,IF(NOT(ISNUMBER(Config!$B$13)),Config!$B$13,IF(H147&lt;Config!$B$12,"Abaixo do mínimo",IF(H147&lt;Config!$B$13,"Na faixa","Acima do alvo"))))))</f>
        <v/>
      </c>
      <c r="K147" s="25">
        <f>IF(OR(NOT(ISNUMBER(H147)),NOT(ISNUMBER(Config!$B$12))),"",MAX(0,Config!$B$12*G147-F147))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IF(OR(A148="",G148="",F148=""),"",IF(OR(NOT(IF(ISNUMBER(F148),F148&gt;=0,FALSE)),NOT(IF(ISNUMBER(G148),G148&gt;=0,FALSE))),"valor ou horas inválidos",IF(G148=0,"",F148/G148)))</f>
        <v/>
      </c>
      <c r="I148" s="31">
        <f>IF(OR(NOT(ISNUMBER(H148)),NOT(ISNUMBER(Config!$B$12))),"",IF(Config!$B$12=0,"sem base (mínimo zero)",H148/Config!$B$12-1))</f>
        <v/>
      </c>
      <c r="J148" s="33">
        <f>IF(H148="","",IF(NOT(ISNUMBER(H148)),H148,IF(NOT(ISNUMBER(Config!$B$12)),Config!$B$12,IF(NOT(ISNUMBER(Config!$B$13)),Config!$B$13,IF(H148&lt;Config!$B$12,"Abaixo do mínimo",IF(H148&lt;Config!$B$13,"Na faixa","Acima do alvo"))))))</f>
        <v/>
      </c>
      <c r="K148" s="25">
        <f>IF(OR(NOT(ISNUMBER(H148)),NOT(ISNUMBER(Config!$B$12))),"",MAX(0,Config!$B$12*G148-F148))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IF(OR(A149="",G149="",F149=""),"",IF(OR(NOT(IF(ISNUMBER(F149),F149&gt;=0,FALSE)),NOT(IF(ISNUMBER(G149),G149&gt;=0,FALSE))),"valor ou horas inválidos",IF(G149=0,"",F149/G149)))</f>
        <v/>
      </c>
      <c r="I149" s="31">
        <f>IF(OR(NOT(ISNUMBER(H149)),NOT(ISNUMBER(Config!$B$12))),"",IF(Config!$B$12=0,"sem base (mínimo zero)",H149/Config!$B$12-1))</f>
        <v/>
      </c>
      <c r="J149" s="33">
        <f>IF(H149="","",IF(NOT(ISNUMBER(H149)),H149,IF(NOT(ISNUMBER(Config!$B$12)),Config!$B$12,IF(NOT(ISNUMBER(Config!$B$13)),Config!$B$13,IF(H149&lt;Config!$B$12,"Abaixo do mínimo",IF(H149&lt;Config!$B$13,"Na faixa","Acima do alvo"))))))</f>
        <v/>
      </c>
      <c r="K149" s="25">
        <f>IF(OR(NOT(ISNUMBER(H149)),NOT(ISNUMBER(Config!$B$12))),"",MAX(0,Config!$B$12*G149-F149))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IF(OR(A150="",G150="",F150=""),"",IF(OR(NOT(IF(ISNUMBER(F150),F150&gt;=0,FALSE)),NOT(IF(ISNUMBER(G150),G150&gt;=0,FALSE))),"valor ou horas inválidos",IF(G150=0,"",F150/G150)))</f>
        <v/>
      </c>
      <c r="I150" s="31">
        <f>IF(OR(NOT(ISNUMBER(H150)),NOT(ISNUMBER(Config!$B$12))),"",IF(Config!$B$12=0,"sem base (mínimo zero)",H150/Config!$B$12-1))</f>
        <v/>
      </c>
      <c r="J150" s="33">
        <f>IF(H150="","",IF(NOT(ISNUMBER(H150)),H150,IF(NOT(ISNUMBER(Config!$B$12)),Config!$B$12,IF(NOT(ISNUMBER(Config!$B$13)),Config!$B$13,IF(H150&lt;Config!$B$12,"Abaixo do mínimo",IF(H150&lt;Config!$B$13,"Na faixa","Acima do alvo"))))))</f>
        <v/>
      </c>
      <c r="K150" s="25">
        <f>IF(OR(NOT(ISNUMBER(H150)),NOT(ISNUMBER(Config!$B$12))),"",MAX(0,Config!$B$12*G150-F150))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IF(OR(A151="",G151="",F151=""),"",IF(OR(NOT(IF(ISNUMBER(F151),F151&gt;=0,FALSE)),NOT(IF(ISNUMBER(G151),G151&gt;=0,FALSE))),"valor ou horas inválidos",IF(G151=0,"",F151/G151)))</f>
        <v/>
      </c>
      <c r="I151" s="31">
        <f>IF(OR(NOT(ISNUMBER(H151)),NOT(ISNUMBER(Config!$B$12))),"",IF(Config!$B$12=0,"sem base (mínimo zero)",H151/Config!$B$12-1))</f>
        <v/>
      </c>
      <c r="J151" s="33">
        <f>IF(H151="","",IF(NOT(ISNUMBER(H151)),H151,IF(NOT(ISNUMBER(Config!$B$12)),Config!$B$12,IF(NOT(ISNUMBER(Config!$B$13)),Config!$B$13,IF(H151&lt;Config!$B$12,"Abaixo do mínimo",IF(H151&lt;Config!$B$13,"Na faixa","Acima do alvo"))))))</f>
        <v/>
      </c>
      <c r="K151" s="25">
        <f>IF(OR(NOT(ISNUMBER(H151)),NOT(ISNUMBER(Config!$B$12))),"",MAX(0,Config!$B$12*G151-F151))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IF(OR(A152="",G152="",F152=""),"",IF(OR(NOT(IF(ISNUMBER(F152),F152&gt;=0,FALSE)),NOT(IF(ISNUMBER(G152),G152&gt;=0,FALSE))),"valor ou horas inválidos",IF(G152=0,"",F152/G152)))</f>
        <v/>
      </c>
      <c r="I152" s="31">
        <f>IF(OR(NOT(ISNUMBER(H152)),NOT(ISNUMBER(Config!$B$12))),"",IF(Config!$B$12=0,"sem base (mínimo zero)",H152/Config!$B$12-1))</f>
        <v/>
      </c>
      <c r="J152" s="33">
        <f>IF(H152="","",IF(NOT(ISNUMBER(H152)),H152,IF(NOT(ISNUMBER(Config!$B$12)),Config!$B$12,IF(NOT(ISNUMBER(Config!$B$13)),Config!$B$13,IF(H152&lt;Config!$B$12,"Abaixo do mínimo",IF(H152&lt;Config!$B$13,"Na faixa","Acima do alvo"))))))</f>
        <v/>
      </c>
      <c r="K152" s="25">
        <f>IF(OR(NOT(ISNUMBER(H152)),NOT(ISNUMBER(Config!$B$12))),"",MAX(0,Config!$B$12*G152-F152))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IF(OR(A153="",G153="",F153=""),"",IF(OR(NOT(IF(ISNUMBER(F153),F153&gt;=0,FALSE)),NOT(IF(ISNUMBER(G153),G153&gt;=0,FALSE))),"valor ou horas inválidos",IF(G153=0,"",F153/G153)))</f>
        <v/>
      </c>
      <c r="I153" s="31">
        <f>IF(OR(NOT(ISNUMBER(H153)),NOT(ISNUMBER(Config!$B$12))),"",IF(Config!$B$12=0,"sem base (mínimo zero)",H153/Config!$B$12-1))</f>
        <v/>
      </c>
      <c r="J153" s="33">
        <f>IF(H153="","",IF(NOT(ISNUMBER(H153)),H153,IF(NOT(ISNUMBER(Config!$B$12)),Config!$B$12,IF(NOT(ISNUMBER(Config!$B$13)),Config!$B$13,IF(H153&lt;Config!$B$12,"Abaixo do mínimo",IF(H153&lt;Config!$B$13,"Na faixa","Acima do alvo"))))))</f>
        <v/>
      </c>
      <c r="K153" s="25">
        <f>IF(OR(NOT(ISNUMBER(H153)),NOT(ISNUMBER(Config!$B$12))),"",MAX(0,Config!$B$12*G153-F153))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IF(OR(A154="",G154="",F154=""),"",IF(OR(NOT(IF(ISNUMBER(F154),F154&gt;=0,FALSE)),NOT(IF(ISNUMBER(G154),G154&gt;=0,FALSE))),"valor ou horas inválidos",IF(G154=0,"",F154/G154)))</f>
        <v/>
      </c>
      <c r="I154" s="31">
        <f>IF(OR(NOT(ISNUMBER(H154)),NOT(ISNUMBER(Config!$B$12))),"",IF(Config!$B$12=0,"sem base (mínimo zero)",H154/Config!$B$12-1))</f>
        <v/>
      </c>
      <c r="J154" s="33">
        <f>IF(H154="","",IF(NOT(ISNUMBER(H154)),H154,IF(NOT(ISNUMBER(Config!$B$12)),Config!$B$12,IF(NOT(ISNUMBER(Config!$B$13)),Config!$B$13,IF(H154&lt;Config!$B$12,"Abaixo do mínimo",IF(H154&lt;Config!$B$13,"Na faixa","Acima do alvo"))))))</f>
        <v/>
      </c>
      <c r="K154" s="25">
        <f>IF(OR(NOT(ISNUMBER(H154)),NOT(ISNUMBER(Config!$B$12))),"",MAX(0,Config!$B$12*G154-F154))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IF(OR(A155="",G155="",F155=""),"",IF(OR(NOT(IF(ISNUMBER(F155),F155&gt;=0,FALSE)),NOT(IF(ISNUMBER(G155),G155&gt;=0,FALSE))),"valor ou horas inválidos",IF(G155=0,"",F155/G155)))</f>
        <v/>
      </c>
      <c r="I155" s="31">
        <f>IF(OR(NOT(ISNUMBER(H155)),NOT(ISNUMBER(Config!$B$12))),"",IF(Config!$B$12=0,"sem base (mínimo zero)",H155/Config!$B$12-1))</f>
        <v/>
      </c>
      <c r="J155" s="33">
        <f>IF(H155="","",IF(NOT(ISNUMBER(H155)),H155,IF(NOT(ISNUMBER(Config!$B$12)),Config!$B$12,IF(NOT(ISNUMBER(Config!$B$13)),Config!$B$13,IF(H155&lt;Config!$B$12,"Abaixo do mínimo",IF(H155&lt;Config!$B$13,"Na faixa","Acima do alvo"))))))</f>
        <v/>
      </c>
      <c r="K155" s="25">
        <f>IF(OR(NOT(ISNUMBER(H155)),NOT(ISNUMBER(Config!$B$12))),"",MAX(0,Config!$B$12*G155-F155))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IF(OR(A156="",G156="",F156=""),"",IF(OR(NOT(IF(ISNUMBER(F156),F156&gt;=0,FALSE)),NOT(IF(ISNUMBER(G156),G156&gt;=0,FALSE))),"valor ou horas inválidos",IF(G156=0,"",F156/G156)))</f>
        <v/>
      </c>
      <c r="I156" s="31">
        <f>IF(OR(NOT(ISNUMBER(H156)),NOT(ISNUMBER(Config!$B$12))),"",IF(Config!$B$12=0,"sem base (mínimo zero)",H156/Config!$B$12-1))</f>
        <v/>
      </c>
      <c r="J156" s="33">
        <f>IF(H156="","",IF(NOT(ISNUMBER(H156)),H156,IF(NOT(ISNUMBER(Config!$B$12)),Config!$B$12,IF(NOT(ISNUMBER(Config!$B$13)),Config!$B$13,IF(H156&lt;Config!$B$12,"Abaixo do mínimo",IF(H156&lt;Config!$B$13,"Na faixa","Acima do alvo"))))))</f>
        <v/>
      </c>
      <c r="K156" s="25">
        <f>IF(OR(NOT(ISNUMBER(H156)),NOT(ISNUMBER(Config!$B$12))),"",MAX(0,Config!$B$12*G156-F156))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IF(OR(A157="",G157="",F157=""),"",IF(OR(NOT(IF(ISNUMBER(F157),F157&gt;=0,FALSE)),NOT(IF(ISNUMBER(G157),G157&gt;=0,FALSE))),"valor ou horas inválidos",IF(G157=0,"",F157/G157)))</f>
        <v/>
      </c>
      <c r="I157" s="31">
        <f>IF(OR(NOT(ISNUMBER(H157)),NOT(ISNUMBER(Config!$B$12))),"",IF(Config!$B$12=0,"sem base (mínimo zero)",H157/Config!$B$12-1))</f>
        <v/>
      </c>
      <c r="J157" s="33">
        <f>IF(H157="","",IF(NOT(ISNUMBER(H157)),H157,IF(NOT(ISNUMBER(Config!$B$12)),Config!$B$12,IF(NOT(ISNUMBER(Config!$B$13)),Config!$B$13,IF(H157&lt;Config!$B$12,"Abaixo do mínimo",IF(H157&lt;Config!$B$13,"Na faixa","Acima do alvo"))))))</f>
        <v/>
      </c>
      <c r="K157" s="25">
        <f>IF(OR(NOT(ISNUMBER(H157)),NOT(ISNUMBER(Config!$B$12))),"",MAX(0,Config!$B$12*G157-F157))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IF(OR(A158="",G158="",F158=""),"",IF(OR(NOT(IF(ISNUMBER(F158),F158&gt;=0,FALSE)),NOT(IF(ISNUMBER(G158),G158&gt;=0,FALSE))),"valor ou horas inválidos",IF(G158=0,"",F158/G158)))</f>
        <v/>
      </c>
      <c r="I158" s="31">
        <f>IF(OR(NOT(ISNUMBER(H158)),NOT(ISNUMBER(Config!$B$12))),"",IF(Config!$B$12=0,"sem base (mínimo zero)",H158/Config!$B$12-1))</f>
        <v/>
      </c>
      <c r="J158" s="33">
        <f>IF(H158="","",IF(NOT(ISNUMBER(H158)),H158,IF(NOT(ISNUMBER(Config!$B$12)),Config!$B$12,IF(NOT(ISNUMBER(Config!$B$13)),Config!$B$13,IF(H158&lt;Config!$B$12,"Abaixo do mínimo",IF(H158&lt;Config!$B$13,"Na faixa","Acima do alvo"))))))</f>
        <v/>
      </c>
      <c r="K158" s="25">
        <f>IF(OR(NOT(ISNUMBER(H158)),NOT(ISNUMBER(Config!$B$12))),"",MAX(0,Config!$B$12*G158-F158))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IF(OR(A159="",G159="",F159=""),"",IF(OR(NOT(IF(ISNUMBER(F159),F159&gt;=0,FALSE)),NOT(IF(ISNUMBER(G159),G159&gt;=0,FALSE))),"valor ou horas inválidos",IF(G159=0,"",F159/G159)))</f>
        <v/>
      </c>
      <c r="I159" s="31">
        <f>IF(OR(NOT(ISNUMBER(H159)),NOT(ISNUMBER(Config!$B$12))),"",IF(Config!$B$12=0,"sem base (mínimo zero)",H159/Config!$B$12-1))</f>
        <v/>
      </c>
      <c r="J159" s="33">
        <f>IF(H159="","",IF(NOT(ISNUMBER(H159)),H159,IF(NOT(ISNUMBER(Config!$B$12)),Config!$B$12,IF(NOT(ISNUMBER(Config!$B$13)),Config!$B$13,IF(H159&lt;Config!$B$12,"Abaixo do mínimo",IF(H159&lt;Config!$B$13,"Na faixa","Acima do alvo"))))))</f>
        <v/>
      </c>
      <c r="K159" s="25">
        <f>IF(OR(NOT(ISNUMBER(H159)),NOT(ISNUMBER(Config!$B$12))),"",MAX(0,Config!$B$12*G159-F159))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IF(OR(A160="",G160="",F160=""),"",IF(OR(NOT(IF(ISNUMBER(F160),F160&gt;=0,FALSE)),NOT(IF(ISNUMBER(G160),G160&gt;=0,FALSE))),"valor ou horas inválidos",IF(G160=0,"",F160/G160)))</f>
        <v/>
      </c>
      <c r="I160" s="31">
        <f>IF(OR(NOT(ISNUMBER(H160)),NOT(ISNUMBER(Config!$B$12))),"",IF(Config!$B$12=0,"sem base (mínimo zero)",H160/Config!$B$12-1))</f>
        <v/>
      </c>
      <c r="J160" s="33">
        <f>IF(H160="","",IF(NOT(ISNUMBER(H160)),H160,IF(NOT(ISNUMBER(Config!$B$12)),Config!$B$12,IF(NOT(ISNUMBER(Config!$B$13)),Config!$B$13,IF(H160&lt;Config!$B$12,"Abaixo do mínimo",IF(H160&lt;Config!$B$13,"Na faixa","Acima do alvo"))))))</f>
        <v/>
      </c>
      <c r="K160" s="25">
        <f>IF(OR(NOT(ISNUMBER(H160)),NOT(ISNUMBER(Config!$B$12))),"",MAX(0,Config!$B$12*G160-F160))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IF(OR(A161="",G161="",F161=""),"",IF(OR(NOT(IF(ISNUMBER(F161),F161&gt;=0,FALSE)),NOT(IF(ISNUMBER(G161),G161&gt;=0,FALSE))),"valor ou horas inválidos",IF(G161=0,"",F161/G161)))</f>
        <v/>
      </c>
      <c r="I161" s="31">
        <f>IF(OR(NOT(ISNUMBER(H161)),NOT(ISNUMBER(Config!$B$12))),"",IF(Config!$B$12=0,"sem base (mínimo zero)",H161/Config!$B$12-1))</f>
        <v/>
      </c>
      <c r="J161" s="33">
        <f>IF(H161="","",IF(NOT(ISNUMBER(H161)),H161,IF(NOT(ISNUMBER(Config!$B$12)),Config!$B$12,IF(NOT(ISNUMBER(Config!$B$13)),Config!$B$13,IF(H161&lt;Config!$B$12,"Abaixo do mínimo",IF(H161&lt;Config!$B$13,"Na faixa","Acima do alvo"))))))</f>
        <v/>
      </c>
      <c r="K161" s="25">
        <f>IF(OR(NOT(ISNUMBER(H161)),NOT(ISNUMBER(Config!$B$12))),"",MAX(0,Config!$B$12*G161-F161))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IF(OR(A162="",G162="",F162=""),"",IF(OR(NOT(IF(ISNUMBER(F162),F162&gt;=0,FALSE)),NOT(IF(ISNUMBER(G162),G162&gt;=0,FALSE))),"valor ou horas inválidos",IF(G162=0,"",F162/G162)))</f>
        <v/>
      </c>
      <c r="I162" s="31">
        <f>IF(OR(NOT(ISNUMBER(H162)),NOT(ISNUMBER(Config!$B$12))),"",IF(Config!$B$12=0,"sem base (mínimo zero)",H162/Config!$B$12-1))</f>
        <v/>
      </c>
      <c r="J162" s="33">
        <f>IF(H162="","",IF(NOT(ISNUMBER(H162)),H162,IF(NOT(ISNUMBER(Config!$B$12)),Config!$B$12,IF(NOT(ISNUMBER(Config!$B$13)),Config!$B$13,IF(H162&lt;Config!$B$12,"Abaixo do mínimo",IF(H162&lt;Config!$B$13,"Na faixa","Acima do alvo"))))))</f>
        <v/>
      </c>
      <c r="K162" s="25">
        <f>IF(OR(NOT(ISNUMBER(H162)),NOT(ISNUMBER(Config!$B$12))),"",MAX(0,Config!$B$12*G162-F162))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IF(OR(A163="",G163="",F163=""),"",IF(OR(NOT(IF(ISNUMBER(F163),F163&gt;=0,FALSE)),NOT(IF(ISNUMBER(G163),G163&gt;=0,FALSE))),"valor ou horas inválidos",IF(G163=0,"",F163/G163)))</f>
        <v/>
      </c>
      <c r="I163" s="31">
        <f>IF(OR(NOT(ISNUMBER(H163)),NOT(ISNUMBER(Config!$B$12))),"",IF(Config!$B$12=0,"sem base (mínimo zero)",H163/Config!$B$12-1))</f>
        <v/>
      </c>
      <c r="J163" s="33">
        <f>IF(H163="","",IF(NOT(ISNUMBER(H163)),H163,IF(NOT(ISNUMBER(Config!$B$12)),Config!$B$12,IF(NOT(ISNUMBER(Config!$B$13)),Config!$B$13,IF(H163&lt;Config!$B$12,"Abaixo do mínimo",IF(H163&lt;Config!$B$13,"Na faixa","Acima do alvo"))))))</f>
        <v/>
      </c>
      <c r="K163" s="25">
        <f>IF(OR(NOT(ISNUMBER(H163)),NOT(ISNUMBER(Config!$B$12))),"",MAX(0,Config!$B$12*G163-F163))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IF(OR(A164="",G164="",F164=""),"",IF(OR(NOT(IF(ISNUMBER(F164),F164&gt;=0,FALSE)),NOT(IF(ISNUMBER(G164),G164&gt;=0,FALSE))),"valor ou horas inválidos",IF(G164=0,"",F164/G164)))</f>
        <v/>
      </c>
      <c r="I164" s="31">
        <f>IF(OR(NOT(ISNUMBER(H164)),NOT(ISNUMBER(Config!$B$12))),"",IF(Config!$B$12=0,"sem base (mínimo zero)",H164/Config!$B$12-1))</f>
        <v/>
      </c>
      <c r="J164" s="33">
        <f>IF(H164="","",IF(NOT(ISNUMBER(H164)),H164,IF(NOT(ISNUMBER(Config!$B$12)),Config!$B$12,IF(NOT(ISNUMBER(Config!$B$13)),Config!$B$13,IF(H164&lt;Config!$B$12,"Abaixo do mínimo",IF(H164&lt;Config!$B$13,"Na faixa","Acima do alvo"))))))</f>
        <v/>
      </c>
      <c r="K164" s="25">
        <f>IF(OR(NOT(ISNUMBER(H164)),NOT(ISNUMBER(Config!$B$12))),"",MAX(0,Config!$B$12*G164-F164))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IF(OR(A165="",G165="",F165=""),"",IF(OR(NOT(IF(ISNUMBER(F165),F165&gt;=0,FALSE)),NOT(IF(ISNUMBER(G165),G165&gt;=0,FALSE))),"valor ou horas inválidos",IF(G165=0,"",F165/G165)))</f>
        <v/>
      </c>
      <c r="I165" s="31">
        <f>IF(OR(NOT(ISNUMBER(H165)),NOT(ISNUMBER(Config!$B$12))),"",IF(Config!$B$12=0,"sem base (mínimo zero)",H165/Config!$B$12-1))</f>
        <v/>
      </c>
      <c r="J165" s="33">
        <f>IF(H165="","",IF(NOT(ISNUMBER(H165)),H165,IF(NOT(ISNUMBER(Config!$B$12)),Config!$B$12,IF(NOT(ISNUMBER(Config!$B$13)),Config!$B$13,IF(H165&lt;Config!$B$12,"Abaixo do mínimo",IF(H165&lt;Config!$B$13,"Na faixa","Acima do alvo"))))))</f>
        <v/>
      </c>
      <c r="K165" s="25">
        <f>IF(OR(NOT(ISNUMBER(H165)),NOT(ISNUMBER(Config!$B$12))),"",MAX(0,Config!$B$12*G165-F165))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IF(OR(A166="",G166="",F166=""),"",IF(OR(NOT(IF(ISNUMBER(F166),F166&gt;=0,FALSE)),NOT(IF(ISNUMBER(G166),G166&gt;=0,FALSE))),"valor ou horas inválidos",IF(G166=0,"",F166/G166)))</f>
        <v/>
      </c>
      <c r="I166" s="31">
        <f>IF(OR(NOT(ISNUMBER(H166)),NOT(ISNUMBER(Config!$B$12))),"",IF(Config!$B$12=0,"sem base (mínimo zero)",H166/Config!$B$12-1))</f>
        <v/>
      </c>
      <c r="J166" s="33">
        <f>IF(H166="","",IF(NOT(ISNUMBER(H166)),H166,IF(NOT(ISNUMBER(Config!$B$12)),Config!$B$12,IF(NOT(ISNUMBER(Config!$B$13)),Config!$B$13,IF(H166&lt;Config!$B$12,"Abaixo do mínimo",IF(H166&lt;Config!$B$13,"Na faixa","Acima do alvo"))))))</f>
        <v/>
      </c>
      <c r="K166" s="25">
        <f>IF(OR(NOT(ISNUMBER(H166)),NOT(ISNUMBER(Config!$B$12))),"",MAX(0,Config!$B$12*G166-F166))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IF(OR(A167="",G167="",F167=""),"",IF(OR(NOT(IF(ISNUMBER(F167),F167&gt;=0,FALSE)),NOT(IF(ISNUMBER(G167),G167&gt;=0,FALSE))),"valor ou horas inválidos",IF(G167=0,"",F167/G167)))</f>
        <v/>
      </c>
      <c r="I167" s="31">
        <f>IF(OR(NOT(ISNUMBER(H167)),NOT(ISNUMBER(Config!$B$12))),"",IF(Config!$B$12=0,"sem base (mínimo zero)",H167/Config!$B$12-1))</f>
        <v/>
      </c>
      <c r="J167" s="33">
        <f>IF(H167="","",IF(NOT(ISNUMBER(H167)),H167,IF(NOT(ISNUMBER(Config!$B$12)),Config!$B$12,IF(NOT(ISNUMBER(Config!$B$13)),Config!$B$13,IF(H167&lt;Config!$B$12,"Abaixo do mínimo",IF(H167&lt;Config!$B$13,"Na faixa","Acima do alvo"))))))</f>
        <v/>
      </c>
      <c r="K167" s="25">
        <f>IF(OR(NOT(ISNUMBER(H167)),NOT(ISNUMBER(Config!$B$12))),"",MAX(0,Config!$B$12*G167-F167))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IF(OR(A168="",G168="",F168=""),"",IF(OR(NOT(IF(ISNUMBER(F168),F168&gt;=0,FALSE)),NOT(IF(ISNUMBER(G168),G168&gt;=0,FALSE))),"valor ou horas inválidos",IF(G168=0,"",F168/G168)))</f>
        <v/>
      </c>
      <c r="I168" s="31">
        <f>IF(OR(NOT(ISNUMBER(H168)),NOT(ISNUMBER(Config!$B$12))),"",IF(Config!$B$12=0,"sem base (mínimo zero)",H168/Config!$B$12-1))</f>
        <v/>
      </c>
      <c r="J168" s="33">
        <f>IF(H168="","",IF(NOT(ISNUMBER(H168)),H168,IF(NOT(ISNUMBER(Config!$B$12)),Config!$B$12,IF(NOT(ISNUMBER(Config!$B$13)),Config!$B$13,IF(H168&lt;Config!$B$12,"Abaixo do mínimo",IF(H168&lt;Config!$B$13,"Na faixa","Acima do alvo"))))))</f>
        <v/>
      </c>
      <c r="K168" s="25">
        <f>IF(OR(NOT(ISNUMBER(H168)),NOT(ISNUMBER(Config!$B$12))),"",MAX(0,Config!$B$12*G168-F168))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IF(OR(A169="",G169="",F169=""),"",IF(OR(NOT(IF(ISNUMBER(F169),F169&gt;=0,FALSE)),NOT(IF(ISNUMBER(G169),G169&gt;=0,FALSE))),"valor ou horas inválidos",IF(G169=0,"",F169/G169)))</f>
        <v/>
      </c>
      <c r="I169" s="31">
        <f>IF(OR(NOT(ISNUMBER(H169)),NOT(ISNUMBER(Config!$B$12))),"",IF(Config!$B$12=0,"sem base (mínimo zero)",H169/Config!$B$12-1))</f>
        <v/>
      </c>
      <c r="J169" s="33">
        <f>IF(H169="","",IF(NOT(ISNUMBER(H169)),H169,IF(NOT(ISNUMBER(Config!$B$12)),Config!$B$12,IF(NOT(ISNUMBER(Config!$B$13)),Config!$B$13,IF(H169&lt;Config!$B$12,"Abaixo do mínimo",IF(H169&lt;Config!$B$13,"Na faixa","Acima do alvo"))))))</f>
        <v/>
      </c>
      <c r="K169" s="25">
        <f>IF(OR(NOT(ISNUMBER(H169)),NOT(ISNUMBER(Config!$B$12))),"",MAX(0,Config!$B$12*G169-F169))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IF(OR(A170="",G170="",F170=""),"",IF(OR(NOT(IF(ISNUMBER(F170),F170&gt;=0,FALSE)),NOT(IF(ISNUMBER(G170),G170&gt;=0,FALSE))),"valor ou horas inválidos",IF(G170=0,"",F170/G170)))</f>
        <v/>
      </c>
      <c r="I170" s="31">
        <f>IF(OR(NOT(ISNUMBER(H170)),NOT(ISNUMBER(Config!$B$12))),"",IF(Config!$B$12=0,"sem base (mínimo zero)",H170/Config!$B$12-1))</f>
        <v/>
      </c>
      <c r="J170" s="33">
        <f>IF(H170="","",IF(NOT(ISNUMBER(H170)),H170,IF(NOT(ISNUMBER(Config!$B$12)),Config!$B$12,IF(NOT(ISNUMBER(Config!$B$13)),Config!$B$13,IF(H170&lt;Config!$B$12,"Abaixo do mínimo",IF(H170&lt;Config!$B$13,"Na faixa","Acima do alvo"))))))</f>
        <v/>
      </c>
      <c r="K170" s="25">
        <f>IF(OR(NOT(ISNUMBER(H170)),NOT(ISNUMBER(Config!$B$12))),"",MAX(0,Config!$B$12*G170-F170))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IF(OR(A171="",G171="",F171=""),"",IF(OR(NOT(IF(ISNUMBER(F171),F171&gt;=0,FALSE)),NOT(IF(ISNUMBER(G171),G171&gt;=0,FALSE))),"valor ou horas inválidos",IF(G171=0,"",F171/G171)))</f>
        <v/>
      </c>
      <c r="I171" s="31">
        <f>IF(OR(NOT(ISNUMBER(H171)),NOT(ISNUMBER(Config!$B$12))),"",IF(Config!$B$12=0,"sem base (mínimo zero)",H171/Config!$B$12-1))</f>
        <v/>
      </c>
      <c r="J171" s="33">
        <f>IF(H171="","",IF(NOT(ISNUMBER(H171)),H171,IF(NOT(ISNUMBER(Config!$B$12)),Config!$B$12,IF(NOT(ISNUMBER(Config!$B$13)),Config!$B$13,IF(H171&lt;Config!$B$12,"Abaixo do mínimo",IF(H171&lt;Config!$B$13,"Na faixa","Acima do alvo"))))))</f>
        <v/>
      </c>
      <c r="K171" s="25">
        <f>IF(OR(NOT(ISNUMBER(H171)),NOT(ISNUMBER(Config!$B$12))),"",MAX(0,Config!$B$12*G171-F171))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IF(OR(A172="",G172="",F172=""),"",IF(OR(NOT(IF(ISNUMBER(F172),F172&gt;=0,FALSE)),NOT(IF(ISNUMBER(G172),G172&gt;=0,FALSE))),"valor ou horas inválidos",IF(G172=0,"",F172/G172)))</f>
        <v/>
      </c>
      <c r="I172" s="31">
        <f>IF(OR(NOT(ISNUMBER(H172)),NOT(ISNUMBER(Config!$B$12))),"",IF(Config!$B$12=0,"sem base (mínimo zero)",H172/Config!$B$12-1))</f>
        <v/>
      </c>
      <c r="J172" s="33">
        <f>IF(H172="","",IF(NOT(ISNUMBER(H172)),H172,IF(NOT(ISNUMBER(Config!$B$12)),Config!$B$12,IF(NOT(ISNUMBER(Config!$B$13)),Config!$B$13,IF(H172&lt;Config!$B$12,"Abaixo do mínimo",IF(H172&lt;Config!$B$13,"Na faixa","Acima do alvo"))))))</f>
        <v/>
      </c>
      <c r="K172" s="25">
        <f>IF(OR(NOT(ISNUMBER(H172)),NOT(ISNUMBER(Config!$B$12))),"",MAX(0,Config!$B$12*G172-F172))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IF(OR(A173="",G173="",F173=""),"",IF(OR(NOT(IF(ISNUMBER(F173),F173&gt;=0,FALSE)),NOT(IF(ISNUMBER(G173),G173&gt;=0,FALSE))),"valor ou horas inválidos",IF(G173=0,"",F173/G173)))</f>
        <v/>
      </c>
      <c r="I173" s="31">
        <f>IF(OR(NOT(ISNUMBER(H173)),NOT(ISNUMBER(Config!$B$12))),"",IF(Config!$B$12=0,"sem base (mínimo zero)",H173/Config!$B$12-1))</f>
        <v/>
      </c>
      <c r="J173" s="33">
        <f>IF(H173="","",IF(NOT(ISNUMBER(H173)),H173,IF(NOT(ISNUMBER(Config!$B$12)),Config!$B$12,IF(NOT(ISNUMBER(Config!$B$13)),Config!$B$13,IF(H173&lt;Config!$B$12,"Abaixo do mínimo",IF(H173&lt;Config!$B$13,"Na faixa","Acima do alvo"))))))</f>
        <v/>
      </c>
      <c r="K173" s="25">
        <f>IF(OR(NOT(ISNUMBER(H173)),NOT(ISNUMBER(Config!$B$12))),"",MAX(0,Config!$B$12*G173-F173))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IF(OR(A174="",G174="",F174=""),"",IF(OR(NOT(IF(ISNUMBER(F174),F174&gt;=0,FALSE)),NOT(IF(ISNUMBER(G174),G174&gt;=0,FALSE))),"valor ou horas inválidos",IF(G174=0,"",F174/G174)))</f>
        <v/>
      </c>
      <c r="I174" s="31">
        <f>IF(OR(NOT(ISNUMBER(H174)),NOT(ISNUMBER(Config!$B$12))),"",IF(Config!$B$12=0,"sem base (mínimo zero)",H174/Config!$B$12-1))</f>
        <v/>
      </c>
      <c r="J174" s="33">
        <f>IF(H174="","",IF(NOT(ISNUMBER(H174)),H174,IF(NOT(ISNUMBER(Config!$B$12)),Config!$B$12,IF(NOT(ISNUMBER(Config!$B$13)),Config!$B$13,IF(H174&lt;Config!$B$12,"Abaixo do mínimo",IF(H174&lt;Config!$B$13,"Na faixa","Acima do alvo"))))))</f>
        <v/>
      </c>
      <c r="K174" s="25">
        <f>IF(OR(NOT(ISNUMBER(H174)),NOT(ISNUMBER(Config!$B$12))),"",MAX(0,Config!$B$12*G174-F174))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IF(OR(A175="",G175="",F175=""),"",IF(OR(NOT(IF(ISNUMBER(F175),F175&gt;=0,FALSE)),NOT(IF(ISNUMBER(G175),G175&gt;=0,FALSE))),"valor ou horas inválidos",IF(G175=0,"",F175/G175)))</f>
        <v/>
      </c>
      <c r="I175" s="31">
        <f>IF(OR(NOT(ISNUMBER(H175)),NOT(ISNUMBER(Config!$B$12))),"",IF(Config!$B$12=0,"sem base (mínimo zero)",H175/Config!$B$12-1))</f>
        <v/>
      </c>
      <c r="J175" s="33">
        <f>IF(H175="","",IF(NOT(ISNUMBER(H175)),H175,IF(NOT(ISNUMBER(Config!$B$12)),Config!$B$12,IF(NOT(ISNUMBER(Config!$B$13)),Config!$B$13,IF(H175&lt;Config!$B$12,"Abaixo do mínimo",IF(H175&lt;Config!$B$13,"Na faixa","Acima do alvo"))))))</f>
        <v/>
      </c>
      <c r="K175" s="25">
        <f>IF(OR(NOT(ISNUMBER(H175)),NOT(ISNUMBER(Config!$B$12))),"",MAX(0,Config!$B$12*G175-F175))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IF(OR(A176="",G176="",F176=""),"",IF(OR(NOT(IF(ISNUMBER(F176),F176&gt;=0,FALSE)),NOT(IF(ISNUMBER(G176),G176&gt;=0,FALSE))),"valor ou horas inválidos",IF(G176=0,"",F176/G176)))</f>
        <v/>
      </c>
      <c r="I176" s="31">
        <f>IF(OR(NOT(ISNUMBER(H176)),NOT(ISNUMBER(Config!$B$12))),"",IF(Config!$B$12=0,"sem base (mínimo zero)",H176/Config!$B$12-1))</f>
        <v/>
      </c>
      <c r="J176" s="33">
        <f>IF(H176="","",IF(NOT(ISNUMBER(H176)),H176,IF(NOT(ISNUMBER(Config!$B$12)),Config!$B$12,IF(NOT(ISNUMBER(Config!$B$13)),Config!$B$13,IF(H176&lt;Config!$B$12,"Abaixo do mínimo",IF(H176&lt;Config!$B$13,"Na faixa","Acima do alvo"))))))</f>
        <v/>
      </c>
      <c r="K176" s="25">
        <f>IF(OR(NOT(ISNUMBER(H176)),NOT(ISNUMBER(Config!$B$12))),"",MAX(0,Config!$B$12*G176-F176))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IF(OR(A177="",G177="",F177=""),"",IF(OR(NOT(IF(ISNUMBER(F177),F177&gt;=0,FALSE)),NOT(IF(ISNUMBER(G177),G177&gt;=0,FALSE))),"valor ou horas inválidos",IF(G177=0,"",F177/G177)))</f>
        <v/>
      </c>
      <c r="I177" s="31">
        <f>IF(OR(NOT(ISNUMBER(H177)),NOT(ISNUMBER(Config!$B$12))),"",IF(Config!$B$12=0,"sem base (mínimo zero)",H177/Config!$B$12-1))</f>
        <v/>
      </c>
      <c r="J177" s="33">
        <f>IF(H177="","",IF(NOT(ISNUMBER(H177)),H177,IF(NOT(ISNUMBER(Config!$B$12)),Config!$B$12,IF(NOT(ISNUMBER(Config!$B$13)),Config!$B$13,IF(H177&lt;Config!$B$12,"Abaixo do mínimo",IF(H177&lt;Config!$B$13,"Na faixa","Acima do alvo"))))))</f>
        <v/>
      </c>
      <c r="K177" s="25">
        <f>IF(OR(NOT(ISNUMBER(H177)),NOT(ISNUMBER(Config!$B$12))),"",MAX(0,Config!$B$12*G177-F177))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IF(OR(A178="",G178="",F178=""),"",IF(OR(NOT(IF(ISNUMBER(F178),F178&gt;=0,FALSE)),NOT(IF(ISNUMBER(G178),G178&gt;=0,FALSE))),"valor ou horas inválidos",IF(G178=0,"",F178/G178)))</f>
        <v/>
      </c>
      <c r="I178" s="31">
        <f>IF(OR(NOT(ISNUMBER(H178)),NOT(ISNUMBER(Config!$B$12))),"",IF(Config!$B$12=0,"sem base (mínimo zero)",H178/Config!$B$12-1))</f>
        <v/>
      </c>
      <c r="J178" s="33">
        <f>IF(H178="","",IF(NOT(ISNUMBER(H178)),H178,IF(NOT(ISNUMBER(Config!$B$12)),Config!$B$12,IF(NOT(ISNUMBER(Config!$B$13)),Config!$B$13,IF(H178&lt;Config!$B$12,"Abaixo do mínimo",IF(H178&lt;Config!$B$13,"Na faixa","Acima do alvo"))))))</f>
        <v/>
      </c>
      <c r="K178" s="25">
        <f>IF(OR(NOT(ISNUMBER(H178)),NOT(ISNUMBER(Config!$B$12))),"",MAX(0,Config!$B$12*G178-F178))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IF(OR(A179="",G179="",F179=""),"",IF(OR(NOT(IF(ISNUMBER(F179),F179&gt;=0,FALSE)),NOT(IF(ISNUMBER(G179),G179&gt;=0,FALSE))),"valor ou horas inválidos",IF(G179=0,"",F179/G179)))</f>
        <v/>
      </c>
      <c r="I179" s="31">
        <f>IF(OR(NOT(ISNUMBER(H179)),NOT(ISNUMBER(Config!$B$12))),"",IF(Config!$B$12=0,"sem base (mínimo zero)",H179/Config!$B$12-1))</f>
        <v/>
      </c>
      <c r="J179" s="33">
        <f>IF(H179="","",IF(NOT(ISNUMBER(H179)),H179,IF(NOT(ISNUMBER(Config!$B$12)),Config!$B$12,IF(NOT(ISNUMBER(Config!$B$13)),Config!$B$13,IF(H179&lt;Config!$B$12,"Abaixo do mínimo",IF(H179&lt;Config!$B$13,"Na faixa","Acima do alvo"))))))</f>
        <v/>
      </c>
      <c r="K179" s="25">
        <f>IF(OR(NOT(ISNUMBER(H179)),NOT(ISNUMBER(Config!$B$12))),"",MAX(0,Config!$B$12*G179-F179))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IF(OR(A180="",G180="",F180=""),"",IF(OR(NOT(IF(ISNUMBER(F180),F180&gt;=0,FALSE)),NOT(IF(ISNUMBER(G180),G180&gt;=0,FALSE))),"valor ou horas inválidos",IF(G180=0,"",F180/G180)))</f>
        <v/>
      </c>
      <c r="I180" s="31">
        <f>IF(OR(NOT(ISNUMBER(H180)),NOT(ISNUMBER(Config!$B$12))),"",IF(Config!$B$12=0,"sem base (mínimo zero)",H180/Config!$B$12-1))</f>
        <v/>
      </c>
      <c r="J180" s="33">
        <f>IF(H180="","",IF(NOT(ISNUMBER(H180)),H180,IF(NOT(ISNUMBER(Config!$B$12)),Config!$B$12,IF(NOT(ISNUMBER(Config!$B$13)),Config!$B$13,IF(H180&lt;Config!$B$12,"Abaixo do mínimo",IF(H180&lt;Config!$B$13,"Na faixa","Acima do alvo"))))))</f>
        <v/>
      </c>
      <c r="K180" s="25">
        <f>IF(OR(NOT(ISNUMBER(H180)),NOT(ISNUMBER(Config!$B$12))),"",MAX(0,Config!$B$12*G180-F180))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IF(OR(A181="",G181="",F181=""),"",IF(OR(NOT(IF(ISNUMBER(F181),F181&gt;=0,FALSE)),NOT(IF(ISNUMBER(G181),G181&gt;=0,FALSE))),"valor ou horas inválidos",IF(G181=0,"",F181/G181)))</f>
        <v/>
      </c>
      <c r="I181" s="31">
        <f>IF(OR(NOT(ISNUMBER(H181)),NOT(ISNUMBER(Config!$B$12))),"",IF(Config!$B$12=0,"sem base (mínimo zero)",H181/Config!$B$12-1))</f>
        <v/>
      </c>
      <c r="J181" s="33">
        <f>IF(H181="","",IF(NOT(ISNUMBER(H181)),H181,IF(NOT(ISNUMBER(Config!$B$12)),Config!$B$12,IF(NOT(ISNUMBER(Config!$B$13)),Config!$B$13,IF(H181&lt;Config!$B$12,"Abaixo do mínimo",IF(H181&lt;Config!$B$13,"Na faixa","Acima do alvo"))))))</f>
        <v/>
      </c>
      <c r="K181" s="25">
        <f>IF(OR(NOT(ISNUMBER(H181)),NOT(ISNUMBER(Config!$B$12))),"",MAX(0,Config!$B$12*G181-F181))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IF(OR(A182="",G182="",F182=""),"",IF(OR(NOT(IF(ISNUMBER(F182),F182&gt;=0,FALSE)),NOT(IF(ISNUMBER(G182),G182&gt;=0,FALSE))),"valor ou horas inválidos",IF(G182=0,"",F182/G182)))</f>
        <v/>
      </c>
      <c r="I182" s="31">
        <f>IF(OR(NOT(ISNUMBER(H182)),NOT(ISNUMBER(Config!$B$12))),"",IF(Config!$B$12=0,"sem base (mínimo zero)",H182/Config!$B$12-1))</f>
        <v/>
      </c>
      <c r="J182" s="33">
        <f>IF(H182="","",IF(NOT(ISNUMBER(H182)),H182,IF(NOT(ISNUMBER(Config!$B$12)),Config!$B$12,IF(NOT(ISNUMBER(Config!$B$13)),Config!$B$13,IF(H182&lt;Config!$B$12,"Abaixo do mínimo",IF(H182&lt;Config!$B$13,"Na faixa","Acima do alvo"))))))</f>
        <v/>
      </c>
      <c r="K182" s="25">
        <f>IF(OR(NOT(ISNUMBER(H182)),NOT(ISNUMBER(Config!$B$12))),"",MAX(0,Config!$B$12*G182-F182))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IF(OR(A183="",G183="",F183=""),"",IF(OR(NOT(IF(ISNUMBER(F183),F183&gt;=0,FALSE)),NOT(IF(ISNUMBER(G183),G183&gt;=0,FALSE))),"valor ou horas inválidos",IF(G183=0,"",F183/G183)))</f>
        <v/>
      </c>
      <c r="I183" s="31">
        <f>IF(OR(NOT(ISNUMBER(H183)),NOT(ISNUMBER(Config!$B$12))),"",IF(Config!$B$12=0,"sem base (mínimo zero)",H183/Config!$B$12-1))</f>
        <v/>
      </c>
      <c r="J183" s="33">
        <f>IF(H183="","",IF(NOT(ISNUMBER(H183)),H183,IF(NOT(ISNUMBER(Config!$B$12)),Config!$B$12,IF(NOT(ISNUMBER(Config!$B$13)),Config!$B$13,IF(H183&lt;Config!$B$12,"Abaixo do mínimo",IF(H183&lt;Config!$B$13,"Na faixa","Acima do alvo"))))))</f>
        <v/>
      </c>
      <c r="K183" s="25">
        <f>IF(OR(NOT(ISNUMBER(H183)),NOT(ISNUMBER(Config!$B$12))),"",MAX(0,Config!$B$12*G183-F183))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IF(OR(A184="",G184="",F184=""),"",IF(OR(NOT(IF(ISNUMBER(F184),F184&gt;=0,FALSE)),NOT(IF(ISNUMBER(G184),G184&gt;=0,FALSE))),"valor ou horas inválidos",IF(G184=0,"",F184/G184)))</f>
        <v/>
      </c>
      <c r="I184" s="31">
        <f>IF(OR(NOT(ISNUMBER(H184)),NOT(ISNUMBER(Config!$B$12))),"",IF(Config!$B$12=0,"sem base (mínimo zero)",H184/Config!$B$12-1))</f>
        <v/>
      </c>
      <c r="J184" s="33">
        <f>IF(H184="","",IF(NOT(ISNUMBER(H184)),H184,IF(NOT(ISNUMBER(Config!$B$12)),Config!$B$12,IF(NOT(ISNUMBER(Config!$B$13)),Config!$B$13,IF(H184&lt;Config!$B$12,"Abaixo do mínimo",IF(H184&lt;Config!$B$13,"Na faixa","Acima do alvo"))))))</f>
        <v/>
      </c>
      <c r="K184" s="25">
        <f>IF(OR(NOT(ISNUMBER(H184)),NOT(ISNUMBER(Config!$B$12))),"",MAX(0,Config!$B$12*G184-F184))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IF(OR(A185="",G185="",F185=""),"",IF(OR(NOT(IF(ISNUMBER(F185),F185&gt;=0,FALSE)),NOT(IF(ISNUMBER(G185),G185&gt;=0,FALSE))),"valor ou horas inválidos",IF(G185=0,"",F185/G185)))</f>
        <v/>
      </c>
      <c r="I185" s="31">
        <f>IF(OR(NOT(ISNUMBER(H185)),NOT(ISNUMBER(Config!$B$12))),"",IF(Config!$B$12=0,"sem base (mínimo zero)",H185/Config!$B$12-1))</f>
        <v/>
      </c>
      <c r="J185" s="33">
        <f>IF(H185="","",IF(NOT(ISNUMBER(H185)),H185,IF(NOT(ISNUMBER(Config!$B$12)),Config!$B$12,IF(NOT(ISNUMBER(Config!$B$13)),Config!$B$13,IF(H185&lt;Config!$B$12,"Abaixo do mínimo",IF(H185&lt;Config!$B$13,"Na faixa","Acima do alvo"))))))</f>
        <v/>
      </c>
      <c r="K185" s="25">
        <f>IF(OR(NOT(ISNUMBER(H185)),NOT(ISNUMBER(Config!$B$12))),"",MAX(0,Config!$B$12*G185-F185))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IF(OR(A186="",G186="",F186=""),"",IF(OR(NOT(IF(ISNUMBER(F186),F186&gt;=0,FALSE)),NOT(IF(ISNUMBER(G186),G186&gt;=0,FALSE))),"valor ou horas inválidos",IF(G186=0,"",F186/G186)))</f>
        <v/>
      </c>
      <c r="I186" s="31">
        <f>IF(OR(NOT(ISNUMBER(H186)),NOT(ISNUMBER(Config!$B$12))),"",IF(Config!$B$12=0,"sem base (mínimo zero)",H186/Config!$B$12-1))</f>
        <v/>
      </c>
      <c r="J186" s="33">
        <f>IF(H186="","",IF(NOT(ISNUMBER(H186)),H186,IF(NOT(ISNUMBER(Config!$B$12)),Config!$B$12,IF(NOT(ISNUMBER(Config!$B$13)),Config!$B$13,IF(H186&lt;Config!$B$12,"Abaixo do mínimo",IF(H186&lt;Config!$B$13,"Na faixa","Acima do alvo"))))))</f>
        <v/>
      </c>
      <c r="K186" s="25">
        <f>IF(OR(NOT(ISNUMBER(H186)),NOT(ISNUMBER(Config!$B$12))),"",MAX(0,Config!$B$12*G186-F186))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IF(OR(A187="",G187="",F187=""),"",IF(OR(NOT(IF(ISNUMBER(F187),F187&gt;=0,FALSE)),NOT(IF(ISNUMBER(G187),G187&gt;=0,FALSE))),"valor ou horas inválidos",IF(G187=0,"",F187/G187)))</f>
        <v/>
      </c>
      <c r="I187" s="31">
        <f>IF(OR(NOT(ISNUMBER(H187)),NOT(ISNUMBER(Config!$B$12))),"",IF(Config!$B$12=0,"sem base (mínimo zero)",H187/Config!$B$12-1))</f>
        <v/>
      </c>
      <c r="J187" s="33">
        <f>IF(H187="","",IF(NOT(ISNUMBER(H187)),H187,IF(NOT(ISNUMBER(Config!$B$12)),Config!$B$12,IF(NOT(ISNUMBER(Config!$B$13)),Config!$B$13,IF(H187&lt;Config!$B$12,"Abaixo do mínimo",IF(H187&lt;Config!$B$13,"Na faixa","Acima do alvo"))))))</f>
        <v/>
      </c>
      <c r="K187" s="25">
        <f>IF(OR(NOT(ISNUMBER(H187)),NOT(ISNUMBER(Config!$B$12))),"",MAX(0,Config!$B$12*G187-F187))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IF(OR(A188="",G188="",F188=""),"",IF(OR(NOT(IF(ISNUMBER(F188),F188&gt;=0,FALSE)),NOT(IF(ISNUMBER(G188),G188&gt;=0,FALSE))),"valor ou horas inválidos",IF(G188=0,"",F188/G188)))</f>
        <v/>
      </c>
      <c r="I188" s="31">
        <f>IF(OR(NOT(ISNUMBER(H188)),NOT(ISNUMBER(Config!$B$12))),"",IF(Config!$B$12=0,"sem base (mínimo zero)",H188/Config!$B$12-1))</f>
        <v/>
      </c>
      <c r="J188" s="33">
        <f>IF(H188="","",IF(NOT(ISNUMBER(H188)),H188,IF(NOT(ISNUMBER(Config!$B$12)),Config!$B$12,IF(NOT(ISNUMBER(Config!$B$13)),Config!$B$13,IF(H188&lt;Config!$B$12,"Abaixo do mínimo",IF(H188&lt;Config!$B$13,"Na faixa","Acima do alvo"))))))</f>
        <v/>
      </c>
      <c r="K188" s="25">
        <f>IF(OR(NOT(ISNUMBER(H188)),NOT(ISNUMBER(Config!$B$12))),"",MAX(0,Config!$B$12*G188-F188))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IF(OR(A189="",G189="",F189=""),"",IF(OR(NOT(IF(ISNUMBER(F189),F189&gt;=0,FALSE)),NOT(IF(ISNUMBER(G189),G189&gt;=0,FALSE))),"valor ou horas inválidos",IF(G189=0,"",F189/G189)))</f>
        <v/>
      </c>
      <c r="I189" s="31">
        <f>IF(OR(NOT(ISNUMBER(H189)),NOT(ISNUMBER(Config!$B$12))),"",IF(Config!$B$12=0,"sem base (mínimo zero)",H189/Config!$B$12-1))</f>
        <v/>
      </c>
      <c r="J189" s="33">
        <f>IF(H189="","",IF(NOT(ISNUMBER(H189)),H189,IF(NOT(ISNUMBER(Config!$B$12)),Config!$B$12,IF(NOT(ISNUMBER(Config!$B$13)),Config!$B$13,IF(H189&lt;Config!$B$12,"Abaixo do mínimo",IF(H189&lt;Config!$B$13,"Na faixa","Acima do alvo"))))))</f>
        <v/>
      </c>
      <c r="K189" s="25">
        <f>IF(OR(NOT(ISNUMBER(H189)),NOT(ISNUMBER(Config!$B$12))),"",MAX(0,Config!$B$12*G189-F189))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IF(OR(A190="",G190="",F190=""),"",IF(OR(NOT(IF(ISNUMBER(F190),F190&gt;=0,FALSE)),NOT(IF(ISNUMBER(G190),G190&gt;=0,FALSE))),"valor ou horas inválidos",IF(G190=0,"",F190/G190)))</f>
        <v/>
      </c>
      <c r="I190" s="31">
        <f>IF(OR(NOT(ISNUMBER(H190)),NOT(ISNUMBER(Config!$B$12))),"",IF(Config!$B$12=0,"sem base (mínimo zero)",H190/Config!$B$12-1))</f>
        <v/>
      </c>
      <c r="J190" s="33">
        <f>IF(H190="","",IF(NOT(ISNUMBER(H190)),H190,IF(NOT(ISNUMBER(Config!$B$12)),Config!$B$12,IF(NOT(ISNUMBER(Config!$B$13)),Config!$B$13,IF(H190&lt;Config!$B$12,"Abaixo do mínimo",IF(H190&lt;Config!$B$13,"Na faixa","Acima do alvo"))))))</f>
        <v/>
      </c>
      <c r="K190" s="25">
        <f>IF(OR(NOT(ISNUMBER(H190)),NOT(ISNUMBER(Config!$B$12))),"",MAX(0,Config!$B$12*G190-F190))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IF(OR(A191="",G191="",F191=""),"",IF(OR(NOT(IF(ISNUMBER(F191),F191&gt;=0,FALSE)),NOT(IF(ISNUMBER(G191),G191&gt;=0,FALSE))),"valor ou horas inválidos",IF(G191=0,"",F191/G191)))</f>
        <v/>
      </c>
      <c r="I191" s="31">
        <f>IF(OR(NOT(ISNUMBER(H191)),NOT(ISNUMBER(Config!$B$12))),"",IF(Config!$B$12=0,"sem base (mínimo zero)",H191/Config!$B$12-1))</f>
        <v/>
      </c>
      <c r="J191" s="33">
        <f>IF(H191="","",IF(NOT(ISNUMBER(H191)),H191,IF(NOT(ISNUMBER(Config!$B$12)),Config!$B$12,IF(NOT(ISNUMBER(Config!$B$13)),Config!$B$13,IF(H191&lt;Config!$B$12,"Abaixo do mínimo",IF(H191&lt;Config!$B$13,"Na faixa","Acima do alvo"))))))</f>
        <v/>
      </c>
      <c r="K191" s="25">
        <f>IF(OR(NOT(ISNUMBER(H191)),NOT(ISNUMBER(Config!$B$12))),"",MAX(0,Config!$B$12*G191-F191))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IF(OR(A192="",G192="",F192=""),"",IF(OR(NOT(IF(ISNUMBER(F192),F192&gt;=0,FALSE)),NOT(IF(ISNUMBER(G192),G192&gt;=0,FALSE))),"valor ou horas inválidos",IF(G192=0,"",F192/G192)))</f>
        <v/>
      </c>
      <c r="I192" s="31">
        <f>IF(OR(NOT(ISNUMBER(H192)),NOT(ISNUMBER(Config!$B$12))),"",IF(Config!$B$12=0,"sem base (mínimo zero)",H192/Config!$B$12-1))</f>
        <v/>
      </c>
      <c r="J192" s="33">
        <f>IF(H192="","",IF(NOT(ISNUMBER(H192)),H192,IF(NOT(ISNUMBER(Config!$B$12)),Config!$B$12,IF(NOT(ISNUMBER(Config!$B$13)),Config!$B$13,IF(H192&lt;Config!$B$12,"Abaixo do mínimo",IF(H192&lt;Config!$B$13,"Na faixa","Acima do alvo"))))))</f>
        <v/>
      </c>
      <c r="K192" s="25">
        <f>IF(OR(NOT(ISNUMBER(H192)),NOT(ISNUMBER(Config!$B$12))),"",MAX(0,Config!$B$12*G192-F192))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IF(OR(A193="",G193="",F193=""),"",IF(OR(NOT(IF(ISNUMBER(F193),F193&gt;=0,FALSE)),NOT(IF(ISNUMBER(G193),G193&gt;=0,FALSE))),"valor ou horas inválidos",IF(G193=0,"",F193/G193)))</f>
        <v/>
      </c>
      <c r="I193" s="31">
        <f>IF(OR(NOT(ISNUMBER(H193)),NOT(ISNUMBER(Config!$B$12))),"",IF(Config!$B$12=0,"sem base (mínimo zero)",H193/Config!$B$12-1))</f>
        <v/>
      </c>
      <c r="J193" s="33">
        <f>IF(H193="","",IF(NOT(ISNUMBER(H193)),H193,IF(NOT(ISNUMBER(Config!$B$12)),Config!$B$12,IF(NOT(ISNUMBER(Config!$B$13)),Config!$B$13,IF(H193&lt;Config!$B$12,"Abaixo do mínimo",IF(H193&lt;Config!$B$13,"Na faixa","Acima do alvo"))))))</f>
        <v/>
      </c>
      <c r="K193" s="25">
        <f>IF(OR(NOT(ISNUMBER(H193)),NOT(ISNUMBER(Config!$B$12))),"",MAX(0,Config!$B$12*G193-F193))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IF(OR(A194="",G194="",F194=""),"",IF(OR(NOT(IF(ISNUMBER(F194),F194&gt;=0,FALSE)),NOT(IF(ISNUMBER(G194),G194&gt;=0,FALSE))),"valor ou horas inválidos",IF(G194=0,"",F194/G194)))</f>
        <v/>
      </c>
      <c r="I194" s="31">
        <f>IF(OR(NOT(ISNUMBER(H194)),NOT(ISNUMBER(Config!$B$12))),"",IF(Config!$B$12=0,"sem base (mínimo zero)",H194/Config!$B$12-1))</f>
        <v/>
      </c>
      <c r="J194" s="33">
        <f>IF(H194="","",IF(NOT(ISNUMBER(H194)),H194,IF(NOT(ISNUMBER(Config!$B$12)),Config!$B$12,IF(NOT(ISNUMBER(Config!$B$13)),Config!$B$13,IF(H194&lt;Config!$B$12,"Abaixo do mínimo",IF(H194&lt;Config!$B$13,"Na faixa","Acima do alvo"))))))</f>
        <v/>
      </c>
      <c r="K194" s="25">
        <f>IF(OR(NOT(ISNUMBER(H194)),NOT(ISNUMBER(Config!$B$12))),"",MAX(0,Config!$B$12*G194-F194))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IF(OR(A195="",G195="",F195=""),"",IF(OR(NOT(IF(ISNUMBER(F195),F195&gt;=0,FALSE)),NOT(IF(ISNUMBER(G195),G195&gt;=0,FALSE))),"valor ou horas inválidos",IF(G195=0,"",F195/G195)))</f>
        <v/>
      </c>
      <c r="I195" s="31">
        <f>IF(OR(NOT(ISNUMBER(H195)),NOT(ISNUMBER(Config!$B$12))),"",IF(Config!$B$12=0,"sem base (mínimo zero)",H195/Config!$B$12-1))</f>
        <v/>
      </c>
      <c r="J195" s="33">
        <f>IF(H195="","",IF(NOT(ISNUMBER(H195)),H195,IF(NOT(ISNUMBER(Config!$B$12)),Config!$B$12,IF(NOT(ISNUMBER(Config!$B$13)),Config!$B$13,IF(H195&lt;Config!$B$12,"Abaixo do mínimo",IF(H195&lt;Config!$B$13,"Na faixa","Acima do alvo"))))))</f>
        <v/>
      </c>
      <c r="K195" s="25">
        <f>IF(OR(NOT(ISNUMBER(H195)),NOT(ISNUMBER(Config!$B$12))),"",MAX(0,Config!$B$12*G195-F195))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IF(OR(A196="",G196="",F196=""),"",IF(OR(NOT(IF(ISNUMBER(F196),F196&gt;=0,FALSE)),NOT(IF(ISNUMBER(G196),G196&gt;=0,FALSE))),"valor ou horas inválidos",IF(G196=0,"",F196/G196)))</f>
        <v/>
      </c>
      <c r="I196" s="31">
        <f>IF(OR(NOT(ISNUMBER(H196)),NOT(ISNUMBER(Config!$B$12))),"",IF(Config!$B$12=0,"sem base (mínimo zero)",H196/Config!$B$12-1))</f>
        <v/>
      </c>
      <c r="J196" s="33">
        <f>IF(H196="","",IF(NOT(ISNUMBER(H196)),H196,IF(NOT(ISNUMBER(Config!$B$12)),Config!$B$12,IF(NOT(ISNUMBER(Config!$B$13)),Config!$B$13,IF(H196&lt;Config!$B$12,"Abaixo do mínimo",IF(H196&lt;Config!$B$13,"Na faixa","Acima do alvo"))))))</f>
        <v/>
      </c>
      <c r="K196" s="25">
        <f>IF(OR(NOT(ISNUMBER(H196)),NOT(ISNUMBER(Config!$B$12))),"",MAX(0,Config!$B$12*G196-F196))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IF(OR(A197="",G197="",F197=""),"",IF(OR(NOT(IF(ISNUMBER(F197),F197&gt;=0,FALSE)),NOT(IF(ISNUMBER(G197),G197&gt;=0,FALSE))),"valor ou horas inválidos",IF(G197=0,"",F197/G197)))</f>
        <v/>
      </c>
      <c r="I197" s="31">
        <f>IF(OR(NOT(ISNUMBER(H197)),NOT(ISNUMBER(Config!$B$12))),"",IF(Config!$B$12=0,"sem base (mínimo zero)",H197/Config!$B$12-1))</f>
        <v/>
      </c>
      <c r="J197" s="33">
        <f>IF(H197="","",IF(NOT(ISNUMBER(H197)),H197,IF(NOT(ISNUMBER(Config!$B$12)),Config!$B$12,IF(NOT(ISNUMBER(Config!$B$13)),Config!$B$13,IF(H197&lt;Config!$B$12,"Abaixo do mínimo",IF(H197&lt;Config!$B$13,"Na faixa","Acima do alvo"))))))</f>
        <v/>
      </c>
      <c r="K197" s="25">
        <f>IF(OR(NOT(ISNUMBER(H197)),NOT(ISNUMBER(Config!$B$12))),"",MAX(0,Config!$B$12*G197-F197))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IF(OR(A198="",G198="",F198=""),"",IF(OR(NOT(IF(ISNUMBER(F198),F198&gt;=0,FALSE)),NOT(IF(ISNUMBER(G198),G198&gt;=0,FALSE))),"valor ou horas inválidos",IF(G198=0,"",F198/G198)))</f>
        <v/>
      </c>
      <c r="I198" s="31">
        <f>IF(OR(NOT(ISNUMBER(H198)),NOT(ISNUMBER(Config!$B$12))),"",IF(Config!$B$12=0,"sem base (mínimo zero)",H198/Config!$B$12-1))</f>
        <v/>
      </c>
      <c r="J198" s="33">
        <f>IF(H198="","",IF(NOT(ISNUMBER(H198)),H198,IF(NOT(ISNUMBER(Config!$B$12)),Config!$B$12,IF(NOT(ISNUMBER(Config!$B$13)),Config!$B$13,IF(H198&lt;Config!$B$12,"Abaixo do mínimo",IF(H198&lt;Config!$B$13,"Na faixa","Acima do alvo"))))))</f>
        <v/>
      </c>
      <c r="K198" s="25">
        <f>IF(OR(NOT(ISNUMBER(H198)),NOT(ISNUMBER(Config!$B$12))),"",MAX(0,Config!$B$12*G198-F198))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IF(OR(A199="",G199="",F199=""),"",IF(OR(NOT(IF(ISNUMBER(F199),F199&gt;=0,FALSE)),NOT(IF(ISNUMBER(G199),G199&gt;=0,FALSE))),"valor ou horas inválidos",IF(G199=0,"",F199/G199)))</f>
        <v/>
      </c>
      <c r="I199" s="31">
        <f>IF(OR(NOT(ISNUMBER(H199)),NOT(ISNUMBER(Config!$B$12))),"",IF(Config!$B$12=0,"sem base (mínimo zero)",H199/Config!$B$12-1))</f>
        <v/>
      </c>
      <c r="J199" s="33">
        <f>IF(H199="","",IF(NOT(ISNUMBER(H199)),H199,IF(NOT(ISNUMBER(Config!$B$12)),Config!$B$12,IF(NOT(ISNUMBER(Config!$B$13)),Config!$B$13,IF(H199&lt;Config!$B$12,"Abaixo do mínimo",IF(H199&lt;Config!$B$13,"Na faixa","Acima do alvo"))))))</f>
        <v/>
      </c>
      <c r="K199" s="25">
        <f>IF(OR(NOT(ISNUMBER(H199)),NOT(ISNUMBER(Config!$B$12))),"",MAX(0,Config!$B$12*G199-F199))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IF(OR(A200="",G200="",F200=""),"",IF(OR(NOT(IF(ISNUMBER(F200),F200&gt;=0,FALSE)),NOT(IF(ISNUMBER(G200),G200&gt;=0,FALSE))),"valor ou horas inválidos",IF(G200=0,"",F200/G200)))</f>
        <v/>
      </c>
      <c r="I200" s="31">
        <f>IF(OR(NOT(ISNUMBER(H200)),NOT(ISNUMBER(Config!$B$12))),"",IF(Config!$B$12=0,"sem base (mínimo zero)",H200/Config!$B$12-1))</f>
        <v/>
      </c>
      <c r="J200" s="33">
        <f>IF(H200="","",IF(NOT(ISNUMBER(H200)),H200,IF(NOT(ISNUMBER(Config!$B$12)),Config!$B$12,IF(NOT(ISNUMBER(Config!$B$13)),Config!$B$13,IF(H200&lt;Config!$B$12,"Abaixo do mínimo",IF(H200&lt;Config!$B$13,"Na faixa","Acima do alvo"))))))</f>
        <v/>
      </c>
      <c r="K200" s="25">
        <f>IF(OR(NOT(ISNUMBER(H200)),NOT(ISNUMBER(Config!$B$12))),"",MAX(0,Config!$B$12*G200-F200))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IF(OR(A201="",G201="",F201=""),"",IF(OR(NOT(IF(ISNUMBER(F201),F201&gt;=0,FALSE)),NOT(IF(ISNUMBER(G201),G201&gt;=0,FALSE))),"valor ou horas inválidos",IF(G201=0,"",F201/G201)))</f>
        <v/>
      </c>
      <c r="I201" s="31">
        <f>IF(OR(NOT(ISNUMBER(H201)),NOT(ISNUMBER(Config!$B$12))),"",IF(Config!$B$12=0,"sem base (mínimo zero)",H201/Config!$B$12-1))</f>
        <v/>
      </c>
      <c r="J201" s="33">
        <f>IF(H201="","",IF(NOT(ISNUMBER(H201)),H201,IF(NOT(ISNUMBER(Config!$B$12)),Config!$B$12,IF(NOT(ISNUMBER(Config!$B$13)),Config!$B$13,IF(H201&lt;Config!$B$12,"Abaixo do mínimo",IF(H201&lt;Config!$B$13,"Na faixa","Acima do alvo"))))))</f>
        <v/>
      </c>
      <c r="K201" s="25">
        <f>IF(OR(NOT(ISNUMBER(H201)),NOT(ISNUMBER(Config!$B$12))),"",MAX(0,Config!$B$12*G201-F201))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IF(OR(A202="",G202="",F202=""),"",IF(OR(NOT(IF(ISNUMBER(F202),F202&gt;=0,FALSE)),NOT(IF(ISNUMBER(G202),G202&gt;=0,FALSE))),"valor ou horas inválidos",IF(G202=0,"",F202/G202)))</f>
        <v/>
      </c>
      <c r="I202" s="31">
        <f>IF(OR(NOT(ISNUMBER(H202)),NOT(ISNUMBER(Config!$B$12))),"",IF(Config!$B$12=0,"sem base (mínimo zero)",H202/Config!$B$12-1))</f>
        <v/>
      </c>
      <c r="J202" s="33">
        <f>IF(H202="","",IF(NOT(ISNUMBER(H202)),H202,IF(NOT(ISNUMBER(Config!$B$12)),Config!$B$12,IF(NOT(ISNUMBER(Config!$B$13)),Config!$B$13,IF(H202&lt;Config!$B$12,"Abaixo do mínimo",IF(H202&lt;Config!$B$13,"Na faixa","Acima do alvo"))))))</f>
        <v/>
      </c>
      <c r="K202" s="25">
        <f>IF(OR(NOT(ISNUMBER(H202)),NOT(ISNUMBER(Config!$B$12))),"",MAX(0,Config!$B$12*G202-F202))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IF(OR(A203="",G203="",F203=""),"",IF(OR(NOT(IF(ISNUMBER(F203),F203&gt;=0,FALSE)),NOT(IF(ISNUMBER(G203),G203&gt;=0,FALSE))),"valor ou horas inválidos",IF(G203=0,"",F203/G203)))</f>
        <v/>
      </c>
      <c r="I203" s="31">
        <f>IF(OR(NOT(ISNUMBER(H203)),NOT(ISNUMBER(Config!$B$12))),"",IF(Config!$B$12=0,"sem base (mínimo zero)",H203/Config!$B$12-1))</f>
        <v/>
      </c>
      <c r="J203" s="33">
        <f>IF(H203="","",IF(NOT(ISNUMBER(H203)),H203,IF(NOT(ISNUMBER(Config!$B$12)),Config!$B$12,IF(NOT(ISNUMBER(Config!$B$13)),Config!$B$13,IF(H203&lt;Config!$B$12,"Abaixo do mínimo",IF(H203&lt;Config!$B$13,"Na faixa","Acima do alvo"))))))</f>
        <v/>
      </c>
      <c r="K203" s="25">
        <f>IF(OR(NOT(ISNUMBER(H203)),NOT(ISNUMBER(Config!$B$12))),"",MAX(0,Config!$B$12*G203-F203))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IF(OR(A204="",G204="",F204=""),"",IF(OR(NOT(IF(ISNUMBER(F204),F204&gt;=0,FALSE)),NOT(IF(ISNUMBER(G204),G204&gt;=0,FALSE))),"valor ou horas inválidos",IF(G204=0,"",F204/G204)))</f>
        <v/>
      </c>
      <c r="I204" s="31">
        <f>IF(OR(NOT(ISNUMBER(H204)),NOT(ISNUMBER(Config!$B$12))),"",IF(Config!$B$12=0,"sem base (mínimo zero)",H204/Config!$B$12-1))</f>
        <v/>
      </c>
      <c r="J204" s="33">
        <f>IF(H204="","",IF(NOT(ISNUMBER(H204)),H204,IF(NOT(ISNUMBER(Config!$B$12)),Config!$B$12,IF(NOT(ISNUMBER(Config!$B$13)),Config!$B$13,IF(H204&lt;Config!$B$12,"Abaixo do mínimo",IF(H204&lt;Config!$B$13,"Na faixa","Acima do alvo"))))))</f>
        <v/>
      </c>
      <c r="K204" s="25">
        <f>IF(OR(NOT(ISNUMBER(H204)),NOT(ISNUMBER(Config!$B$12))),"",MAX(0,Config!$B$12*G204-F204))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2026-09-24T20:03:54Z</dcterms:created>
  <dcterms:modified xmlns:dcterms="http://purl.org/dc/terms/" xmlns:xsi="http://www.w3.org/2001/XMLSchema-instance" xsi:type="dcterms:W3CDTF">2026-09-24T20:03:54Z</dcterms:modified>
</cp:coreProperties>
</file>