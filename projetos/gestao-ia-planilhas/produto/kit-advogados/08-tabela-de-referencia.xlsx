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COUNTIF('Nossos casos'!$J$5:$J$204,"Abaixo do mínimo")&amp;" de "&amp;(COUNTIF('Nossos casos'!$J$5:$J$204,"Abaixo do mínimo")+COUNTIF('Nossos casos'!$J$5:$J$204,"Na faixa")+COUNTIF('Nossos casos'!$J$5:$J$204,"Acima do alvo"))</f>
        <v>10 de 38</v>
      </c>
      <c r="F5" s="12" t="n"/>
      <c r="G5" s="18">
        <f>SUM('Nossos casos'!$K$5:$K$204)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>383.640387096774</v>
      </c>
      <c r="G9" s="25">
        <f>IF(OR(A9="",D9=""),"",D9*Config!$B$13)</f>
        <v>1349.5434893617</v>
      </c>
      <c r="H9" s="25">
        <f>IF(OR(F9="",G9=""),"",(F9+G9)/2)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>767.280774193548</v>
      </c>
      <c r="G10" s="25">
        <f>IF(OR(A10="",D10=""),"",D10*Config!$B$13)</f>
        <v>2530.39404255319</v>
      </c>
      <c r="H10" s="25">
        <f>IF(OR(F10="",G10=""),"",(F10+G10)/2)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>6394.0064516129</v>
      </c>
      <c r="G11" s="25">
        <f>IF(OR(A11="",D11=""),"",D11*Config!$B$13)</f>
        <v>16869.2936170213</v>
      </c>
      <c r="H11" s="25">
        <f>IF(OR(F11="",G11=""),"",(F11+G11)/2)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>1918.20193548387</v>
      </c>
      <c r="G12" s="25">
        <f>IF(OR(A12="",D12=""),"",D12*Config!$B$13)</f>
        <v>5904.25276595745</v>
      </c>
      <c r="H12" s="25">
        <f>IF(OR(F12="",G12=""),"",(F12+G12)/2)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>1023.04103225806</v>
      </c>
      <c r="G13" s="25">
        <f>IF(OR(A13="",D13=""),"",D13*Config!$B$13)</f>
        <v>4217.32340425532</v>
      </c>
      <c r="H13" s="25">
        <f>IF(OR(F13="",G13=""),"",(F13+G13)/2)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>383.640387096774</v>
      </c>
      <c r="G14" s="25">
        <f>IF(OR(A14="",D14=""),"",D14*Config!$B$13)</f>
        <v>1349.5434893617</v>
      </c>
      <c r="H14" s="25">
        <f>IF(OR(F14="",G14=""),"",(F14+G14)/2)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>767.280774193548</v>
      </c>
      <c r="G15" s="25">
        <f>IF(OR(A15="",D15=""),"",D15*Config!$B$13)</f>
        <v>2530.39404255319</v>
      </c>
      <c r="H15" s="25">
        <f>IF(OR(F15="",G15=""),"",(F15+G15)/2)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>4475.80451612903</v>
      </c>
      <c r="G16" s="25">
        <f>IF(OR(A16="",D16=""),"",D16*Config!$B$13)</f>
        <v>11808.5055319149</v>
      </c>
      <c r="H16" s="25">
        <f>IF(OR(F16="",G16=""),"",(F16+G16)/2)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>1918.20193548387</v>
      </c>
      <c r="G17" s="25">
        <f>IF(OR(A17="",D17=""),"",D17*Config!$B$13)</f>
        <v>5904.25276595745</v>
      </c>
      <c r="H17" s="25">
        <f>IF(OR(F17="",G17=""),"",(F17+G17)/2)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>1023.04103225806</v>
      </c>
      <c r="G18" s="25">
        <f>IF(OR(A18="",D18=""),"",D18*Config!$B$13)</f>
        <v>4217.32340425532</v>
      </c>
      <c r="H18" s="25">
        <f>IF(OR(F18="",G18=""),"",(F18+G18)/2)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>383.640387096774</v>
      </c>
      <c r="G19" s="25">
        <f>IF(OR(A19="",D19=""),"",D19*Config!$B$13)</f>
        <v>1349.5434893617</v>
      </c>
      <c r="H19" s="25">
        <f>IF(OR(F19="",G19=""),"",(F19+G19)/2)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>767.280774193548</v>
      </c>
      <c r="G20" s="25">
        <f>IF(OR(A20="",D20=""),"",D20*Config!$B$13)</f>
        <v>2530.39404255319</v>
      </c>
      <c r="H20" s="25">
        <f>IF(OR(F20="",G20=""),"",(F20+G20)/2)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>3836.40387096774</v>
      </c>
      <c r="G21" s="25">
        <f>IF(OR(A21="",D21=""),"",D21*Config!$B$13)</f>
        <v>10121.5761702128</v>
      </c>
      <c r="H21" s="25">
        <f>IF(OR(F21="",G21=""),"",(F21+G21)/2)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>1918.20193548387</v>
      </c>
      <c r="G22" s="25">
        <f>IF(OR(A22="",D22=""),"",D22*Config!$B$13)</f>
        <v>5904.25276595745</v>
      </c>
      <c r="H22" s="25">
        <f>IF(OR(F22="",G22=""),"",(F22+G22)/2)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>1023.04103225806</v>
      </c>
      <c r="G23" s="25">
        <f>IF(OR(A23="",D23=""),"",D23*Config!$B$13)</f>
        <v>4217.32340425532</v>
      </c>
      <c r="H23" s="25">
        <f>IF(OR(F23="",G23=""),"",(F23+G23)/2)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>511.520516129032</v>
      </c>
      <c r="G24" s="25">
        <f>IF(OR(A24="",D24=""),"",D24*Config!$B$13)</f>
        <v>2024.31523404255</v>
      </c>
      <c r="H24" s="25">
        <f>IF(OR(F24="",G24=""),"",(F24+G24)/2)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>767.280774193548</v>
      </c>
      <c r="G25" s="25">
        <f>IF(OR(A25="",D25=""),"",D25*Config!$B$13)</f>
        <v>2530.39404255319</v>
      </c>
      <c r="H25" s="25">
        <f>IF(OR(F25="",G25=""),"",(F25+G25)/2)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>7672.80774193548</v>
      </c>
      <c r="G26" s="25">
        <f>IF(OR(A26="",D26=""),"",D26*Config!$B$13)</f>
        <v>20243.1523404255</v>
      </c>
      <c r="H26" s="25">
        <f>IF(OR(F26="",G26=""),"",(F26+G26)/2)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>1918.20193548387</v>
      </c>
      <c r="G27" s="25">
        <f>IF(OR(A27="",D27=""),"",D27*Config!$B$13)</f>
        <v>5904.25276595745</v>
      </c>
      <c r="H27" s="25">
        <f>IF(OR(F27="",G27=""),"",(F27+G27)/2)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>1023.04103225806</v>
      </c>
      <c r="G28" s="25">
        <f>IF(OR(A28="",D28=""),"",D28*Config!$B$13)</f>
        <v>4217.32340425532</v>
      </c>
      <c r="H28" s="25">
        <f>IF(OR(F28="",G28=""),"",(F28+G28)/2)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>383.640387096774</v>
      </c>
      <c r="G29" s="25">
        <f>IF(OR(A29="",D29=""),"",D29*Config!$B$13)</f>
        <v>1349.5434893617</v>
      </c>
      <c r="H29" s="25">
        <f>IF(OR(F29="",G29=""),"",(F29+G29)/2)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>767.280774193548</v>
      </c>
      <c r="G30" s="25">
        <f>IF(OR(A30="",D30=""),"",D30*Config!$B$13)</f>
        <v>2530.39404255319</v>
      </c>
      <c r="H30" s="25">
        <f>IF(OR(F30="",G30=""),"",(F30+G30)/2)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>3836.40387096774</v>
      </c>
      <c r="G31" s="25">
        <f>IF(OR(A31="",D31=""),"",D31*Config!$B$13)</f>
        <v>11808.5055319149</v>
      </c>
      <c r="H31" s="25">
        <f>IF(OR(F31="",G31=""),"",(F31+G31)/2)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>1918.20193548387</v>
      </c>
      <c r="G32" s="25">
        <f>IF(OR(A32="",D32=""),"",D32*Config!$B$13)</f>
        <v>5904.25276595745</v>
      </c>
      <c r="H32" s="25">
        <f>IF(OR(F32="",G32=""),"",(F32+G32)/2)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>1023.04103225806</v>
      </c>
      <c r="G33" s="25">
        <f>IF(OR(A33="",D33=""),"",D33*Config!$B$13)</f>
        <v>4217.32340425532</v>
      </c>
      <c r="H33" s="25">
        <f>IF(OR(F33="",G33=""),"",(F33+G33)/2)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IF(E54="","",E54/Config!$B$12-1)</f>
        <v>0.255873504649599</v>
      </c>
      <c r="G54" s="29">
        <f>IF(Config!$E$16="","",COUNTIFS('Nossos casos'!$C$5:$C$204,Config!$E$16,'Nossos casos'!$J$5:$J$204,"Abaixo do mínimo"))</f>
        <v>1</v>
      </c>
      <c r="H54" s="25">
        <f>IF(Config!$E$16="","",SUMIFS('Nossos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IF(E55="","",E55/Config!$B$12-1)</f>
        <v>-0.0164566045061219</v>
      </c>
      <c r="G55" s="29">
        <f>IF(Config!$E$17="","",COUNTIFS('Nossos casos'!$C$5:$C$204,Config!$E$17,'Nossos casos'!$J$5:$J$204,"Abaixo do mínimo"))</f>
        <v>7</v>
      </c>
      <c r="H55" s="25">
        <f>IF(Config!$E$17="","",SUMIFS('Nossos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IF(E56="","",E56/Config!$B$12-1)</f>
        <v>0.167049371718866</v>
      </c>
      <c r="G56" s="29">
        <f>IF(Config!$E$18="","",COUNTIFS('Nossos casos'!$C$5:$C$204,Config!$E$18,'Nossos casos'!$J$5:$J$204,"Abaixo do mínimo"))</f>
        <v>1</v>
      </c>
      <c r="H56" s="25">
        <f>IF(Config!$E$18="","",SUMIFS('Nossos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IF(E57="","",E57/Config!$B$12-1)</f>
        <v>0.462243362856868</v>
      </c>
      <c r="G57" s="29">
        <f>IF(Config!$E$19="","",COUNTIFS('Nossos casos'!$C$5:$C$204,Config!$E$19,'Nossos casos'!$J$5:$J$204,"Abaixo do mínimo"))</f>
        <v>0</v>
      </c>
      <c r="H57" s="25">
        <f>IF(Config!$E$19="","",SUMIFS('Nossos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IF(E58="","",E58/Config!$B$12-1)</f>
        <v>0.140180673231282</v>
      </c>
      <c r="G58" s="29">
        <f>IF(Config!$E$20="","",COUNTIFS('Nossos casos'!$C$5:$C$204,Config!$E$20,'Nossos casos'!$J$5:$J$204,"Abaixo do mínimo"))</f>
        <v>1</v>
      </c>
      <c r="H58" s="25">
        <f>IF(Config!$E$20="","",SUMIFS('Nossos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IFERROR(B7*(1+B11)/(1-B8-B9),"")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IFERROR(B7*(1+B11)/(1-B8-B10),"")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IF(H5="","",H5/Config!$B$12-1)</f>
        <v>0.954955800341247</v>
      </c>
      <c r="J5" s="33" t="str">
        <f>IF(H5="","",IF(H5&lt;Config!$B$12,"Abaixo do mínimo",IF(H5&lt;Config!$B$13,"Na faixa","Acima do alvo")))</f>
        <v>Acima do alvo</v>
      </c>
      <c r="K5" s="25">
        <f>IF(H5="","",MAX(0,Config!$B$12*G5-F5))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IF(H6="","",H6/Config!$B$12-1)</f>
        <v>-0.329729439883001</v>
      </c>
      <c r="J6" s="33" t="str">
        <f>IF(H6="","",IF(H6&lt;Config!$B$12,"Abaixo do mínimo",IF(H6&lt;Config!$B$13,"Na faixa","Acima do alvo")))</f>
        <v>Abaixo do mínimo</v>
      </c>
      <c r="K6" s="25">
        <f>IF(H6="","",MAX(0,Config!$B$12*G6-F6))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IF(H7="","",H7/Config!$B$12-1)</f>
        <v>0.34674732912397</v>
      </c>
      <c r="J7" s="33" t="str">
        <f>IF(H7="","",IF(H7&lt;Config!$B$12,"Abaixo do mínimo",IF(H7&lt;Config!$B$13,"Na faixa","Acima do alvo")))</f>
        <v>Acima do alvo</v>
      </c>
      <c r="K7" s="25">
        <f>IF(H7="","",MAX(0,Config!$B$12*G7-F7))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IF(H8="","",H8/Config!$B$12-1)</f>
        <v>0.0556761321842736</v>
      </c>
      <c r="J8" s="33" t="str">
        <f>IF(H8="","",IF(H8&lt;Config!$B$12,"Abaixo do mínimo",IF(H8&lt;Config!$B$13,"Na faixa","Acima do alvo")))</f>
        <v>Na faixa</v>
      </c>
      <c r="K8" s="25">
        <f>IF(H8="","",MAX(0,Config!$B$12*G8-F8))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IF(H9="","",H9/Config!$B$12-1)</f>
        <v>0.459700330921465</v>
      </c>
      <c r="J9" s="33" t="str">
        <f>IF(H9="","",IF(H9&lt;Config!$B$12,"Abaixo do mínimo",IF(H9&lt;Config!$B$13,"Na faixa","Acima do alvo")))</f>
        <v>Acima do alvo</v>
      </c>
      <c r="K9" s="25">
        <f>IF(H9="","",MAX(0,Config!$B$12*G9-F9))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IF(H10="","",H10/Config!$B$12-1)</f>
        <v>0.466216850255936</v>
      </c>
      <c r="J10" s="33" t="str">
        <f>IF(H10="","",IF(H10&lt;Config!$B$12,"Abaixo do mínimo",IF(H10&lt;Config!$B$13,"Na faixa","Acima do alvo")))</f>
        <v>Acima do alvo</v>
      </c>
      <c r="K10" s="25">
        <f>IF(H10="","",MAX(0,Config!$B$12*G10-F10))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IF(H11="","",H11/Config!$B$12-1)</f>
        <v>0.433634253583582</v>
      </c>
      <c r="J11" s="33" t="str">
        <f>IF(H11="","",IF(H11&lt;Config!$B$12,"Abaixo do mínimo",IF(H11&lt;Config!$B$13,"Na faixa","Acima do alvo")))</f>
        <v>Acima do alvo</v>
      </c>
      <c r="K11" s="25">
        <f>IF(H11="","",MAX(0,Config!$B$12*G11-F11))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IF(H12="","",H12/Config!$B$12-1)</f>
        <v>-0.0713959948379075</v>
      </c>
      <c r="J12" s="33" t="str">
        <f>IF(H12="","",IF(H12&lt;Config!$B$12,"Abaixo do mínimo",IF(H12&lt;Config!$B$13,"Na faixa","Acima do alvo")))</f>
        <v>Abaixo do mínimo</v>
      </c>
      <c r="K12" s="25">
        <f>IF(H12="","",MAX(0,Config!$B$12*G12-F12))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IF(H13="","",H13/Config!$B$12-1)</f>
        <v>-0.304904604323112</v>
      </c>
      <c r="J13" s="33" t="str">
        <f>IF(H13="","",IF(H13&lt;Config!$B$12,"Abaixo do mínimo",IF(H13&lt;Config!$B$13,"Na faixa","Acima do alvo")))</f>
        <v>Abaixo do mínimo</v>
      </c>
      <c r="K13" s="25">
        <f>IF(H13="","",MAX(0,Config!$B$12*G13-F13))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IF(H14="","",H14/Config!$B$12-1)</f>
        <v>0.234708926531314</v>
      </c>
      <c r="J14" s="33" t="str">
        <f>IF(H14="","",IF(H14&lt;Config!$B$12,"Abaixo do mínimo",IF(H14&lt;Config!$B$13,"Na faixa","Acima do alvo")))</f>
        <v>Na faixa</v>
      </c>
      <c r="K14" s="25">
        <f>IF(H14="","",MAX(0,Config!$B$12*G14-F14))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IF(H15="","",H15/Config!$B$12-1)</f>
        <v>0.329369944232048</v>
      </c>
      <c r="J15" s="33" t="str">
        <f>IF(H15="","",IF(H15&lt;Config!$B$12,"Abaixo do mínimo",IF(H15&lt;Config!$B$13,"Na faixa","Acima do alvo")))</f>
        <v>Acima do alvo</v>
      </c>
      <c r="K15" s="25">
        <f>IF(H15="","",MAX(0,Config!$B$12*G15-F15))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IF(H16="","",H16/Config!$B$12-1)</f>
        <v>0.407568176245698</v>
      </c>
      <c r="J16" s="33" t="str">
        <f>IF(H16="","",IF(H16&lt;Config!$B$12,"Abaixo do mínimo",IF(H16&lt;Config!$B$13,"Na faixa","Acima do alvo")))</f>
        <v>Acima do alvo</v>
      </c>
      <c r="K16" s="25">
        <f>IF(H16="","",MAX(0,Config!$B$12*G16-F16))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IF(H17="","",H17/Config!$B$12-1)</f>
        <v>0.279607432950635</v>
      </c>
      <c r="J17" s="33" t="str">
        <f>IF(H17="","",IF(H17&lt;Config!$B$12,"Abaixo do mínimo",IF(H17&lt;Config!$B$13,"Na faixa","Acima do alvo")))</f>
        <v>Na faixa</v>
      </c>
      <c r="K17" s="25">
        <f>IF(H17="","",MAX(0,Config!$B$12*G17-F17))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IF(H18="","",H18/Config!$B$12-1)</f>
        <v>0.172973480204748</v>
      </c>
      <c r="J18" s="33" t="str">
        <f>IF(H18="","",IF(H18&lt;Config!$B$12,"Abaixo do mínimo",IF(H18&lt;Config!$B$13,"Na faixa","Acima do alvo")))</f>
        <v>Na faixa</v>
      </c>
      <c r="K18" s="25">
        <f>IF(H18="","",MAX(0,Config!$B$12*G18-F18))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IF(H19="","",H19/Config!$B$12-1)</f>
        <v>-0.120269889846439</v>
      </c>
      <c r="J19" s="33" t="str">
        <f>IF(H19="","",IF(H19&lt;Config!$B$12,"Abaixo do mínimo",IF(H19&lt;Config!$B$13,"Na faixa","Acima do alvo")))</f>
        <v>Abaixo do mínimo</v>
      </c>
      <c r="K19" s="25">
        <f>IF(H19="","",MAX(0,Config!$B$12*G19-F19))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IF(H20="","",H20/Config!$B$12-1)</f>
        <v>0.228829360214498</v>
      </c>
      <c r="J20" s="33" t="str">
        <f>IF(H20="","",IF(H20&lt;Config!$B$12,"Abaixo do mínimo",IF(H20&lt;Config!$B$13,"Na faixa","Acima do alvo")))</f>
        <v>Na faixa</v>
      </c>
      <c r="K20" s="25">
        <f>IF(H20="","",MAX(0,Config!$B$12*G20-F20))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IF(H21="","",H21/Config!$B$12-1)</f>
        <v>0.279607432950635</v>
      </c>
      <c r="J21" s="33" t="str">
        <f>IF(H21="","",IF(H21&lt;Config!$B$12,"Abaixo do mínimo",IF(H21&lt;Config!$B$13,"Na faixa","Acima do alvo")))</f>
        <v>Na faixa</v>
      </c>
      <c r="K21" s="25">
        <f>IF(H21="","",MAX(0,Config!$B$12*G21-F21))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IF(H22="","",H22/Config!$B$12-1)</f>
        <v>0.146907402866865</v>
      </c>
      <c r="J22" s="33" t="str">
        <f>IF(H22="","",IF(H22&lt;Config!$B$12,"Abaixo do mínimo",IF(H22&lt;Config!$B$13,"Na faixa","Acima do alvo")))</f>
        <v>Na faixa</v>
      </c>
      <c r="K22" s="25">
        <f>IF(H22="","",MAX(0,Config!$B$12*G22-F22))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IF(H23="","",H23/Config!$B$12-1)</f>
        <v>-0.13113075540389</v>
      </c>
      <c r="J23" s="33" t="str">
        <f>IF(H23="","",IF(H23&lt;Config!$B$12,"Abaixo do mínimo",IF(H23&lt;Config!$B$13,"Na faixa","Acima do alvo")))</f>
        <v>Abaixo do mínimo</v>
      </c>
      <c r="K23" s="25">
        <f>IF(H23="","",MAX(0,Config!$B$12*G23-F23))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IF(H24="","",H24/Config!$B$12-1)</f>
        <v>-0.218017679863501</v>
      </c>
      <c r="J24" s="33" t="str">
        <f>IF(H24="","",IF(H24&lt;Config!$B$12,"Abaixo do mínimo",IF(H24&lt;Config!$B$13,"Na faixa","Acima do alvo")))</f>
        <v>Abaixo do mínimo</v>
      </c>
      <c r="K24" s="25">
        <f>IF(H24="","",MAX(0,Config!$B$12*G24-F24))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IF(H25="","",H25/Config!$B$12-1)</f>
        <v>0.234708926531314</v>
      </c>
      <c r="J25" s="33" t="str">
        <f>IF(H25="","",IF(H25&lt;Config!$B$12,"Abaixo do mínimo",IF(H25&lt;Config!$B$13,"Na faixa","Acima do alvo")))</f>
        <v>Na faixa</v>
      </c>
      <c r="K25" s="25">
        <f>IF(H25="","",MAX(0,Config!$B$12*G25-F25))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IF(H26="","",H26/Config!$B$12-1)</f>
        <v>0.172973480204748</v>
      </c>
      <c r="J26" s="33" t="str">
        <f>IF(H26="","",IF(H26&lt;Config!$B$12,"Abaixo do mínimo",IF(H26&lt;Config!$B$13,"Na faixa","Acima do alvo")))</f>
        <v>Na faixa</v>
      </c>
      <c r="K26" s="25">
        <f>IF(H26="","",MAX(0,Config!$B$12*G26-F26))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IF(H27="","",H27/Config!$B$12-1)</f>
        <v>0.251171712218398</v>
      </c>
      <c r="J27" s="33" t="str">
        <f>IF(H27="","",IF(H27&lt;Config!$B$12,"Abaixo do mínimo",IF(H27&lt;Config!$B$13,"Na faixa","Acima do alvo")))</f>
        <v>Na faixa</v>
      </c>
      <c r="K27" s="25">
        <f>IF(H27="","",MAX(0,Config!$B$12*G27-F27))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IF(H28="","",H28/Config!$B$12-1)</f>
        <v>0.485766408259348</v>
      </c>
      <c r="J28" s="33" t="str">
        <f>IF(H28="","",IF(H28&lt;Config!$B$12,"Abaixo do mínimo",IF(H28&lt;Config!$B$13,"Na faixa","Acima do alvo")))</f>
        <v>Acima do alvo</v>
      </c>
      <c r="K28" s="25">
        <f>IF(H28="","",MAX(0,Config!$B$12*G28-F28))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IF(H29="","",H29/Config!$B$12-1)</f>
        <v>0.411095916035788</v>
      </c>
      <c r="J29" s="33" t="str">
        <f>IF(H29="","",IF(H29&lt;Config!$B$12,"Abaixo do mínimo",IF(H29&lt;Config!$B$13,"Na faixa","Acima do alvo")))</f>
        <v>Acima do alvo</v>
      </c>
      <c r="K29" s="25">
        <f>IF(H29="","",MAX(0,Config!$B$12*G29-F29))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IF(H30="","",H30/Config!$B$12-1)</f>
        <v>0.824625413651831</v>
      </c>
      <c r="J30" s="33" t="str">
        <f>IF(H30="","",IF(H30&lt;Config!$B$12,"Abaixo do mínimo",IF(H30&lt;Config!$B$13,"Na faixa","Acima do alvo")))</f>
        <v>Acima do alvo</v>
      </c>
      <c r="K30" s="25">
        <f>IF(H30="","",MAX(0,Config!$B$12*G30-F30))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IF(H31="","",H31/Config!$B$12-1)</f>
        <v>-0.218017679863501</v>
      </c>
      <c r="J31" s="33" t="str">
        <f>IF(H31="","",IF(H31&lt;Config!$B$12,"Abaixo do mínimo",IF(H31&lt;Config!$B$13,"Na faixa","Acima do alvo")))</f>
        <v>Abaixo do mínimo</v>
      </c>
      <c r="K31" s="25">
        <f>IF(H31="","",MAX(0,Config!$B$12*G31-F31))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IF(H32="","",H32/Config!$B$12-1)</f>
        <v>0.0663395274588623</v>
      </c>
      <c r="J32" s="33" t="str">
        <f>IF(H32="","",IF(H32&lt;Config!$B$12,"Abaixo do mínimo",IF(H32&lt;Config!$B$13,"Na faixa","Acima do alvo")))</f>
        <v>Na faixa</v>
      </c>
      <c r="K32" s="25">
        <f>IF(H32="","",MAX(0,Config!$B$12*G32-F32))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IF(H33="","",H33/Config!$B$12-1)</f>
        <v>0.485766408259348</v>
      </c>
      <c r="J33" s="33" t="str">
        <f>IF(H33="","",IF(H33&lt;Config!$B$12,"Abaixo do mínimo",IF(H33&lt;Config!$B$13,"Na faixa","Acima do alvo")))</f>
        <v>Acima do alvo</v>
      </c>
      <c r="K33" s="25">
        <f>IF(H33="","",MAX(0,Config!$B$12*G33-F33))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IF(H34="","",H34/Config!$B$12-1)</f>
        <v>0.206487008210598</v>
      </c>
      <c r="J34" s="33" t="str">
        <f>IF(H34="","",IF(H34&lt;Config!$B$12,"Abaixo do mínimo",IF(H34&lt;Config!$B$13,"Na faixa","Acima do alvo")))</f>
        <v>Na faixa</v>
      </c>
      <c r="K34" s="25">
        <f>IF(H34="","",MAX(0,Config!$B$12*G34-F34))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IF(H35="","",H35/Config!$B$12-1)</f>
        <v>0.563964640272998</v>
      </c>
      <c r="J35" s="33" t="str">
        <f>IF(H35="","",IF(H35&lt;Config!$B$12,"Abaixo do mínimo",IF(H35&lt;Config!$B$13,"Na faixa","Acima do alvo")))</f>
        <v>Acima do alvo</v>
      </c>
      <c r="K35" s="25">
        <f>IF(H35="","",MAX(0,Config!$B$12*G35-F35))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IF(H36="","",H36/Config!$B$12-1)</f>
        <v>0.279607432950635</v>
      </c>
      <c r="J36" s="33" t="str">
        <f>IF(H36="","",IF(H36&lt;Config!$B$12,"Abaixo do mínimo",IF(H36&lt;Config!$B$13,"Na faixa","Acima do alvo")))</f>
        <v>Na faixa</v>
      </c>
      <c r="K36" s="25">
        <f>IF(H36="","",MAX(0,Config!$B$12*G36-F36))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IF(H37="","",H37/Config!$B$12-1)</f>
        <v>0.129530017974943</v>
      </c>
      <c r="J37" s="33" t="str">
        <f>IF(H37="","",IF(H37&lt;Config!$B$12,"Abaixo do mínimo",IF(H37&lt;Config!$B$13,"Na faixa","Acima do alvo")))</f>
        <v>Na faixa</v>
      </c>
      <c r="K37" s="25">
        <f>IF(H37="","",MAX(0,Config!$B$12*G37-F37))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IF(H38="","",H38/Config!$B$12-1)</f>
        <v>0.0426430935153319</v>
      </c>
      <c r="J38" s="33" t="str">
        <f>IF(H38="","",IF(H38&lt;Config!$B$12,"Abaixo do mínimo",IF(H38&lt;Config!$B$13,"Na faixa","Acima do alvo")))</f>
        <v>Na faixa</v>
      </c>
      <c r="K38" s="25">
        <f>IF(H38="","",MAX(0,Config!$B$12*G38-F38))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IF(H39="","",H39/Config!$B$12-1)</f>
        <v>-0.0122328587749487</v>
      </c>
      <c r="J39" s="33" t="str">
        <f>IF(H39="","",IF(H39&lt;Config!$B$12,"Abaixo do mínimo",IF(H39&lt;Config!$B$13,"Na faixa","Acima do alvo")))</f>
        <v>Abaixo do mínimo</v>
      </c>
      <c r="K39" s="25">
        <f>IF(H39="","",MAX(0,Config!$B$12*G39-F39))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IF(H40="","",H40/Config!$B$12-1)</f>
        <v>-0.00474977437172863</v>
      </c>
      <c r="J40" s="33" t="str">
        <f>IF(H40="","",IF(H40&lt;Config!$B$12,"Abaixo do mínimo",IF(H40&lt;Config!$B$13,"Na faixa","Acima do alvo")))</f>
        <v>Abaixo do mínimo</v>
      </c>
      <c r="K40" s="25">
        <f>IF(H40="","",MAX(0,Config!$B$12*G40-F40))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IF(H41="","",H41/Config!$B$12-1)</f>
        <v>0.172973480204748</v>
      </c>
      <c r="J41" s="33" t="str">
        <f>IF(H41="","",IF(H41&lt;Config!$B$12,"Abaixo do mínimo",IF(H41&lt;Config!$B$13,"Na faixa","Acima do alvo")))</f>
        <v>Na faixa</v>
      </c>
      <c r="K41" s="25">
        <f>IF(H41="","",MAX(0,Config!$B$12*G41-F41))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IF(H42="","",H42/Config!$B$12-1)</f>
        <v>-0.0504500398342512</v>
      </c>
      <c r="J42" s="33" t="str">
        <f>IF(H42="","",IF(H42&lt;Config!$B$12,"Abaixo do mínimo",IF(H42&lt;Config!$B$13,"Na faixa","Acima do alvo")))</f>
        <v>Abaixo do mínimo</v>
      </c>
      <c r="K42" s="25">
        <f>IF(H42="","",MAX(0,Config!$B$12*G42-F42))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2026-09-18T15:06:43Z</dcterms:created>
  <dcterms:modified xmlns:dcterms="http://purl.org/dc/terms/" xmlns:xsi="http://www.w3.org/2001/XMLSchema-instance" xsi:type="dcterms:W3CDTF">2026-09-18T15:06:43Z</dcterms:modified>
</cp:coreProperties>
</file>