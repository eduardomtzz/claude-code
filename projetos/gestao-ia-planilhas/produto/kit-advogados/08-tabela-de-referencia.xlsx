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Referência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Nossos casos" sheetId="4" state="visible" r:id="rId4"/>
  </sheets>
  <definedNames>
    <definedName name="_xlnm._FilterDatabase" localSheetId="3" hidden="1">'Nossos casos'!$A$4:$L$204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&quot;R$&quot; #,##0.00;[Red]-&quot;R$&quot; #,##0.00"/>
    <numFmt numFmtId="166" formatCode="&quot;R$&quot; #,##0;[Red]-&quot;R$&quot; #,##0"/>
    <numFmt numFmtId="167" formatCode="+0%;-0%;0%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FBE4E4"/>
      </patternFill>
    </fill>
    <fill>
      <patternFill patternType="solid">
        <fgColor rgb="00DDF3E7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1" fillId="7" borderId="0" applyAlignment="1" pivotButton="0" quotePrefix="0" xfId="0">
      <alignment horizontal="center"/>
    </xf>
    <xf numFmtId="0" fontId="0" fillId="7" borderId="0" pivotButton="0" quotePrefix="0" xfId="0"/>
    <xf numFmtId="165" fontId="1" fillId="4" borderId="0" applyAlignment="1" pivotButton="0" quotePrefix="0" xfId="0">
      <alignment horizontal="center"/>
    </xf>
    <xf numFmtId="165" fontId="1" fillId="5" borderId="0" applyAlignment="1" pivotButton="0" quotePrefix="0" xfId="0">
      <alignment horizontal="center"/>
    </xf>
    <xf numFmtId="49" fontId="10" fillId="6" borderId="0" applyAlignment="1" pivotButton="0" quotePrefix="0" xfId="0">
      <alignment horizontal="center"/>
    </xf>
    <xf numFmtId="166" fontId="10" fillId="6" borderId="0" applyAlignment="1" pivotButton="0" quotePrefix="0" xfId="0">
      <alignment horizontal="center"/>
    </xf>
    <xf numFmtId="165" fontId="12" fillId="7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6" fontId="4" fillId="0" borderId="1" applyAlignment="1" pivotButton="0" quotePrefix="0" xfId="0">
      <alignment horizontal="center"/>
    </xf>
    <xf numFmtId="0" fontId="5" fillId="0" borderId="1" pivotButton="0" quotePrefix="0" xfId="0"/>
    <xf numFmtId="0" fontId="5" fillId="0" borderId="0" pivotButton="0" quotePrefix="0" xfId="0"/>
    <xf numFmtId="0" fontId="4" fillId="0" borderId="1" pivotButton="0" quotePrefix="0" xfId="0"/>
    <xf numFmtId="1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0" fontId="7" fillId="0" borderId="0" pivotButton="0" quotePrefix="0" xfId="0"/>
    <xf numFmtId="0" fontId="4" fillId="0" borderId="1" applyAlignment="1" pivotButton="0" quotePrefix="0" xfId="0">
      <alignment horizontal="center"/>
    </xf>
    <xf numFmtId="1" fontId="7" fillId="0" borderId="1" applyAlignment="1" pivotButton="0" quotePrefix="0" xfId="0">
      <alignment horizontal="center"/>
    </xf>
    <xf numFmtId="0" fontId="3" fillId="0" borderId="0" pivotButton="0" quotePrefix="0" xfId="0"/>
    <xf numFmtId="164" fontId="4" fillId="0" borderId="1" applyAlignment="1" pivotButton="0" quotePrefix="0" xfId="0">
      <alignment horizontal="center"/>
    </xf>
    <xf numFmtId="165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5" fontId="3" fillId="0" borderId="1" applyAlignment="1" pivotButton="0" quotePrefix="0" xfId="0">
      <alignment horizontal="center"/>
    </xf>
    <xf numFmtId="166" fontId="4" fillId="2" borderId="1" applyProtection="1" pivotButton="0" quotePrefix="0" xfId="0">
      <protection locked="0" hidden="0"/>
    </xf>
    <xf numFmtId="2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name val="Arial"/>
        <b val="1"/>
        <color rgb="00C8402E"/>
        <sz val="10"/>
      </font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hora médio por área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'Referência'!E53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'Referência'!$A$54:$A$58</f>
            </numRef>
          </cat>
          <val>
            <numRef>
              <f>'Referência'!$E$54:$E$58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Tabela de referência de honorários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Cria a tabela interna de honorários do escritório: para cada área e tipo de serviço, uma faixa mínima e máxima calculada do custo-hora, com horas típicas e modalidade recomendada. Depois compara o que já está contratado com essa referência e aponta os casos abaixo do mínimo.</t>
        </is>
      </c>
    </row>
    <row r="5" ht="46" customHeight="1">
      <c r="A5" s="3" t="inlineStr">
        <is>
          <t>Passo 1</t>
        </is>
      </c>
      <c r="B5" s="4" t="inlineStr">
        <is>
          <t>Em Config, o custo-hora (da planilha 05), impostos, as margens mínima e alvo e a folga para horas não previstas. Isso vira hora mínima e hora alvo.</t>
        </is>
      </c>
    </row>
    <row r="6" ht="46" customHeight="1">
      <c r="A6" s="3" t="inlineStr">
        <is>
          <t>Passo 2</t>
        </is>
      </c>
      <c r="B6" s="4" t="inlineStr">
        <is>
          <t>Em Referência, ajuste as horas típicas (de e até) e a modalidade de cada linha. Adicione linhas para os serviços que o escritório faz. A faixa em reais é calculada.</t>
        </is>
      </c>
    </row>
    <row r="7" ht="46" customHeight="1">
      <c r="A7" s="3" t="inlineStr">
        <is>
          <t>Passo 3</t>
        </is>
      </c>
      <c r="B7" s="4" t="inlineStr">
        <is>
          <t>Em Nossos casos, uma linha por caso com valor contratado e horas estimadas. A situação mostra se está abaixo do mínimo, na faixa ou acima do alvo.</t>
        </is>
      </c>
    </row>
    <row r="8" ht="46" customHeight="1">
      <c r="A8" s="3" t="inlineStr">
        <is>
          <t>Passo 4</t>
        </is>
      </c>
      <c r="B8" s="4" t="inlineStr">
        <is>
          <t>No topo de Referência: quantos casos estão abaixo do mínimo, quanto falta e o valor por hora médio por área. Use a faixa ao montar a proposta (planilha 07).</t>
        </is>
      </c>
    </row>
    <row r="9" ht="46" customHeight="1">
      <c r="A9" s="3" t="inlineStr">
        <is>
          <t>Rotina</t>
        </is>
      </c>
      <c r="B9" s="4" t="inlineStr">
        <is>
          <t>Revise a tabela a cada trimestre, junto com o custo-hora. Antes de aceitar caso novo, confira a faixa.</t>
        </is>
      </c>
    </row>
    <row r="10" ht="46" customHeight="1">
      <c r="A10" s="3" t="inlineStr">
        <is>
          <t>Com a IA</t>
        </is>
      </c>
      <c r="B10" s="4" t="inlineStr">
        <is>
          <t>Copie "O que cobramos hoje, por área" e peça à IA para apontar onde o escritório está cobrando abaixo do custo e sugerir uma conversa de reajuste. Os valores da tabela são do seu escritório, não uma tabela oficial.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2019 ou mais novo, Microsoft 365 ou Google Sheets.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4" customWidth="1" min="8" max="8"/>
    <col width="44" customWidth="1" min="9" max="9"/>
    <col width="8" customWidth="1" min="10" max="10"/>
    <col width="8" customWidth="1" min="11" max="11"/>
  </cols>
  <sheetData>
    <row r="1">
      <c r="A1" s="5">
        <f>Config!$B$4&amp;" · Tabela de referência de honorários · "&amp;Config!$B$5</f>
        <v/>
      </c>
    </row>
    <row r="2">
      <c r="A2" s="6" t="inlineStr">
        <is>
          <t>Tabela interna: faixa de valor por área e tipo de serviço, calculada do custo-hora. Amarelo: horas típicas e modalidade. Abaixo, o que cobramos hoje contra a referência.</t>
        </is>
      </c>
    </row>
    <row r="4">
      <c r="A4" s="7" t="inlineStr">
        <is>
          <t>Hora mínima</t>
        </is>
      </c>
      <c r="B4" s="8" t="n"/>
      <c r="C4" s="9" t="inlineStr">
        <is>
          <t>Hora alvo</t>
        </is>
      </c>
      <c r="D4" s="10" t="n"/>
      <c r="E4" s="11" t="inlineStr">
        <is>
          <t>Casos abaixo do mínimo</t>
        </is>
      </c>
      <c r="F4" s="12" t="n"/>
      <c r="G4" s="11" t="inlineStr">
        <is>
          <t>Falta até o mínimo</t>
        </is>
      </c>
      <c r="H4" s="12" t="n"/>
      <c r="I4" s="13" t="inlineStr">
        <is>
          <t>Valor por hora médio</t>
        </is>
      </c>
      <c r="J4" s="14" t="n"/>
    </row>
    <row r="5" ht="30" customHeight="1">
      <c r="A5" s="15">
        <f>Config!$B$12</f>
        <v/>
      </c>
      <c r="B5" s="8" t="n"/>
      <c r="C5" s="16">
        <f>Config!$B$13</f>
        <v/>
      </c>
      <c r="D5" s="10" t="n"/>
      <c r="E5" s="17">
        <f>COUNTIF('Nossos casos'!$J$5:$J$204,"Abaixo do mínimo")&amp;" de "&amp;(COUNTIF('Nossos casos'!$J$5:$J$204,"Abaixo do mínimo")+COUNTIF('Nossos casos'!$J$5:$J$204,"Na faixa")+COUNTIF('Nossos casos'!$J$5:$J$204,"Acima do alvo"))</f>
        <v/>
      </c>
      <c r="F5" s="12" t="n"/>
      <c r="G5" s="18">
        <f>SUM('Nossos casos'!$K$5:$K$204)</f>
        <v/>
      </c>
      <c r="H5" s="12" t="n"/>
      <c r="I5" s="19">
        <f>IFERROR(SUM('Nossos casos'!$F$5:$F$204)/SUM('Nossos casos'!$G$5:$G$204),0)</f>
        <v/>
      </c>
      <c r="J5" s="14" t="n"/>
    </row>
    <row r="7">
      <c r="A7" s="20" t="inlineStr">
        <is>
          <t>Faixa de referência por área e tipo de serviço</t>
        </is>
      </c>
    </row>
    <row r="8" ht="32" customHeight="1">
      <c r="A8" s="21" t="inlineStr">
        <is>
          <t>Área</t>
        </is>
      </c>
      <c r="B8" s="21" t="inlineStr">
        <is>
          <t>Tipo de serviço</t>
        </is>
      </c>
      <c r="C8" s="21" t="inlineStr">
        <is>
          <t>Horas típicas · de</t>
        </is>
      </c>
      <c r="D8" s="21" t="inlineStr">
        <is>
          <t>Horas típicas · até</t>
        </is>
      </c>
      <c r="E8" s="21" t="inlineStr">
        <is>
          <t>Modalidade recomendada</t>
        </is>
      </c>
      <c r="F8" s="21" t="inlineStr">
        <is>
          <t>Mínimo (R$)</t>
        </is>
      </c>
      <c r="G8" s="21" t="inlineStr">
        <is>
          <t>Máximo (R$)</t>
        </is>
      </c>
      <c r="H8" s="21" t="inlineStr">
        <is>
          <t>Ponto médio (R$)</t>
        </is>
      </c>
      <c r="I8" s="21" t="inlineStr">
        <is>
          <t>Como usar a faixa</t>
        </is>
      </c>
    </row>
    <row r="9">
      <c r="A9" s="22" t="inlineStr">
        <is>
          <t>Cível</t>
        </is>
      </c>
      <c r="B9" s="22" t="inlineStr">
        <is>
          <t>Consultoria pontual</t>
        </is>
      </c>
      <c r="C9" s="23" t="n">
        <v>3</v>
      </c>
      <c r="D9" s="23" t="n">
        <v>8</v>
      </c>
      <c r="E9" s="24" t="inlineStr">
        <is>
          <t>Fixo</t>
        </is>
      </c>
      <c r="F9" s="25">
        <f>IF(OR(A9="",C9=""),"",C9*Config!$B$12)</f>
        <v/>
      </c>
      <c r="G9" s="25">
        <f>IF(OR(A9="",D9=""),"",D9*Config!$B$13)</f>
        <v/>
      </c>
      <c r="H9" s="25">
        <f>IF(OR(F9="",G9=""),"",(F9+G9)/2)</f>
        <v/>
      </c>
      <c r="I9" s="26">
        <f>IF(A9="","",IF(E9="Hora","Cobre a hora entre a mínima e a alvo; a faixa é o total esperado",IF(E9="Êxito","Percentual que, na chance esperada, fique dentro da faixa",IF(E9="Misto","Entrada perto do mínimo; o êxito leva ao máximo","Caso simples perto do mínimo; complexo perto do máximo"))))</f>
        <v/>
      </c>
    </row>
    <row r="10">
      <c r="A10" s="22" t="inlineStr">
        <is>
          <t>Cível</t>
        </is>
      </c>
      <c r="B10" s="22" t="inlineStr">
        <is>
          <t>Contrato ou documento</t>
        </is>
      </c>
      <c r="C10" s="23" t="n">
        <v>6</v>
      </c>
      <c r="D10" s="23" t="n">
        <v>15</v>
      </c>
      <c r="E10" s="24" t="inlineStr">
        <is>
          <t>Fixo</t>
        </is>
      </c>
      <c r="F10" s="25">
        <f>IF(OR(A10="",C10=""),"",C10*Config!$B$12)</f>
        <v/>
      </c>
      <c r="G10" s="25">
        <f>IF(OR(A10="",D10=""),"",D10*Config!$B$13)</f>
        <v/>
      </c>
      <c r="H10" s="25">
        <f>IF(OR(F10="",G10=""),"",(F10+G10)/2)</f>
        <v/>
      </c>
      <c r="I10" s="26">
        <f>IF(A10="","",IF(E10="Hora","Cobre a hora entre a mínima e a alvo; a faixa é o total esperado",IF(E10="Êxito","Percentual que, na chance esperada, fique dentro da faixa",IF(E10="Misto","Entrada perto do mínimo; o êxito leva ao máximo","Caso simples perto do mínimo; complexo perto do máximo"))))</f>
        <v/>
      </c>
    </row>
    <row r="11">
      <c r="A11" s="22" t="inlineStr">
        <is>
          <t>Cível</t>
        </is>
      </c>
      <c r="B11" s="22" t="inlineStr">
        <is>
          <t>Processo completo</t>
        </is>
      </c>
      <c r="C11" s="23" t="n">
        <v>50</v>
      </c>
      <c r="D11" s="23" t="n">
        <v>100</v>
      </c>
      <c r="E11" s="24" t="inlineStr">
        <is>
          <t>Misto</t>
        </is>
      </c>
      <c r="F11" s="25">
        <f>IF(OR(A11="",C11=""),"",C11*Config!$B$12)</f>
        <v/>
      </c>
      <c r="G11" s="25">
        <f>IF(OR(A11="",D11=""),"",D11*Config!$B$13)</f>
        <v/>
      </c>
      <c r="H11" s="25">
        <f>IF(OR(F11="",G11=""),"",(F11+G11)/2)</f>
        <v/>
      </c>
      <c r="I11" s="26">
        <f>IF(A11="","",IF(E11="Hora","Cobre a hora entre a mínima e a alvo; a faixa é o total esperado",IF(E11="Êxito","Percentual que, na chance esperada, fique dentro da faixa",IF(E11="Misto","Entrada perto do mínimo; o êxito leva ao máximo","Caso simples perto do mínimo; complexo perto do máximo"))))</f>
        <v/>
      </c>
    </row>
    <row r="12">
      <c r="A12" s="22" t="inlineStr">
        <is>
          <t>Cível</t>
        </is>
      </c>
      <c r="B12" s="22" t="inlineStr">
        <is>
          <t>Recurso</t>
        </is>
      </c>
      <c r="C12" s="23" t="n">
        <v>15</v>
      </c>
      <c r="D12" s="23" t="n">
        <v>35</v>
      </c>
      <c r="E12" s="24" t="inlineStr">
        <is>
          <t>Fixo</t>
        </is>
      </c>
      <c r="F12" s="25">
        <f>IF(OR(A12="",C12=""),"",C12*Config!$B$12)</f>
        <v/>
      </c>
      <c r="G12" s="25">
        <f>IF(OR(A12="",D12=""),"",D12*Config!$B$13)</f>
        <v/>
      </c>
      <c r="H12" s="25">
        <f>IF(OR(F12="",G12=""),"",(F12+G12)/2)</f>
        <v/>
      </c>
      <c r="I12" s="26">
        <f>IF(A12="","",IF(E12="Hora","Cobre a hora entre a mínima e a alvo; a faixa é o total esperado",IF(E12="Êxito","Percentual que, na chance esperada, fique dentro da faixa",IF(E12="Misto","Entrada perto do mínimo; o êxito leva ao máximo","Caso simples perto do mínimo; complexo perto do máximo"))))</f>
        <v/>
      </c>
    </row>
    <row r="13">
      <c r="A13" s="22" t="inlineStr">
        <is>
          <t>Cível</t>
        </is>
      </c>
      <c r="B13" s="22" t="inlineStr">
        <is>
          <t>Acordo e negociação</t>
        </is>
      </c>
      <c r="C13" s="23" t="n">
        <v>8</v>
      </c>
      <c r="D13" s="23" t="n">
        <v>25</v>
      </c>
      <c r="E13" s="24" t="inlineStr">
        <is>
          <t>Misto</t>
        </is>
      </c>
      <c r="F13" s="25">
        <f>IF(OR(A13="",C13=""),"",C13*Config!$B$12)</f>
        <v/>
      </c>
      <c r="G13" s="25">
        <f>IF(OR(A13="",D13=""),"",D13*Config!$B$13)</f>
        <v/>
      </c>
      <c r="H13" s="25">
        <f>IF(OR(F13="",G13=""),"",(F13+G13)/2)</f>
        <v/>
      </c>
      <c r="I13" s="26">
        <f>IF(A13="","",IF(E13="Hora","Cobre a hora entre a mínima e a alvo; a faixa é o total esperado",IF(E13="Êxito","Percentual que, na chance esperada, fique dentro da faixa",IF(E13="Misto","Entrada perto do mínimo; o êxito leva ao máximo","Caso simples perto do mínimo; complexo perto do máximo"))))</f>
        <v/>
      </c>
    </row>
    <row r="14">
      <c r="A14" s="22" t="inlineStr">
        <is>
          <t>Trabalhista</t>
        </is>
      </c>
      <c r="B14" s="22" t="inlineStr">
        <is>
          <t>Consultoria pontual</t>
        </is>
      </c>
      <c r="C14" s="23" t="n">
        <v>3</v>
      </c>
      <c r="D14" s="23" t="n">
        <v>8</v>
      </c>
      <c r="E14" s="24" t="inlineStr">
        <is>
          <t>Fixo</t>
        </is>
      </c>
      <c r="F14" s="25">
        <f>IF(OR(A14="",C14=""),"",C14*Config!$B$12)</f>
        <v/>
      </c>
      <c r="G14" s="25">
        <f>IF(OR(A14="",D14=""),"",D14*Config!$B$13)</f>
        <v/>
      </c>
      <c r="H14" s="25">
        <f>IF(OR(F14="",G14=""),"",(F14+G14)/2)</f>
        <v/>
      </c>
      <c r="I14" s="26">
        <f>IF(A14="","",IF(E14="Hora","Cobre a hora entre a mínima e a alvo; a faixa é o total esperado",IF(E14="Êxito","Percentual que, na chance esperada, fique dentro da faixa",IF(E14="Misto","Entrada perto do mínimo; o êxito leva ao máximo","Caso simples perto do mínimo; complexo perto do máximo"))))</f>
        <v/>
      </c>
    </row>
    <row r="15">
      <c r="A15" s="22" t="inlineStr">
        <is>
          <t>Trabalhista</t>
        </is>
      </c>
      <c r="B15" s="22" t="inlineStr">
        <is>
          <t>Contrato ou documento</t>
        </is>
      </c>
      <c r="C15" s="23" t="n">
        <v>6</v>
      </c>
      <c r="D15" s="23" t="n">
        <v>15</v>
      </c>
      <c r="E15" s="24" t="inlineStr">
        <is>
          <t>Fixo</t>
        </is>
      </c>
      <c r="F15" s="25">
        <f>IF(OR(A15="",C15=""),"",C15*Config!$B$12)</f>
        <v/>
      </c>
      <c r="G15" s="25">
        <f>IF(OR(A15="",D15=""),"",D15*Config!$B$13)</f>
        <v/>
      </c>
      <c r="H15" s="25">
        <f>IF(OR(F15="",G15=""),"",(F15+G15)/2)</f>
        <v/>
      </c>
      <c r="I15" s="26">
        <f>IF(A15="","",IF(E15="Hora","Cobre a hora entre a mínima e a alvo; a faixa é o total esperado",IF(E15="Êxito","Percentual que, na chance esperada, fique dentro da faixa",IF(E15="Misto","Entrada perto do mínimo; o êxito leva ao máximo","Caso simples perto do mínimo; complexo perto do máximo"))))</f>
        <v/>
      </c>
    </row>
    <row r="16">
      <c r="A16" s="22" t="inlineStr">
        <is>
          <t>Trabalhista</t>
        </is>
      </c>
      <c r="B16" s="22" t="inlineStr">
        <is>
          <t>Processo completo</t>
        </is>
      </c>
      <c r="C16" s="23" t="n">
        <v>35</v>
      </c>
      <c r="D16" s="23" t="n">
        <v>70</v>
      </c>
      <c r="E16" s="24" t="inlineStr">
        <is>
          <t>Êxito</t>
        </is>
      </c>
      <c r="F16" s="25">
        <f>IF(OR(A16="",C16=""),"",C16*Config!$B$12)</f>
        <v/>
      </c>
      <c r="G16" s="25">
        <f>IF(OR(A16="",D16=""),"",D16*Config!$B$13)</f>
        <v/>
      </c>
      <c r="H16" s="25">
        <f>IF(OR(F16="",G16=""),"",(F16+G16)/2)</f>
        <v/>
      </c>
      <c r="I16" s="26">
        <f>IF(A16="","",IF(E16="Hora","Cobre a hora entre a mínima e a alvo; a faixa é o total esperado",IF(E16="Êxito","Percentual que, na chance esperada, fique dentro da faixa",IF(E16="Misto","Entrada perto do mínimo; o êxito leva ao máximo","Caso simples perto do mínimo; complexo perto do máximo"))))</f>
        <v/>
      </c>
    </row>
    <row r="17">
      <c r="A17" s="22" t="inlineStr">
        <is>
          <t>Trabalhista</t>
        </is>
      </c>
      <c r="B17" s="22" t="inlineStr">
        <is>
          <t>Recurso</t>
        </is>
      </c>
      <c r="C17" s="23" t="n">
        <v>15</v>
      </c>
      <c r="D17" s="23" t="n">
        <v>35</v>
      </c>
      <c r="E17" s="24" t="inlineStr">
        <is>
          <t>Fixo</t>
        </is>
      </c>
      <c r="F17" s="25">
        <f>IF(OR(A17="",C17=""),"",C17*Config!$B$12)</f>
        <v/>
      </c>
      <c r="G17" s="25">
        <f>IF(OR(A17="",D17=""),"",D17*Config!$B$13)</f>
        <v/>
      </c>
      <c r="H17" s="25">
        <f>IF(OR(F17="",G17=""),"",(F17+G17)/2)</f>
        <v/>
      </c>
      <c r="I17" s="26">
        <f>IF(A17="","",IF(E17="Hora","Cobre a hora entre a mínima e a alvo; a faixa é o total esperado",IF(E17="Êxito","Percentual que, na chance esperada, fique dentro da faixa",IF(E17="Misto","Entrada perto do mínimo; o êxito leva ao máximo","Caso simples perto do mínimo; complexo perto do máximo"))))</f>
        <v/>
      </c>
    </row>
    <row r="18">
      <c r="A18" s="22" t="inlineStr">
        <is>
          <t>Trabalhista</t>
        </is>
      </c>
      <c r="B18" s="22" t="inlineStr">
        <is>
          <t>Acordo e negociação</t>
        </is>
      </c>
      <c r="C18" s="23" t="n">
        <v>8</v>
      </c>
      <c r="D18" s="23" t="n">
        <v>25</v>
      </c>
      <c r="E18" s="24" t="inlineStr">
        <is>
          <t>Misto</t>
        </is>
      </c>
      <c r="F18" s="25">
        <f>IF(OR(A18="",C18=""),"",C18*Config!$B$12)</f>
        <v/>
      </c>
      <c r="G18" s="25">
        <f>IF(OR(A18="",D18=""),"",D18*Config!$B$13)</f>
        <v/>
      </c>
      <c r="H18" s="25">
        <f>IF(OR(F18="",G18=""),"",(F18+G18)/2)</f>
        <v/>
      </c>
      <c r="I18" s="26">
        <f>IF(A18="","",IF(E18="Hora","Cobre a hora entre a mínima e a alvo; a faixa é o total esperado",IF(E18="Êxito","Percentual que, na chance esperada, fique dentro da faixa",IF(E18="Misto","Entrada perto do mínimo; o êxito leva ao máximo","Caso simples perto do mínimo; complexo perto do máximo"))))</f>
        <v/>
      </c>
    </row>
    <row r="19">
      <c r="A19" s="22" t="inlineStr">
        <is>
          <t>Previdenciário</t>
        </is>
      </c>
      <c r="B19" s="22" t="inlineStr">
        <is>
          <t>Consultoria pontual</t>
        </is>
      </c>
      <c r="C19" s="23" t="n">
        <v>3</v>
      </c>
      <c r="D19" s="23" t="n">
        <v>8</v>
      </c>
      <c r="E19" s="24" t="inlineStr">
        <is>
          <t>Fixo</t>
        </is>
      </c>
      <c r="F19" s="25">
        <f>IF(OR(A19="",C19=""),"",C19*Config!$B$12)</f>
        <v/>
      </c>
      <c r="G19" s="25">
        <f>IF(OR(A19="",D19=""),"",D19*Config!$B$13)</f>
        <v/>
      </c>
      <c r="H19" s="25">
        <f>IF(OR(F19="",G19=""),"",(F19+G19)/2)</f>
        <v/>
      </c>
      <c r="I19" s="26">
        <f>IF(A19="","",IF(E19="Hora","Cobre a hora entre a mínima e a alvo; a faixa é o total esperado",IF(E19="Êxito","Percentual que, na chance esperada, fique dentro da faixa",IF(E19="Misto","Entrada perto do mínimo; o êxito leva ao máximo","Caso simples perto do mínimo; complexo perto do máximo"))))</f>
        <v/>
      </c>
    </row>
    <row r="20">
      <c r="A20" s="22" t="inlineStr">
        <is>
          <t>Previdenciário</t>
        </is>
      </c>
      <c r="B20" s="22" t="inlineStr">
        <is>
          <t>Contrato ou documento</t>
        </is>
      </c>
      <c r="C20" s="23" t="n">
        <v>6</v>
      </c>
      <c r="D20" s="23" t="n">
        <v>15</v>
      </c>
      <c r="E20" s="24" t="inlineStr">
        <is>
          <t>Fixo</t>
        </is>
      </c>
      <c r="F20" s="25">
        <f>IF(OR(A20="",C20=""),"",C20*Config!$B$12)</f>
        <v/>
      </c>
      <c r="G20" s="25">
        <f>IF(OR(A20="",D20=""),"",D20*Config!$B$13)</f>
        <v/>
      </c>
      <c r="H20" s="25">
        <f>IF(OR(F20="",G20=""),"",(F20+G20)/2)</f>
        <v/>
      </c>
      <c r="I20" s="26">
        <f>IF(A20="","",IF(E20="Hora","Cobre a hora entre a mínima e a alvo; a faixa é o total esperado",IF(E20="Êxito","Percentual que, na chance esperada, fique dentro da faixa",IF(E20="Misto","Entrada perto do mínimo; o êxito leva ao máximo","Caso simples perto do mínimo; complexo perto do máximo"))))</f>
        <v/>
      </c>
    </row>
    <row r="21">
      <c r="A21" s="22" t="inlineStr">
        <is>
          <t>Previdenciário</t>
        </is>
      </c>
      <c r="B21" s="22" t="inlineStr">
        <is>
          <t>Processo completo</t>
        </is>
      </c>
      <c r="C21" s="23" t="n">
        <v>30</v>
      </c>
      <c r="D21" s="23" t="n">
        <v>60</v>
      </c>
      <c r="E21" s="24" t="inlineStr">
        <is>
          <t>Êxito</t>
        </is>
      </c>
      <c r="F21" s="25">
        <f>IF(OR(A21="",C21=""),"",C21*Config!$B$12)</f>
        <v/>
      </c>
      <c r="G21" s="25">
        <f>IF(OR(A21="",D21=""),"",D21*Config!$B$13)</f>
        <v/>
      </c>
      <c r="H21" s="25">
        <f>IF(OR(F21="",G21=""),"",(F21+G21)/2)</f>
        <v/>
      </c>
      <c r="I21" s="26">
        <f>IF(A21="","",IF(E21="Hora","Cobre a hora entre a mínima e a alvo; a faixa é o total esperado",IF(E21="Êxito","Percentual que, na chance esperada, fique dentro da faixa",IF(E21="Misto","Entrada perto do mínimo; o êxito leva ao máximo","Caso simples perto do mínimo; complexo perto do máximo"))))</f>
        <v/>
      </c>
    </row>
    <row r="22">
      <c r="A22" s="22" t="inlineStr">
        <is>
          <t>Previdenciário</t>
        </is>
      </c>
      <c r="B22" s="22" t="inlineStr">
        <is>
          <t>Recurso</t>
        </is>
      </c>
      <c r="C22" s="23" t="n">
        <v>15</v>
      </c>
      <c r="D22" s="23" t="n">
        <v>35</v>
      </c>
      <c r="E22" s="24" t="inlineStr">
        <is>
          <t>Fixo</t>
        </is>
      </c>
      <c r="F22" s="25">
        <f>IF(OR(A22="",C22=""),"",C22*Config!$B$12)</f>
        <v/>
      </c>
      <c r="G22" s="25">
        <f>IF(OR(A22="",D22=""),"",D22*Config!$B$13)</f>
        <v/>
      </c>
      <c r="H22" s="25">
        <f>IF(OR(F22="",G22=""),"",(F22+G22)/2)</f>
        <v/>
      </c>
      <c r="I22" s="26">
        <f>IF(A22="","",IF(E22="Hora","Cobre a hora entre a mínima e a alvo; a faixa é o total esperado",IF(E22="Êxito","Percentual que, na chance esperada, fique dentro da faixa",IF(E22="Misto","Entrada perto do mínimo; o êxito leva ao máximo","Caso simples perto do mínimo; complexo perto do máximo"))))</f>
        <v/>
      </c>
    </row>
    <row r="23">
      <c r="A23" s="22" t="inlineStr">
        <is>
          <t>Previdenciário</t>
        </is>
      </c>
      <c r="B23" s="22" t="inlineStr">
        <is>
          <t>Acordo e negociação</t>
        </is>
      </c>
      <c r="C23" s="23" t="n">
        <v>8</v>
      </c>
      <c r="D23" s="23" t="n">
        <v>25</v>
      </c>
      <c r="E23" s="24" t="inlineStr">
        <is>
          <t>Misto</t>
        </is>
      </c>
      <c r="F23" s="25">
        <f>IF(OR(A23="",C23=""),"",C23*Config!$B$12)</f>
        <v/>
      </c>
      <c r="G23" s="25">
        <f>IF(OR(A23="",D23=""),"",D23*Config!$B$13)</f>
        <v/>
      </c>
      <c r="H23" s="25">
        <f>IF(OR(F23="",G23=""),"",(F23+G23)/2)</f>
        <v/>
      </c>
      <c r="I23" s="26">
        <f>IF(A23="","",IF(E23="Hora","Cobre a hora entre a mínima e a alvo; a faixa é o total esperado",IF(E23="Êxito","Percentual que, na chance esperada, fique dentro da faixa",IF(E23="Misto","Entrada perto do mínimo; o êxito leva ao máximo","Caso simples perto do mínimo; complexo perto do máximo"))))</f>
        <v/>
      </c>
    </row>
    <row r="24">
      <c r="A24" s="22" t="inlineStr">
        <is>
          <t>Empresarial</t>
        </is>
      </c>
      <c r="B24" s="22" t="inlineStr">
        <is>
          <t>Consultoria pontual</t>
        </is>
      </c>
      <c r="C24" s="23" t="n">
        <v>4</v>
      </c>
      <c r="D24" s="23" t="n">
        <v>12</v>
      </c>
      <c r="E24" s="24" t="inlineStr">
        <is>
          <t>Hora</t>
        </is>
      </c>
      <c r="F24" s="25">
        <f>IF(OR(A24="",C24=""),"",C24*Config!$B$12)</f>
        <v/>
      </c>
      <c r="G24" s="25">
        <f>IF(OR(A24="",D24=""),"",D24*Config!$B$13)</f>
        <v/>
      </c>
      <c r="H24" s="25">
        <f>IF(OR(F24="",G24=""),"",(F24+G24)/2)</f>
        <v/>
      </c>
      <c r="I24" s="26">
        <f>IF(A24="","",IF(E24="Hora","Cobre a hora entre a mínima e a alvo; a faixa é o total esperado",IF(E24="Êxito","Percentual que, na chance esperada, fique dentro da faixa",IF(E24="Misto","Entrada perto do mínimo; o êxito leva ao máximo","Caso simples perto do mínimo; complexo perto do máximo"))))</f>
        <v/>
      </c>
    </row>
    <row r="25">
      <c r="A25" s="22" t="inlineStr">
        <is>
          <t>Empresarial</t>
        </is>
      </c>
      <c r="B25" s="22" t="inlineStr">
        <is>
          <t>Contrato ou documento</t>
        </is>
      </c>
      <c r="C25" s="23" t="n">
        <v>6</v>
      </c>
      <c r="D25" s="23" t="n">
        <v>15</v>
      </c>
      <c r="E25" s="24" t="inlineStr">
        <is>
          <t>Fixo</t>
        </is>
      </c>
      <c r="F25" s="25">
        <f>IF(OR(A25="",C25=""),"",C25*Config!$B$12)</f>
        <v/>
      </c>
      <c r="G25" s="25">
        <f>IF(OR(A25="",D25=""),"",D25*Config!$B$13)</f>
        <v/>
      </c>
      <c r="H25" s="25">
        <f>IF(OR(F25="",G25=""),"",(F25+G25)/2)</f>
        <v/>
      </c>
      <c r="I25" s="26">
        <f>IF(A25="","",IF(E25="Hora","Cobre a hora entre a mínima e a alvo; a faixa é o total esperado",IF(E25="Êxito","Percentual que, na chance esperada, fique dentro da faixa",IF(E25="Misto","Entrada perto do mínimo; o êxito leva ao máximo","Caso simples perto do mínimo; complexo perto do máximo"))))</f>
        <v/>
      </c>
    </row>
    <row r="26">
      <c r="A26" s="22" t="inlineStr">
        <is>
          <t>Empresarial</t>
        </is>
      </c>
      <c r="B26" s="22" t="inlineStr">
        <is>
          <t>Processo completo</t>
        </is>
      </c>
      <c r="C26" s="23" t="n">
        <v>60</v>
      </c>
      <c r="D26" s="23" t="n">
        <v>120</v>
      </c>
      <c r="E26" s="24" t="inlineStr">
        <is>
          <t>Hora</t>
        </is>
      </c>
      <c r="F26" s="25">
        <f>IF(OR(A26="",C26=""),"",C26*Config!$B$12)</f>
        <v/>
      </c>
      <c r="G26" s="25">
        <f>IF(OR(A26="",D26=""),"",D26*Config!$B$13)</f>
        <v/>
      </c>
      <c r="H26" s="25">
        <f>IF(OR(F26="",G26=""),"",(F26+G26)/2)</f>
        <v/>
      </c>
      <c r="I26" s="26">
        <f>IF(A26="","",IF(E26="Hora","Cobre a hora entre a mínima e a alvo; a faixa é o total esperado",IF(E26="Êxito","Percentual que, na chance esperada, fique dentro da faixa",IF(E26="Misto","Entrada perto do mínimo; o êxito leva ao máximo","Caso simples perto do mínimo; complexo perto do máximo"))))</f>
        <v/>
      </c>
    </row>
    <row r="27">
      <c r="A27" s="22" t="inlineStr">
        <is>
          <t>Empresarial</t>
        </is>
      </c>
      <c r="B27" s="22" t="inlineStr">
        <is>
          <t>Recurso</t>
        </is>
      </c>
      <c r="C27" s="23" t="n">
        <v>15</v>
      </c>
      <c r="D27" s="23" t="n">
        <v>35</v>
      </c>
      <c r="E27" s="24" t="inlineStr">
        <is>
          <t>Fixo</t>
        </is>
      </c>
      <c r="F27" s="25">
        <f>IF(OR(A27="",C27=""),"",C27*Config!$B$12)</f>
        <v/>
      </c>
      <c r="G27" s="25">
        <f>IF(OR(A27="",D27=""),"",D27*Config!$B$13)</f>
        <v/>
      </c>
      <c r="H27" s="25">
        <f>IF(OR(F27="",G27=""),"",(F27+G27)/2)</f>
        <v/>
      </c>
      <c r="I27" s="26">
        <f>IF(A27="","",IF(E27="Hora","Cobre a hora entre a mínima e a alvo; a faixa é o total esperado",IF(E27="Êxito","Percentual que, na chance esperada, fique dentro da faixa",IF(E27="Misto","Entrada perto do mínimo; o êxito leva ao máximo","Caso simples perto do mínimo; complexo perto do máximo"))))</f>
        <v/>
      </c>
    </row>
    <row r="28">
      <c r="A28" s="22" t="inlineStr">
        <is>
          <t>Empresarial</t>
        </is>
      </c>
      <c r="B28" s="22" t="inlineStr">
        <is>
          <t>Acordo e negociação</t>
        </is>
      </c>
      <c r="C28" s="23" t="n">
        <v>8</v>
      </c>
      <c r="D28" s="23" t="n">
        <v>25</v>
      </c>
      <c r="E28" s="24" t="inlineStr">
        <is>
          <t>Misto</t>
        </is>
      </c>
      <c r="F28" s="25">
        <f>IF(OR(A28="",C28=""),"",C28*Config!$B$12)</f>
        <v/>
      </c>
      <c r="G28" s="25">
        <f>IF(OR(A28="",D28=""),"",D28*Config!$B$13)</f>
        <v/>
      </c>
      <c r="H28" s="25">
        <f>IF(OR(F28="",G28=""),"",(F28+G28)/2)</f>
        <v/>
      </c>
      <c r="I28" s="26">
        <f>IF(A28="","",IF(E28="Hora","Cobre a hora entre a mínima e a alvo; a faixa é o total esperado",IF(E28="Êxito","Percentual que, na chance esperada, fique dentro da faixa",IF(E28="Misto","Entrada perto do mínimo; o êxito leva ao máximo","Caso simples perto do mínimo; complexo perto do máximo"))))</f>
        <v/>
      </c>
    </row>
    <row r="29">
      <c r="A29" s="22" t="inlineStr">
        <is>
          <t>Família</t>
        </is>
      </c>
      <c r="B29" s="22" t="inlineStr">
        <is>
          <t>Consultoria pontual</t>
        </is>
      </c>
      <c r="C29" s="23" t="n">
        <v>3</v>
      </c>
      <c r="D29" s="23" t="n">
        <v>8</v>
      </c>
      <c r="E29" s="24" t="inlineStr">
        <is>
          <t>Fixo</t>
        </is>
      </c>
      <c r="F29" s="25">
        <f>IF(OR(A29="",C29=""),"",C29*Config!$B$12)</f>
        <v/>
      </c>
      <c r="G29" s="25">
        <f>IF(OR(A29="",D29=""),"",D29*Config!$B$13)</f>
        <v/>
      </c>
      <c r="H29" s="25">
        <f>IF(OR(F29="",G29=""),"",(F29+G29)/2)</f>
        <v/>
      </c>
      <c r="I29" s="26">
        <f>IF(A29="","",IF(E29="Hora","Cobre a hora entre a mínima e a alvo; a faixa é o total esperado",IF(E29="Êxito","Percentual que, na chance esperada, fique dentro da faixa",IF(E29="Misto","Entrada perto do mínimo; o êxito leva ao máximo","Caso simples perto do mínimo; complexo perto do máximo"))))</f>
        <v/>
      </c>
    </row>
    <row r="30">
      <c r="A30" s="22" t="inlineStr">
        <is>
          <t>Família</t>
        </is>
      </c>
      <c r="B30" s="22" t="inlineStr">
        <is>
          <t>Contrato ou documento</t>
        </is>
      </c>
      <c r="C30" s="23" t="n">
        <v>6</v>
      </c>
      <c r="D30" s="23" t="n">
        <v>15</v>
      </c>
      <c r="E30" s="24" t="inlineStr">
        <is>
          <t>Fixo</t>
        </is>
      </c>
      <c r="F30" s="25">
        <f>IF(OR(A30="",C30=""),"",C30*Config!$B$12)</f>
        <v/>
      </c>
      <c r="G30" s="25">
        <f>IF(OR(A30="",D30=""),"",D30*Config!$B$13)</f>
        <v/>
      </c>
      <c r="H30" s="25">
        <f>IF(OR(F30="",G30=""),"",(F30+G30)/2)</f>
        <v/>
      </c>
      <c r="I30" s="26">
        <f>IF(A30="","",IF(E30="Hora","Cobre a hora entre a mínima e a alvo; a faixa é o total esperado",IF(E30="Êxito","Percentual que, na chance esperada, fique dentro da faixa",IF(E30="Misto","Entrada perto do mínimo; o êxito leva ao máximo","Caso simples perto do mínimo; complexo perto do máximo"))))</f>
        <v/>
      </c>
    </row>
    <row r="31">
      <c r="A31" s="22" t="inlineStr">
        <is>
          <t>Família</t>
        </is>
      </c>
      <c r="B31" s="22" t="inlineStr">
        <is>
          <t>Processo completo</t>
        </is>
      </c>
      <c r="C31" s="23" t="n">
        <v>30</v>
      </c>
      <c r="D31" s="23" t="n">
        <v>70</v>
      </c>
      <c r="E31" s="24" t="inlineStr">
        <is>
          <t>Fixo</t>
        </is>
      </c>
      <c r="F31" s="25">
        <f>IF(OR(A31="",C31=""),"",C31*Config!$B$12)</f>
        <v/>
      </c>
      <c r="G31" s="25">
        <f>IF(OR(A31="",D31=""),"",D31*Config!$B$13)</f>
        <v/>
      </c>
      <c r="H31" s="25">
        <f>IF(OR(F31="",G31=""),"",(F31+G31)/2)</f>
        <v/>
      </c>
      <c r="I31" s="26">
        <f>IF(A31="","",IF(E31="Hora","Cobre a hora entre a mínima e a alvo; a faixa é o total esperado",IF(E31="Êxito","Percentual que, na chance esperada, fique dentro da faixa",IF(E31="Misto","Entrada perto do mínimo; o êxito leva ao máximo","Caso simples perto do mínimo; complexo perto do máximo"))))</f>
        <v/>
      </c>
    </row>
    <row r="32">
      <c r="A32" s="22" t="inlineStr">
        <is>
          <t>Família</t>
        </is>
      </c>
      <c r="B32" s="22" t="inlineStr">
        <is>
          <t>Recurso</t>
        </is>
      </c>
      <c r="C32" s="23" t="n">
        <v>15</v>
      </c>
      <c r="D32" s="23" t="n">
        <v>35</v>
      </c>
      <c r="E32" s="24" t="inlineStr">
        <is>
          <t>Fixo</t>
        </is>
      </c>
      <c r="F32" s="25">
        <f>IF(OR(A32="",C32=""),"",C32*Config!$B$12)</f>
        <v/>
      </c>
      <c r="G32" s="25">
        <f>IF(OR(A32="",D32=""),"",D32*Config!$B$13)</f>
        <v/>
      </c>
      <c r="H32" s="25">
        <f>IF(OR(F32="",G32=""),"",(F32+G32)/2)</f>
        <v/>
      </c>
      <c r="I32" s="26">
        <f>IF(A32="","",IF(E32="Hora","Cobre a hora entre a mínima e a alvo; a faixa é o total esperado",IF(E32="Êxito","Percentual que, na chance esperada, fique dentro da faixa",IF(E32="Misto","Entrada perto do mínimo; o êxito leva ao máximo","Caso simples perto do mínimo; complexo perto do máximo"))))</f>
        <v/>
      </c>
    </row>
    <row r="33">
      <c r="A33" s="22" t="inlineStr">
        <is>
          <t>Família</t>
        </is>
      </c>
      <c r="B33" s="22" t="inlineStr">
        <is>
          <t>Acordo e negociação</t>
        </is>
      </c>
      <c r="C33" s="23" t="n">
        <v>8</v>
      </c>
      <c r="D33" s="23" t="n">
        <v>25</v>
      </c>
      <c r="E33" s="24" t="inlineStr">
        <is>
          <t>Misto</t>
        </is>
      </c>
      <c r="F33" s="25">
        <f>IF(OR(A33="",C33=""),"",C33*Config!$B$12)</f>
        <v/>
      </c>
      <c r="G33" s="25">
        <f>IF(OR(A33="",D33=""),"",D33*Config!$B$13)</f>
        <v/>
      </c>
      <c r="H33" s="25">
        <f>IF(OR(F33="",G33=""),"",(F33+G33)/2)</f>
        <v/>
      </c>
      <c r="I33" s="26">
        <f>IF(A33="","",IF(E33="Hora","Cobre a hora entre a mínima e a alvo; a faixa é o total esperado",IF(E33="Êxito","Percentual que, na chance esperada, fique dentro da faixa",IF(E33="Misto","Entrada perto do mínimo; o êxito leva ao máximo","Caso simples perto do mínimo; complexo perto do máximo"))))</f>
        <v/>
      </c>
    </row>
    <row r="34">
      <c r="A34" s="22" t="n"/>
      <c r="B34" s="22" t="n"/>
      <c r="C34" s="23" t="n"/>
      <c r="D34" s="23" t="n"/>
      <c r="E34" s="24" t="n"/>
      <c r="F34" s="25">
        <f>IF(OR(A34="",C34=""),"",C34*Config!$B$12)</f>
        <v/>
      </c>
      <c r="G34" s="25">
        <f>IF(OR(A34="",D34=""),"",D34*Config!$B$13)</f>
        <v/>
      </c>
      <c r="H34" s="25">
        <f>IF(OR(F34="",G34=""),"",(F34+G34)/2)</f>
        <v/>
      </c>
      <c r="I34" s="26">
        <f>IF(A34="","",IF(E34="Hora","Cobre a hora entre a mínima e a alvo; a faixa é o total esperado",IF(E34="Êxito","Percentual que, na chance esperada, fique dentro da faixa",IF(E34="Misto","Entrada perto do mínimo; o êxito leva ao máximo","Caso simples perto do mínimo; complexo perto do máximo"))))</f>
        <v/>
      </c>
    </row>
    <row r="35">
      <c r="A35" s="22" t="n"/>
      <c r="B35" s="22" t="n"/>
      <c r="C35" s="23" t="n"/>
      <c r="D35" s="23" t="n"/>
      <c r="E35" s="24" t="n"/>
      <c r="F35" s="25">
        <f>IF(OR(A35="",C35=""),"",C35*Config!$B$12)</f>
        <v/>
      </c>
      <c r="G35" s="25">
        <f>IF(OR(A35="",D35=""),"",D35*Config!$B$13)</f>
        <v/>
      </c>
      <c r="H35" s="25">
        <f>IF(OR(F35="",G35=""),"",(F35+G35)/2)</f>
        <v/>
      </c>
      <c r="I35" s="26">
        <f>IF(A35="","",IF(E35="Hora","Cobre a hora entre a mínima e a alvo; a faixa é o total esperado",IF(E35="Êxito","Percentual que, na chance esperada, fique dentro da faixa",IF(E35="Misto","Entrada perto do mínimo; o êxito leva ao máximo","Caso simples perto do mínimo; complexo perto do máximo"))))</f>
        <v/>
      </c>
    </row>
    <row r="36">
      <c r="A36" s="22" t="n"/>
      <c r="B36" s="22" t="n"/>
      <c r="C36" s="23" t="n"/>
      <c r="D36" s="23" t="n"/>
      <c r="E36" s="24" t="n"/>
      <c r="F36" s="25">
        <f>IF(OR(A36="",C36=""),"",C36*Config!$B$12)</f>
        <v/>
      </c>
      <c r="G36" s="25">
        <f>IF(OR(A36="",D36=""),"",D36*Config!$B$13)</f>
        <v/>
      </c>
      <c r="H36" s="25">
        <f>IF(OR(F36="",G36=""),"",(F36+G36)/2)</f>
        <v/>
      </c>
      <c r="I36" s="26">
        <f>IF(A36="","",IF(E36="Hora","Cobre a hora entre a mínima e a alvo; a faixa é o total esperado",IF(E36="Êxito","Percentual que, na chance esperada, fique dentro da faixa",IF(E36="Misto","Entrada perto do mínimo; o êxito leva ao máximo","Caso simples perto do mínimo; complexo perto do máximo"))))</f>
        <v/>
      </c>
    </row>
    <row r="37">
      <c r="A37" s="22" t="n"/>
      <c r="B37" s="22" t="n"/>
      <c r="C37" s="23" t="n"/>
      <c r="D37" s="23" t="n"/>
      <c r="E37" s="24" t="n"/>
      <c r="F37" s="25">
        <f>IF(OR(A37="",C37=""),"",C37*Config!$B$12)</f>
        <v/>
      </c>
      <c r="G37" s="25">
        <f>IF(OR(A37="",D37=""),"",D37*Config!$B$13)</f>
        <v/>
      </c>
      <c r="H37" s="25">
        <f>IF(OR(F37="",G37=""),"",(F37+G37)/2)</f>
        <v/>
      </c>
      <c r="I37" s="26">
        <f>IF(A37="","",IF(E37="Hora","Cobre a hora entre a mínima e a alvo; a faixa é o total esperado",IF(E37="Êxito","Percentual que, na chance esperada, fique dentro da faixa",IF(E37="Misto","Entrada perto do mínimo; o êxito leva ao máximo","Caso simples perto do mínimo; complexo perto do máximo"))))</f>
        <v/>
      </c>
    </row>
    <row r="38">
      <c r="A38" s="22" t="n"/>
      <c r="B38" s="22" t="n"/>
      <c r="C38" s="23" t="n"/>
      <c r="D38" s="23" t="n"/>
      <c r="E38" s="24" t="n"/>
      <c r="F38" s="25">
        <f>IF(OR(A38="",C38=""),"",C38*Config!$B$12)</f>
        <v/>
      </c>
      <c r="G38" s="25">
        <f>IF(OR(A38="",D38=""),"",D38*Config!$B$13)</f>
        <v/>
      </c>
      <c r="H38" s="25">
        <f>IF(OR(F38="",G38=""),"",(F38+G38)/2)</f>
        <v/>
      </c>
      <c r="I38" s="26">
        <f>IF(A38="","",IF(E38="Hora","Cobre a hora entre a mínima e a alvo; a faixa é o total esperado",IF(E38="Êxito","Percentual que, na chance esperada, fique dentro da faixa",IF(E38="Misto","Entrada perto do mínimo; o êxito leva ao máximo","Caso simples perto do mínimo; complexo perto do máximo"))))</f>
        <v/>
      </c>
    </row>
    <row r="39">
      <c r="A39" s="22" t="n"/>
      <c r="B39" s="22" t="n"/>
      <c r="C39" s="23" t="n"/>
      <c r="D39" s="23" t="n"/>
      <c r="E39" s="24" t="n"/>
      <c r="F39" s="25">
        <f>IF(OR(A39="",C39=""),"",C39*Config!$B$12)</f>
        <v/>
      </c>
      <c r="G39" s="25">
        <f>IF(OR(A39="",D39=""),"",D39*Config!$B$13)</f>
        <v/>
      </c>
      <c r="H39" s="25">
        <f>IF(OR(F39="",G39=""),"",(F39+G39)/2)</f>
        <v/>
      </c>
      <c r="I39" s="26">
        <f>IF(A39="","",IF(E39="Hora","Cobre a hora entre a mínima e a alvo; a faixa é o total esperado",IF(E39="Êxito","Percentual que, na chance esperada, fique dentro da faixa",IF(E39="Misto","Entrada perto do mínimo; o êxito leva ao máximo","Caso simples perto do mínimo; complexo perto do máximo"))))</f>
        <v/>
      </c>
    </row>
    <row r="40">
      <c r="A40" s="22" t="n"/>
      <c r="B40" s="22" t="n"/>
      <c r="C40" s="23" t="n"/>
      <c r="D40" s="23" t="n"/>
      <c r="E40" s="24" t="n"/>
      <c r="F40" s="25">
        <f>IF(OR(A40="",C40=""),"",C40*Config!$B$12)</f>
        <v/>
      </c>
      <c r="G40" s="25">
        <f>IF(OR(A40="",D40=""),"",D40*Config!$B$13)</f>
        <v/>
      </c>
      <c r="H40" s="25">
        <f>IF(OR(F40="",G40=""),"",(F40+G40)/2)</f>
        <v/>
      </c>
      <c r="I40" s="26">
        <f>IF(A40="","",IF(E40="Hora","Cobre a hora entre a mínima e a alvo; a faixa é o total esperado",IF(E40="Êxito","Percentual que, na chance esperada, fique dentro da faixa",IF(E40="Misto","Entrada perto do mínimo; o êxito leva ao máximo","Caso simples perto do mínimo; complexo perto do máximo"))))</f>
        <v/>
      </c>
    </row>
    <row r="41">
      <c r="A41" s="22" t="n"/>
      <c r="B41" s="22" t="n"/>
      <c r="C41" s="23" t="n"/>
      <c r="D41" s="23" t="n"/>
      <c r="E41" s="24" t="n"/>
      <c r="F41" s="25">
        <f>IF(OR(A41="",C41=""),"",C41*Config!$B$12)</f>
        <v/>
      </c>
      <c r="G41" s="25">
        <f>IF(OR(A41="",D41=""),"",D41*Config!$B$13)</f>
        <v/>
      </c>
      <c r="H41" s="25">
        <f>IF(OR(F41="",G41=""),"",(F41+G41)/2)</f>
        <v/>
      </c>
      <c r="I41" s="26">
        <f>IF(A41="","",IF(E41="Hora","Cobre a hora entre a mínima e a alvo; a faixa é o total esperado",IF(E41="Êxito","Percentual que, na chance esperada, fique dentro da faixa",IF(E41="Misto","Entrada perto do mínimo; o êxito leva ao máximo","Caso simples perto do mínimo; complexo perto do máximo"))))</f>
        <v/>
      </c>
    </row>
    <row r="42">
      <c r="A42" s="22" t="n"/>
      <c r="B42" s="22" t="n"/>
      <c r="C42" s="23" t="n"/>
      <c r="D42" s="23" t="n"/>
      <c r="E42" s="24" t="n"/>
      <c r="F42" s="25">
        <f>IF(OR(A42="",C42=""),"",C42*Config!$B$12)</f>
        <v/>
      </c>
      <c r="G42" s="25">
        <f>IF(OR(A42="",D42=""),"",D42*Config!$B$13)</f>
        <v/>
      </c>
      <c r="H42" s="25">
        <f>IF(OR(F42="",G42=""),"",(F42+G42)/2)</f>
        <v/>
      </c>
      <c r="I42" s="26">
        <f>IF(A42="","",IF(E42="Hora","Cobre a hora entre a mínima e a alvo; a faixa é o total esperado",IF(E42="Êxito","Percentual que, na chance esperada, fique dentro da faixa",IF(E42="Misto","Entrada perto do mínimo; o êxito leva ao máximo","Caso simples perto do mínimo; complexo perto do máximo"))))</f>
        <v/>
      </c>
    </row>
    <row r="43">
      <c r="A43" s="22" t="n"/>
      <c r="B43" s="22" t="n"/>
      <c r="C43" s="23" t="n"/>
      <c r="D43" s="23" t="n"/>
      <c r="E43" s="24" t="n"/>
      <c r="F43" s="25">
        <f>IF(OR(A43="",C43=""),"",C43*Config!$B$12)</f>
        <v/>
      </c>
      <c r="G43" s="25">
        <f>IF(OR(A43="",D43=""),"",D43*Config!$B$13)</f>
        <v/>
      </c>
      <c r="H43" s="25">
        <f>IF(OR(F43="",G43=""),"",(F43+G43)/2)</f>
        <v/>
      </c>
      <c r="I43" s="26">
        <f>IF(A43="","",IF(E43="Hora","Cobre a hora entre a mínima e a alvo; a faixa é o total esperado",IF(E43="Êxito","Percentual que, na chance esperada, fique dentro da faixa",IF(E43="Misto","Entrada perto do mínimo; o êxito leva ao máximo","Caso simples perto do mínimo; complexo perto do máximo"))))</f>
        <v/>
      </c>
    </row>
    <row r="44">
      <c r="A44" s="22" t="n"/>
      <c r="B44" s="22" t="n"/>
      <c r="C44" s="23" t="n"/>
      <c r="D44" s="23" t="n"/>
      <c r="E44" s="24" t="n"/>
      <c r="F44" s="25">
        <f>IF(OR(A44="",C44=""),"",C44*Config!$B$12)</f>
        <v/>
      </c>
      <c r="G44" s="25">
        <f>IF(OR(A44="",D44=""),"",D44*Config!$B$13)</f>
        <v/>
      </c>
      <c r="H44" s="25">
        <f>IF(OR(F44="",G44=""),"",(F44+G44)/2)</f>
        <v/>
      </c>
      <c r="I44" s="26">
        <f>IF(A44="","",IF(E44="Hora","Cobre a hora entre a mínima e a alvo; a faixa é o total esperado",IF(E44="Êxito","Percentual que, na chance esperada, fique dentro da faixa",IF(E44="Misto","Entrada perto do mínimo; o êxito leva ao máximo","Caso simples perto do mínimo; complexo perto do máximo"))))</f>
        <v/>
      </c>
    </row>
    <row r="45">
      <c r="A45" s="22" t="n"/>
      <c r="B45" s="22" t="n"/>
      <c r="C45" s="23" t="n"/>
      <c r="D45" s="23" t="n"/>
      <c r="E45" s="24" t="n"/>
      <c r="F45" s="25">
        <f>IF(OR(A45="",C45=""),"",C45*Config!$B$12)</f>
        <v/>
      </c>
      <c r="G45" s="25">
        <f>IF(OR(A45="",D45=""),"",D45*Config!$B$13)</f>
        <v/>
      </c>
      <c r="H45" s="25">
        <f>IF(OR(F45="",G45=""),"",(F45+G45)/2)</f>
        <v/>
      </c>
      <c r="I45" s="26">
        <f>IF(A45="","",IF(E45="Hora","Cobre a hora entre a mínima e a alvo; a faixa é o total esperado",IF(E45="Êxito","Percentual que, na chance esperada, fique dentro da faixa",IF(E45="Misto","Entrada perto do mínimo; o êxito leva ao máximo","Caso simples perto do mínimo; complexo perto do máximo"))))</f>
        <v/>
      </c>
    </row>
    <row r="46">
      <c r="A46" s="22" t="n"/>
      <c r="B46" s="22" t="n"/>
      <c r="C46" s="23" t="n"/>
      <c r="D46" s="23" t="n"/>
      <c r="E46" s="24" t="n"/>
      <c r="F46" s="25">
        <f>IF(OR(A46="",C46=""),"",C46*Config!$B$12)</f>
        <v/>
      </c>
      <c r="G46" s="25">
        <f>IF(OR(A46="",D46=""),"",D46*Config!$B$13)</f>
        <v/>
      </c>
      <c r="H46" s="25">
        <f>IF(OR(F46="",G46=""),"",(F46+G46)/2)</f>
        <v/>
      </c>
      <c r="I46" s="26">
        <f>IF(A46="","",IF(E46="Hora","Cobre a hora entre a mínima e a alvo; a faixa é o total esperado",IF(E46="Êxito","Percentual que, na chance esperada, fique dentro da faixa",IF(E46="Misto","Entrada perto do mínimo; o êxito leva ao máximo","Caso simples perto do mínimo; complexo perto do máximo"))))</f>
        <v/>
      </c>
    </row>
    <row r="47">
      <c r="A47" s="22" t="n"/>
      <c r="B47" s="22" t="n"/>
      <c r="C47" s="23" t="n"/>
      <c r="D47" s="23" t="n"/>
      <c r="E47" s="24" t="n"/>
      <c r="F47" s="25">
        <f>IF(OR(A47="",C47=""),"",C47*Config!$B$12)</f>
        <v/>
      </c>
      <c r="G47" s="25">
        <f>IF(OR(A47="",D47=""),"",D47*Config!$B$13)</f>
        <v/>
      </c>
      <c r="H47" s="25">
        <f>IF(OR(F47="",G47=""),"",(F47+G47)/2)</f>
        <v/>
      </c>
      <c r="I47" s="26">
        <f>IF(A47="","",IF(E47="Hora","Cobre a hora entre a mínima e a alvo; a faixa é o total esperado",IF(E47="Êxito","Percentual que, na chance esperada, fique dentro da faixa",IF(E47="Misto","Entrada perto do mínimo; o êxito leva ao máximo","Caso simples perto do mínimo; complexo perto do máximo"))))</f>
        <v/>
      </c>
    </row>
    <row r="48">
      <c r="A48" s="22" t="n"/>
      <c r="B48" s="22" t="n"/>
      <c r="C48" s="23" t="n"/>
      <c r="D48" s="23" t="n"/>
      <c r="E48" s="24" t="n"/>
      <c r="F48" s="25">
        <f>IF(OR(A48="",C48=""),"",C48*Config!$B$12)</f>
        <v/>
      </c>
      <c r="G48" s="25">
        <f>IF(OR(A48="",D48=""),"",D48*Config!$B$13)</f>
        <v/>
      </c>
      <c r="H48" s="25">
        <f>IF(OR(F48="",G48=""),"",(F48+G48)/2)</f>
        <v/>
      </c>
      <c r="I48" s="26">
        <f>IF(A48="","",IF(E48="Hora","Cobre a hora entre a mínima e a alvo; a faixa é o total esperado",IF(E48="Êxito","Percentual que, na chance esperada, fique dentro da faixa",IF(E48="Misto","Entrada perto do mínimo; o êxito leva ao máximo","Caso simples perto do mínimo; complexo perto do máximo"))))</f>
        <v/>
      </c>
    </row>
    <row r="49">
      <c r="A49" s="27" t="inlineStr">
        <is>
          <t>Mínimo = horas de × hora mínima. Máximo = horas até × hora alvo (as duas já incluem a folga de horas de Config). Abaixo do mínimo, o caso paga o custo mas não a margem que o escritório precisa.</t>
        </is>
      </c>
    </row>
    <row r="52">
      <c r="A52" s="20" t="inlineStr">
        <is>
          <t>O que cobramos hoje, por área</t>
        </is>
      </c>
    </row>
    <row r="53" ht="32" customHeight="1">
      <c r="A53" s="21" t="inlineStr">
        <is>
          <t>Área</t>
        </is>
      </c>
      <c r="B53" s="21" t="inlineStr">
        <is>
          <t>Casos</t>
        </is>
      </c>
      <c r="C53" s="21" t="inlineStr">
        <is>
          <t>Valor contratado (R$)</t>
        </is>
      </c>
      <c r="D53" s="21" t="inlineStr">
        <is>
          <t>Horas estimadas</t>
        </is>
      </c>
      <c r="E53" s="21" t="inlineStr">
        <is>
          <t>Valor por hora (R$)</t>
        </is>
      </c>
      <c r="F53" s="21" t="inlineStr">
        <is>
          <t>Contra a hora mínima</t>
        </is>
      </c>
      <c r="G53" s="21" t="inlineStr">
        <is>
          <t>Abaixo do mínimo</t>
        </is>
      </c>
      <c r="H53" s="21" t="inlineStr">
        <is>
          <t>Falta até o mínimo (R$)</t>
        </is>
      </c>
    </row>
    <row r="54">
      <c r="A54" s="28">
        <f>IF(Config!$E$16="","",Config!$E$16)</f>
        <v/>
      </c>
      <c r="B54" s="29">
        <f>IF(Config!$E$16="","",COUNTIFS('Nossos casos'!$C$5:$C$204,Config!$E$16,'Nossos casos'!$J$5:$J$204,"&lt;&gt;"))</f>
        <v/>
      </c>
      <c r="C54" s="25">
        <f>IF(Config!$E$16="","",SUMIFS('Nossos casos'!$F$5:$F$204,'Nossos casos'!$C$5:$C$204,Config!$E$16))</f>
        <v/>
      </c>
      <c r="D54" s="29">
        <f>IF(Config!$E$16="","",SUMIFS('Nossos casos'!$G$5:$G$204,'Nossos casos'!$C$5:$C$204,Config!$E$16))</f>
        <v/>
      </c>
      <c r="E54" s="30">
        <f>IF(OR(Config!$E$16="",D54=0),"",C54/D54)</f>
        <v/>
      </c>
      <c r="F54" s="31">
        <f>IF(E54="","",E54/Config!$B$12-1)</f>
        <v/>
      </c>
      <c r="G54" s="29">
        <f>IF(Config!$E$16="","",COUNTIFS('Nossos casos'!$C$5:$C$204,Config!$E$16,'Nossos casos'!$J$5:$J$204,"Abaixo do mínimo"))</f>
        <v/>
      </c>
      <c r="H54" s="25">
        <f>IF(Config!$E$16="","",SUMIFS('Nossos casos'!$K$5:$K$204,'Nossos casos'!$C$5:$C$204,Config!$E$16))</f>
        <v/>
      </c>
    </row>
    <row r="55">
      <c r="A55" s="28">
        <f>IF(Config!$E$17="","",Config!$E$17)</f>
        <v/>
      </c>
      <c r="B55" s="29">
        <f>IF(Config!$E$17="","",COUNTIFS('Nossos casos'!$C$5:$C$204,Config!$E$17,'Nossos casos'!$J$5:$J$204,"&lt;&gt;"))</f>
        <v/>
      </c>
      <c r="C55" s="25">
        <f>IF(Config!$E$17="","",SUMIFS('Nossos casos'!$F$5:$F$204,'Nossos casos'!$C$5:$C$204,Config!$E$17))</f>
        <v/>
      </c>
      <c r="D55" s="29">
        <f>IF(Config!$E$17="","",SUMIFS('Nossos casos'!$G$5:$G$204,'Nossos casos'!$C$5:$C$204,Config!$E$17))</f>
        <v/>
      </c>
      <c r="E55" s="30">
        <f>IF(OR(Config!$E$17="",D55=0),"",C55/D55)</f>
        <v/>
      </c>
      <c r="F55" s="31">
        <f>IF(E55="","",E55/Config!$B$12-1)</f>
        <v/>
      </c>
      <c r="G55" s="29">
        <f>IF(Config!$E$17="","",COUNTIFS('Nossos casos'!$C$5:$C$204,Config!$E$17,'Nossos casos'!$J$5:$J$204,"Abaixo do mínimo"))</f>
        <v/>
      </c>
      <c r="H55" s="25">
        <f>IF(Config!$E$17="","",SUMIFS('Nossos casos'!$K$5:$K$204,'Nossos casos'!$C$5:$C$204,Config!$E$17))</f>
        <v/>
      </c>
    </row>
    <row r="56">
      <c r="A56" s="28">
        <f>IF(Config!$E$18="","",Config!$E$18)</f>
        <v/>
      </c>
      <c r="B56" s="29">
        <f>IF(Config!$E$18="","",COUNTIFS('Nossos casos'!$C$5:$C$204,Config!$E$18,'Nossos casos'!$J$5:$J$204,"&lt;&gt;"))</f>
        <v/>
      </c>
      <c r="C56" s="25">
        <f>IF(Config!$E$18="","",SUMIFS('Nossos casos'!$F$5:$F$204,'Nossos casos'!$C$5:$C$204,Config!$E$18))</f>
        <v/>
      </c>
      <c r="D56" s="29">
        <f>IF(Config!$E$18="","",SUMIFS('Nossos casos'!$G$5:$G$204,'Nossos casos'!$C$5:$C$204,Config!$E$18))</f>
        <v/>
      </c>
      <c r="E56" s="30">
        <f>IF(OR(Config!$E$18="",D56=0),"",C56/D56)</f>
        <v/>
      </c>
      <c r="F56" s="31">
        <f>IF(E56="","",E56/Config!$B$12-1)</f>
        <v/>
      </c>
      <c r="G56" s="29">
        <f>IF(Config!$E$18="","",COUNTIFS('Nossos casos'!$C$5:$C$204,Config!$E$18,'Nossos casos'!$J$5:$J$204,"Abaixo do mínimo"))</f>
        <v/>
      </c>
      <c r="H56" s="25">
        <f>IF(Config!$E$18="","",SUMIFS('Nossos casos'!$K$5:$K$204,'Nossos casos'!$C$5:$C$204,Config!$E$18))</f>
        <v/>
      </c>
    </row>
    <row r="57">
      <c r="A57" s="28">
        <f>IF(Config!$E$19="","",Config!$E$19)</f>
        <v/>
      </c>
      <c r="B57" s="29">
        <f>IF(Config!$E$19="","",COUNTIFS('Nossos casos'!$C$5:$C$204,Config!$E$19,'Nossos casos'!$J$5:$J$204,"&lt;&gt;"))</f>
        <v/>
      </c>
      <c r="C57" s="25">
        <f>IF(Config!$E$19="","",SUMIFS('Nossos casos'!$F$5:$F$204,'Nossos casos'!$C$5:$C$204,Config!$E$19))</f>
        <v/>
      </c>
      <c r="D57" s="29">
        <f>IF(Config!$E$19="","",SUMIFS('Nossos casos'!$G$5:$G$204,'Nossos casos'!$C$5:$C$204,Config!$E$19))</f>
        <v/>
      </c>
      <c r="E57" s="30">
        <f>IF(OR(Config!$E$19="",D57=0),"",C57/D57)</f>
        <v/>
      </c>
      <c r="F57" s="31">
        <f>IF(E57="","",E57/Config!$B$12-1)</f>
        <v/>
      </c>
      <c r="G57" s="29">
        <f>IF(Config!$E$19="","",COUNTIFS('Nossos casos'!$C$5:$C$204,Config!$E$19,'Nossos casos'!$J$5:$J$204,"Abaixo do mínimo"))</f>
        <v/>
      </c>
      <c r="H57" s="25">
        <f>IF(Config!$E$19="","",SUMIFS('Nossos casos'!$K$5:$K$204,'Nossos casos'!$C$5:$C$204,Config!$E$19))</f>
        <v/>
      </c>
    </row>
    <row r="58">
      <c r="A58" s="28">
        <f>IF(Config!$E$20="","",Config!$E$20)</f>
        <v/>
      </c>
      <c r="B58" s="29">
        <f>IF(Config!$E$20="","",COUNTIFS('Nossos casos'!$C$5:$C$204,Config!$E$20,'Nossos casos'!$J$5:$J$204,"&lt;&gt;"))</f>
        <v/>
      </c>
      <c r="C58" s="25">
        <f>IF(Config!$E$20="","",SUMIFS('Nossos casos'!$F$5:$F$204,'Nossos casos'!$C$5:$C$204,Config!$E$20))</f>
        <v/>
      </c>
      <c r="D58" s="29">
        <f>IF(Config!$E$20="","",SUMIFS('Nossos casos'!$G$5:$G$204,'Nossos casos'!$C$5:$C$204,Config!$E$20))</f>
        <v/>
      </c>
      <c r="E58" s="30">
        <f>IF(OR(Config!$E$20="",D58=0),"",C58/D58)</f>
        <v/>
      </c>
      <c r="F58" s="31">
        <f>IF(E58="","",E58/Config!$B$12-1)</f>
        <v/>
      </c>
      <c r="G58" s="29">
        <f>IF(Config!$E$20="","",COUNTIFS('Nossos casos'!$C$5:$C$204,Config!$E$20,'Nossos casos'!$J$5:$J$204,"Abaixo do mínimo"))</f>
        <v/>
      </c>
      <c r="H58" s="25">
        <f>IF(Config!$E$20="","",SUMIFS('Nossos casos'!$K$5:$K$204,'Nossos casos'!$C$5:$C$204,Config!$E$20))</f>
        <v/>
      </c>
    </row>
    <row r="59">
      <c r="A59" s="28">
        <f>IF(Config!$E$21="","",Config!$E$21)</f>
        <v/>
      </c>
      <c r="B59" s="29">
        <f>IF(Config!$E$21="","",COUNTIFS('Nossos casos'!$C$5:$C$204,Config!$E$21,'Nossos casos'!$J$5:$J$204,"&lt;&gt;"))</f>
        <v/>
      </c>
      <c r="C59" s="25">
        <f>IF(Config!$E$21="","",SUMIFS('Nossos casos'!$F$5:$F$204,'Nossos casos'!$C$5:$C$204,Config!$E$21))</f>
        <v/>
      </c>
      <c r="D59" s="29">
        <f>IF(Config!$E$21="","",SUMIFS('Nossos casos'!$G$5:$G$204,'Nossos casos'!$C$5:$C$204,Config!$E$21))</f>
        <v/>
      </c>
      <c r="E59" s="30">
        <f>IF(OR(Config!$E$21="",D59=0),"",C59/D59)</f>
        <v/>
      </c>
      <c r="F59" s="31">
        <f>IF(E59="","",E59/Config!$B$12-1)</f>
        <v/>
      </c>
      <c r="G59" s="29">
        <f>IF(Config!$E$21="","",COUNTIFS('Nossos casos'!$C$5:$C$204,Config!$E$21,'Nossos casos'!$J$5:$J$204,"Abaixo do mínimo"))</f>
        <v/>
      </c>
      <c r="H59" s="25">
        <f>IF(Config!$E$21="","",SUMIFS('Nossos casos'!$K$5:$K$204,'Nossos casos'!$C$5:$C$204,Config!$E$21))</f>
        <v/>
      </c>
    </row>
    <row r="60">
      <c r="A60" s="28">
        <f>IF(Config!$E$22="","",Config!$E$22)</f>
        <v/>
      </c>
      <c r="B60" s="29">
        <f>IF(Config!$E$22="","",COUNTIFS('Nossos casos'!$C$5:$C$204,Config!$E$22,'Nossos casos'!$J$5:$J$204,"&lt;&gt;"))</f>
        <v/>
      </c>
      <c r="C60" s="25">
        <f>IF(Config!$E$22="","",SUMIFS('Nossos casos'!$F$5:$F$204,'Nossos casos'!$C$5:$C$204,Config!$E$22))</f>
        <v/>
      </c>
      <c r="D60" s="29">
        <f>IF(Config!$E$22="","",SUMIFS('Nossos casos'!$G$5:$G$204,'Nossos casos'!$C$5:$C$204,Config!$E$22))</f>
        <v/>
      </c>
      <c r="E60" s="30">
        <f>IF(OR(Config!$E$22="",D60=0),"",C60/D60)</f>
        <v/>
      </c>
      <c r="F60" s="31">
        <f>IF(E60="","",E60/Config!$B$12-1)</f>
        <v/>
      </c>
      <c r="G60" s="29">
        <f>IF(Config!$E$22="","",COUNTIFS('Nossos casos'!$C$5:$C$204,Config!$E$22,'Nossos casos'!$J$5:$J$204,"Abaixo do mínimo"))</f>
        <v/>
      </c>
      <c r="H60" s="25">
        <f>IF(Config!$E$22="","",SUMIFS('Nossos casos'!$K$5:$K$204,'Nossos casos'!$C$5:$C$204,Config!$E$22))</f>
        <v/>
      </c>
    </row>
    <row r="61">
      <c r="A61" s="28">
        <f>IF(Config!$E$23="","",Config!$E$23)</f>
        <v/>
      </c>
      <c r="B61" s="29">
        <f>IF(Config!$E$23="","",COUNTIFS('Nossos casos'!$C$5:$C$204,Config!$E$23,'Nossos casos'!$J$5:$J$204,"&lt;&gt;"))</f>
        <v/>
      </c>
      <c r="C61" s="25">
        <f>IF(Config!$E$23="","",SUMIFS('Nossos casos'!$F$5:$F$204,'Nossos casos'!$C$5:$C$204,Config!$E$23))</f>
        <v/>
      </c>
      <c r="D61" s="29">
        <f>IF(Config!$E$23="","",SUMIFS('Nossos casos'!$G$5:$G$204,'Nossos casos'!$C$5:$C$204,Config!$E$23))</f>
        <v/>
      </c>
      <c r="E61" s="30">
        <f>IF(OR(Config!$E$23="",D61=0),"",C61/D61)</f>
        <v/>
      </c>
      <c r="F61" s="31">
        <f>IF(E61="","",E61/Config!$B$12-1)</f>
        <v/>
      </c>
      <c r="G61" s="29">
        <f>IF(Config!$E$23="","",COUNTIFS('Nossos casos'!$C$5:$C$204,Config!$E$23,'Nossos casos'!$J$5:$J$204,"Abaixo do mínimo"))</f>
        <v/>
      </c>
      <c r="H61" s="25">
        <f>IF(Config!$E$23="","",SUMIFS('Nossos casos'!$K$5:$K$204,'Nossos casos'!$C$5:$C$204,Config!$E$23))</f>
        <v/>
      </c>
    </row>
    <row r="62">
      <c r="A62" s="28">
        <f>IF(Config!$E$24="","",Config!$E$24)</f>
        <v/>
      </c>
      <c r="B62" s="29">
        <f>IF(Config!$E$24="","",COUNTIFS('Nossos casos'!$C$5:$C$204,Config!$E$24,'Nossos casos'!$J$5:$J$204,"&lt;&gt;"))</f>
        <v/>
      </c>
      <c r="C62" s="25">
        <f>IF(Config!$E$24="","",SUMIFS('Nossos casos'!$F$5:$F$204,'Nossos casos'!$C$5:$C$204,Config!$E$24))</f>
        <v/>
      </c>
      <c r="D62" s="29">
        <f>IF(Config!$E$24="","",SUMIFS('Nossos casos'!$G$5:$G$204,'Nossos casos'!$C$5:$C$204,Config!$E$24))</f>
        <v/>
      </c>
      <c r="E62" s="30">
        <f>IF(OR(Config!$E$24="",D62=0),"",C62/D62)</f>
        <v/>
      </c>
      <c r="F62" s="31">
        <f>IF(E62="","",E62/Config!$B$12-1)</f>
        <v/>
      </c>
      <c r="G62" s="29">
        <f>IF(Config!$E$24="","",COUNTIFS('Nossos casos'!$C$5:$C$204,Config!$E$24,'Nossos casos'!$J$5:$J$204,"Abaixo do mínimo"))</f>
        <v/>
      </c>
      <c r="H62" s="25">
        <f>IF(Config!$E$24="","",SUMIFS('Nossos casos'!$K$5:$K$204,'Nossos casos'!$C$5:$C$204,Config!$E$24))</f>
        <v/>
      </c>
    </row>
    <row r="63">
      <c r="A63" s="28">
        <f>IF(Config!$E$25="","",Config!$E$25)</f>
        <v/>
      </c>
      <c r="B63" s="29">
        <f>IF(Config!$E$25="","",COUNTIFS('Nossos casos'!$C$5:$C$204,Config!$E$25,'Nossos casos'!$J$5:$J$204,"&lt;&gt;"))</f>
        <v/>
      </c>
      <c r="C63" s="25">
        <f>IF(Config!$E$25="","",SUMIFS('Nossos casos'!$F$5:$F$204,'Nossos casos'!$C$5:$C$204,Config!$E$25))</f>
        <v/>
      </c>
      <c r="D63" s="29">
        <f>IF(Config!$E$25="","",SUMIFS('Nossos casos'!$G$5:$G$204,'Nossos casos'!$C$5:$C$204,Config!$E$25))</f>
        <v/>
      </c>
      <c r="E63" s="30">
        <f>IF(OR(Config!$E$25="",D63=0),"",C63/D63)</f>
        <v/>
      </c>
      <c r="F63" s="31">
        <f>IF(E63="","",E63/Config!$B$12-1)</f>
        <v/>
      </c>
      <c r="G63" s="29">
        <f>IF(Config!$E$25="","",COUNTIFS('Nossos casos'!$C$5:$C$204,Config!$E$25,'Nossos casos'!$J$5:$J$204,"Abaixo do mínimo"))</f>
        <v/>
      </c>
      <c r="H63" s="25">
        <f>IF(Config!$E$25="","",SUMIFS('Nossos casos'!$K$5:$K$204,'Nossos casos'!$C$5:$C$204,Config!$E$25))</f>
        <v/>
      </c>
    </row>
    <row r="64">
      <c r="A64" s="28">
        <f>IF(Config!$E$26="","",Config!$E$26)</f>
        <v/>
      </c>
      <c r="B64" s="29">
        <f>IF(Config!$E$26="","",COUNTIFS('Nossos casos'!$C$5:$C$204,Config!$E$26,'Nossos casos'!$J$5:$J$204,"&lt;&gt;"))</f>
        <v/>
      </c>
      <c r="C64" s="25">
        <f>IF(Config!$E$26="","",SUMIFS('Nossos casos'!$F$5:$F$204,'Nossos casos'!$C$5:$C$204,Config!$E$26))</f>
        <v/>
      </c>
      <c r="D64" s="29">
        <f>IF(Config!$E$26="","",SUMIFS('Nossos casos'!$G$5:$G$204,'Nossos casos'!$C$5:$C$204,Config!$E$26))</f>
        <v/>
      </c>
      <c r="E64" s="30">
        <f>IF(OR(Config!$E$26="",D64=0),"",C64/D64)</f>
        <v/>
      </c>
      <c r="F64" s="31">
        <f>IF(E64="","",E64/Config!$B$12-1)</f>
        <v/>
      </c>
      <c r="G64" s="29">
        <f>IF(Config!$E$26="","",COUNTIFS('Nossos casos'!$C$5:$C$204,Config!$E$26,'Nossos casos'!$J$5:$J$204,"Abaixo do mínimo"))</f>
        <v/>
      </c>
      <c r="H64" s="25">
        <f>IF(Config!$E$26="","",SUMIFS('Nossos casos'!$K$5:$K$204,'Nossos casos'!$C$5:$C$204,Config!$E$26))</f>
        <v/>
      </c>
    </row>
    <row r="65">
      <c r="A65" s="28">
        <f>IF(Config!$E$27="","",Config!$E$27)</f>
        <v/>
      </c>
      <c r="B65" s="29">
        <f>IF(Config!$E$27="","",COUNTIFS('Nossos casos'!$C$5:$C$204,Config!$E$27,'Nossos casos'!$J$5:$J$204,"&lt;&gt;"))</f>
        <v/>
      </c>
      <c r="C65" s="25">
        <f>IF(Config!$E$27="","",SUMIFS('Nossos casos'!$F$5:$F$204,'Nossos casos'!$C$5:$C$204,Config!$E$27))</f>
        <v/>
      </c>
      <c r="D65" s="29">
        <f>IF(Config!$E$27="","",SUMIFS('Nossos casos'!$G$5:$G$204,'Nossos casos'!$C$5:$C$204,Config!$E$27))</f>
        <v/>
      </c>
      <c r="E65" s="30">
        <f>IF(OR(Config!$E$27="",D65=0),"",C65/D65)</f>
        <v/>
      </c>
      <c r="F65" s="31">
        <f>IF(E65="","",E65/Config!$B$12-1)</f>
        <v/>
      </c>
      <c r="G65" s="29">
        <f>IF(Config!$E$27="","",COUNTIFS('Nossos casos'!$C$5:$C$204,Config!$E$27,'Nossos casos'!$J$5:$J$204,"Abaixo do mínimo"))</f>
        <v/>
      </c>
      <c r="H65" s="25">
        <f>IF(Config!$E$27="","",SUMIFS('Nossos casos'!$K$5:$K$204,'Nossos casos'!$C$5:$C$204,Config!$E$27))</f>
        <v/>
      </c>
    </row>
    <row r="66">
      <c r="A66" s="28">
        <f>IF(Config!$E$28="","",Config!$E$28)</f>
        <v/>
      </c>
      <c r="B66" s="29">
        <f>IF(Config!$E$28="","",COUNTIFS('Nossos casos'!$C$5:$C$204,Config!$E$28,'Nossos casos'!$J$5:$J$204,"&lt;&gt;"))</f>
        <v/>
      </c>
      <c r="C66" s="25">
        <f>IF(Config!$E$28="","",SUMIFS('Nossos casos'!$F$5:$F$204,'Nossos casos'!$C$5:$C$204,Config!$E$28))</f>
        <v/>
      </c>
      <c r="D66" s="29">
        <f>IF(Config!$E$28="","",SUMIFS('Nossos casos'!$G$5:$G$204,'Nossos casos'!$C$5:$C$204,Config!$E$28))</f>
        <v/>
      </c>
      <c r="E66" s="30">
        <f>IF(OR(Config!$E$28="",D66=0),"",C66/D66)</f>
        <v/>
      </c>
      <c r="F66" s="31">
        <f>IF(E66="","",E66/Config!$B$12-1)</f>
        <v/>
      </c>
      <c r="G66" s="29">
        <f>IF(Config!$E$28="","",COUNTIFS('Nossos casos'!$C$5:$C$204,Config!$E$28,'Nossos casos'!$J$5:$J$204,"Abaixo do mínimo"))</f>
        <v/>
      </c>
      <c r="H66" s="25">
        <f>IF(Config!$E$28="","",SUMIFS('Nossos casos'!$K$5:$K$204,'Nossos casos'!$C$5:$C$204,Config!$E$28))</f>
        <v/>
      </c>
    </row>
    <row r="67">
      <c r="A67" s="28">
        <f>IF(Config!$E$29="","",Config!$E$29)</f>
        <v/>
      </c>
      <c r="B67" s="29">
        <f>IF(Config!$E$29="","",COUNTIFS('Nossos casos'!$C$5:$C$204,Config!$E$29,'Nossos casos'!$J$5:$J$204,"&lt;&gt;"))</f>
        <v/>
      </c>
      <c r="C67" s="25">
        <f>IF(Config!$E$29="","",SUMIFS('Nossos casos'!$F$5:$F$204,'Nossos casos'!$C$5:$C$204,Config!$E$29))</f>
        <v/>
      </c>
      <c r="D67" s="29">
        <f>IF(Config!$E$29="","",SUMIFS('Nossos casos'!$G$5:$G$204,'Nossos casos'!$C$5:$C$204,Config!$E$29))</f>
        <v/>
      </c>
      <c r="E67" s="30">
        <f>IF(OR(Config!$E$29="",D67=0),"",C67/D67)</f>
        <v/>
      </c>
      <c r="F67" s="31">
        <f>IF(E67="","",E67/Config!$B$12-1)</f>
        <v/>
      </c>
      <c r="G67" s="29">
        <f>IF(Config!$E$29="","",COUNTIFS('Nossos casos'!$C$5:$C$204,Config!$E$29,'Nossos casos'!$J$5:$J$204,"Abaixo do mínimo"))</f>
        <v/>
      </c>
      <c r="H67" s="25">
        <f>IF(Config!$E$29="","",SUMIFS('Nossos casos'!$K$5:$K$204,'Nossos casos'!$C$5:$C$204,Config!$E$29))</f>
        <v/>
      </c>
    </row>
    <row r="68">
      <c r="A68" s="28">
        <f>IF(Config!$E$30="","",Config!$E$30)</f>
        <v/>
      </c>
      <c r="B68" s="29">
        <f>IF(Config!$E$30="","",COUNTIFS('Nossos casos'!$C$5:$C$204,Config!$E$30,'Nossos casos'!$J$5:$J$204,"&lt;&gt;"))</f>
        <v/>
      </c>
      <c r="C68" s="25">
        <f>IF(Config!$E$30="","",SUMIFS('Nossos casos'!$F$5:$F$204,'Nossos casos'!$C$5:$C$204,Config!$E$30))</f>
        <v/>
      </c>
      <c r="D68" s="29">
        <f>IF(Config!$E$30="","",SUMIFS('Nossos casos'!$G$5:$G$204,'Nossos casos'!$C$5:$C$204,Config!$E$30))</f>
        <v/>
      </c>
      <c r="E68" s="30">
        <f>IF(OR(Config!$E$30="",D68=0),"",C68/D68)</f>
        <v/>
      </c>
      <c r="F68" s="31">
        <f>IF(E68="","",E68/Config!$B$12-1)</f>
        <v/>
      </c>
      <c r="G68" s="29">
        <f>IF(Config!$E$30="","",COUNTIFS('Nossos casos'!$C$5:$C$204,Config!$E$30,'Nossos casos'!$J$5:$J$204,"Abaixo do mínimo"))</f>
        <v/>
      </c>
      <c r="H68" s="25">
        <f>IF(Config!$E$30="","",SUMIFS('Nossos casos'!$K$5:$K$204,'Nossos casos'!$C$5:$C$204,Config!$E$30))</f>
        <v/>
      </c>
    </row>
    <row r="69">
      <c r="A69" s="28">
        <f>IF(Config!$E$31="","",Config!$E$31)</f>
        <v/>
      </c>
      <c r="B69" s="29">
        <f>IF(Config!$E$31="","",COUNTIFS('Nossos casos'!$C$5:$C$204,Config!$E$31,'Nossos casos'!$J$5:$J$204,"&lt;&gt;"))</f>
        <v/>
      </c>
      <c r="C69" s="25">
        <f>IF(Config!$E$31="","",SUMIFS('Nossos casos'!$F$5:$F$204,'Nossos casos'!$C$5:$C$204,Config!$E$31))</f>
        <v/>
      </c>
      <c r="D69" s="29">
        <f>IF(Config!$E$31="","",SUMIFS('Nossos casos'!$G$5:$G$204,'Nossos casos'!$C$5:$C$204,Config!$E$31))</f>
        <v/>
      </c>
      <c r="E69" s="30">
        <f>IF(OR(Config!$E$31="",D69=0),"",C69/D69)</f>
        <v/>
      </c>
      <c r="F69" s="31">
        <f>IF(E69="","",E69/Config!$B$12-1)</f>
        <v/>
      </c>
      <c r="G69" s="29">
        <f>IF(Config!$E$31="","",COUNTIFS('Nossos casos'!$C$5:$C$204,Config!$E$31,'Nossos casos'!$J$5:$J$204,"Abaixo do mínimo"))</f>
        <v/>
      </c>
      <c r="H69" s="25">
        <f>IF(Config!$E$31="","",SUMIFS('Nossos casos'!$K$5:$K$204,'Nossos casos'!$C$5:$C$204,Config!$E$31))</f>
        <v/>
      </c>
    </row>
    <row r="70">
      <c r="A70" s="28">
        <f>IF(Config!$E$32="","",Config!$E$32)</f>
        <v/>
      </c>
      <c r="B70" s="29">
        <f>IF(Config!$E$32="","",COUNTIFS('Nossos casos'!$C$5:$C$204,Config!$E$32,'Nossos casos'!$J$5:$J$204,"&lt;&gt;"))</f>
        <v/>
      </c>
      <c r="C70" s="25">
        <f>IF(Config!$E$32="","",SUMIFS('Nossos casos'!$F$5:$F$204,'Nossos casos'!$C$5:$C$204,Config!$E$32))</f>
        <v/>
      </c>
      <c r="D70" s="29">
        <f>IF(Config!$E$32="","",SUMIFS('Nossos casos'!$G$5:$G$204,'Nossos casos'!$C$5:$C$204,Config!$E$32))</f>
        <v/>
      </c>
      <c r="E70" s="30">
        <f>IF(OR(Config!$E$32="",D70=0),"",C70/D70)</f>
        <v/>
      </c>
      <c r="F70" s="31">
        <f>IF(E70="","",E70/Config!$B$12-1)</f>
        <v/>
      </c>
      <c r="G70" s="29">
        <f>IF(Config!$E$32="","",COUNTIFS('Nossos casos'!$C$5:$C$204,Config!$E$32,'Nossos casos'!$J$5:$J$204,"Abaixo do mínimo"))</f>
        <v/>
      </c>
      <c r="H70" s="25">
        <f>IF(Config!$E$32="","",SUMIFS('Nossos casos'!$K$5:$K$204,'Nossos casos'!$C$5:$C$204,Config!$E$32))</f>
        <v/>
      </c>
    </row>
    <row r="71">
      <c r="A71" s="28">
        <f>IF(Config!$E$33="","",Config!$E$33)</f>
        <v/>
      </c>
      <c r="B71" s="29">
        <f>IF(Config!$E$33="","",COUNTIFS('Nossos casos'!$C$5:$C$204,Config!$E$33,'Nossos casos'!$J$5:$J$204,"&lt;&gt;"))</f>
        <v/>
      </c>
      <c r="C71" s="25">
        <f>IF(Config!$E$33="","",SUMIFS('Nossos casos'!$F$5:$F$204,'Nossos casos'!$C$5:$C$204,Config!$E$33))</f>
        <v/>
      </c>
      <c r="D71" s="29">
        <f>IF(Config!$E$33="","",SUMIFS('Nossos casos'!$G$5:$G$204,'Nossos casos'!$C$5:$C$204,Config!$E$33))</f>
        <v/>
      </c>
      <c r="E71" s="30">
        <f>IF(OR(Config!$E$33="",D71=0),"",C71/D71)</f>
        <v/>
      </c>
      <c r="F71" s="31">
        <f>IF(E71="","",E71/Config!$B$12-1)</f>
        <v/>
      </c>
      <c r="G71" s="29">
        <f>IF(Config!$E$33="","",COUNTIFS('Nossos casos'!$C$5:$C$204,Config!$E$33,'Nossos casos'!$J$5:$J$204,"Abaixo do mínimo"))</f>
        <v/>
      </c>
      <c r="H71" s="25">
        <f>IF(Config!$E$33="","",SUMIFS('Nossos casos'!$K$5:$K$204,'Nossos casos'!$C$5:$C$204,Config!$E$33))</f>
        <v/>
      </c>
    </row>
    <row r="72">
      <c r="A72" s="28">
        <f>IF(Config!$E$34="","",Config!$E$34)</f>
        <v/>
      </c>
      <c r="B72" s="29">
        <f>IF(Config!$E$34="","",COUNTIFS('Nossos casos'!$C$5:$C$204,Config!$E$34,'Nossos casos'!$J$5:$J$204,"&lt;&gt;"))</f>
        <v/>
      </c>
      <c r="C72" s="25">
        <f>IF(Config!$E$34="","",SUMIFS('Nossos casos'!$F$5:$F$204,'Nossos casos'!$C$5:$C$204,Config!$E$34))</f>
        <v/>
      </c>
      <c r="D72" s="29">
        <f>IF(Config!$E$34="","",SUMIFS('Nossos casos'!$G$5:$G$204,'Nossos casos'!$C$5:$C$204,Config!$E$34))</f>
        <v/>
      </c>
      <c r="E72" s="30">
        <f>IF(OR(Config!$E$34="",D72=0),"",C72/D72)</f>
        <v/>
      </c>
      <c r="F72" s="31">
        <f>IF(E72="","",E72/Config!$B$12-1)</f>
        <v/>
      </c>
      <c r="G72" s="29">
        <f>IF(Config!$E$34="","",COUNTIFS('Nossos casos'!$C$5:$C$204,Config!$E$34,'Nossos casos'!$J$5:$J$204,"Abaixo do mínimo"))</f>
        <v/>
      </c>
      <c r="H72" s="25">
        <f>IF(Config!$E$34="","",SUMIFS('Nossos casos'!$K$5:$K$204,'Nossos casos'!$C$5:$C$204,Config!$E$34))</f>
        <v/>
      </c>
    </row>
    <row r="73">
      <c r="A73" s="28">
        <f>IF(Config!$E$35="","",Config!$E$35)</f>
        <v/>
      </c>
      <c r="B73" s="29">
        <f>IF(Config!$E$35="","",COUNTIFS('Nossos casos'!$C$5:$C$204,Config!$E$35,'Nossos casos'!$J$5:$J$204,"&lt;&gt;"))</f>
        <v/>
      </c>
      <c r="C73" s="25">
        <f>IF(Config!$E$35="","",SUMIFS('Nossos casos'!$F$5:$F$204,'Nossos casos'!$C$5:$C$204,Config!$E$35))</f>
        <v/>
      </c>
      <c r="D73" s="29">
        <f>IF(Config!$E$35="","",SUMIFS('Nossos casos'!$G$5:$G$204,'Nossos casos'!$C$5:$C$204,Config!$E$35))</f>
        <v/>
      </c>
      <c r="E73" s="30">
        <f>IF(OR(Config!$E$35="",D73=0),"",C73/D73)</f>
        <v/>
      </c>
      <c r="F73" s="31">
        <f>IF(E73="","",E73/Config!$B$12-1)</f>
        <v/>
      </c>
      <c r="G73" s="29">
        <f>IF(Config!$E$35="","",COUNTIFS('Nossos casos'!$C$5:$C$204,Config!$E$35,'Nossos casos'!$J$5:$J$204,"Abaixo do mínimo"))</f>
        <v/>
      </c>
      <c r="H73" s="25">
        <f>IF(Config!$E$35="","",SUMIFS('Nossos casos'!$K$5:$K$204,'Nossos casos'!$C$5:$C$204,Config!$E$35))</f>
        <v/>
      </c>
    </row>
    <row r="76">
      <c r="A76" s="20" t="inlineStr">
        <is>
          <t>Os 8 casos mais abaixo do mínimo</t>
        </is>
      </c>
    </row>
    <row r="77" ht="32" customHeight="1">
      <c r="A77" s="21" t="inlineStr">
        <is>
          <t>Nº do processo ou caso</t>
        </is>
      </c>
      <c r="B77" s="21" t="inlineStr">
        <is>
          <t>Cliente</t>
        </is>
      </c>
      <c r="C77" s="21" t="inlineStr">
        <is>
          <t>Área</t>
        </is>
      </c>
      <c r="D77" s="21" t="inlineStr">
        <is>
          <t>Modalidade</t>
        </is>
      </c>
      <c r="E77" s="21" t="inlineStr">
        <is>
          <t>Valor contratado (R$)</t>
        </is>
      </c>
      <c r="F77" s="21" t="inlineStr">
        <is>
          <t>Horas estimadas</t>
        </is>
      </c>
      <c r="G77" s="21" t="inlineStr">
        <is>
          <t>Valor por hora (R$)</t>
        </is>
      </c>
      <c r="H77" s="21" t="inlineStr">
        <is>
          <t>Falta até o mínimo (R$)</t>
        </is>
      </c>
      <c r="I77" s="32" t="inlineStr">
        <is>
          <t>Linha</t>
        </is>
      </c>
    </row>
    <row r="78">
      <c r="A78" s="28">
        <f>IF($I78="","",INDEX('Nossos casos'!$A$5:$A$204,$I78))</f>
        <v/>
      </c>
      <c r="B78" s="28">
        <f>IF($I78="","",INDEX('Nossos casos'!$B$5:$B$204,$I78))</f>
        <v/>
      </c>
      <c r="C78" s="33">
        <f>IF($I78="","",INDEX('Nossos casos'!$C$5:$C$204,$I78))</f>
        <v/>
      </c>
      <c r="D78" s="33">
        <f>IF($I78="","",INDEX('Nossos casos'!$D$5:$D$204,$I78))</f>
        <v/>
      </c>
      <c r="E78" s="25">
        <f>IF($I78="","",INDEX('Nossos casos'!$F$5:$F$204,$I78))</f>
        <v/>
      </c>
      <c r="F78" s="29">
        <f>IF($I78="","",INDEX('Nossos casos'!$G$5:$G$204,$I78))</f>
        <v/>
      </c>
      <c r="G78" s="30">
        <f>IF($I78="","",INDEX('Nossos casos'!$H$5:$H$204,$I78))</f>
        <v/>
      </c>
      <c r="H78" s="25">
        <f>IF($I78="","",INDEX('Nossos casos'!$K$5:$K$204,$I78))</f>
        <v/>
      </c>
      <c r="I78" s="34">
        <f>IFERROR(IF(LARGE('Nossos casos'!$L$5:$L$204,1)&lt;1,"",MATCH(LARGE('Nossos casos'!$L$5:$L$204,1),'Nossos casos'!$L$5:$L$204,0)),"")</f>
        <v/>
      </c>
    </row>
    <row r="79">
      <c r="A79" s="28">
        <f>IF($I79="","",INDEX('Nossos casos'!$A$5:$A$204,$I79))</f>
        <v/>
      </c>
      <c r="B79" s="28">
        <f>IF($I79="","",INDEX('Nossos casos'!$B$5:$B$204,$I79))</f>
        <v/>
      </c>
      <c r="C79" s="33">
        <f>IF($I79="","",INDEX('Nossos casos'!$C$5:$C$204,$I79))</f>
        <v/>
      </c>
      <c r="D79" s="33">
        <f>IF($I79="","",INDEX('Nossos casos'!$D$5:$D$204,$I79))</f>
        <v/>
      </c>
      <c r="E79" s="25">
        <f>IF($I79="","",INDEX('Nossos casos'!$F$5:$F$204,$I79))</f>
        <v/>
      </c>
      <c r="F79" s="29">
        <f>IF($I79="","",INDEX('Nossos casos'!$G$5:$G$204,$I79))</f>
        <v/>
      </c>
      <c r="G79" s="30">
        <f>IF($I79="","",INDEX('Nossos casos'!$H$5:$H$204,$I79))</f>
        <v/>
      </c>
      <c r="H79" s="25">
        <f>IF($I79="","",INDEX('Nossos casos'!$K$5:$K$204,$I79))</f>
        <v/>
      </c>
      <c r="I79" s="34">
        <f>IFERROR(IF(LARGE('Nossos casos'!$L$5:$L$204,2)&lt;1,"",MATCH(LARGE('Nossos casos'!$L$5:$L$204,2),'Nossos casos'!$L$5:$L$204,0)),"")</f>
        <v/>
      </c>
    </row>
    <row r="80">
      <c r="A80" s="28">
        <f>IF($I80="","",INDEX('Nossos casos'!$A$5:$A$204,$I80))</f>
        <v/>
      </c>
      <c r="B80" s="28">
        <f>IF($I80="","",INDEX('Nossos casos'!$B$5:$B$204,$I80))</f>
        <v/>
      </c>
      <c r="C80" s="33">
        <f>IF($I80="","",INDEX('Nossos casos'!$C$5:$C$204,$I80))</f>
        <v/>
      </c>
      <c r="D80" s="33">
        <f>IF($I80="","",INDEX('Nossos casos'!$D$5:$D$204,$I80))</f>
        <v/>
      </c>
      <c r="E80" s="25">
        <f>IF($I80="","",INDEX('Nossos casos'!$F$5:$F$204,$I80))</f>
        <v/>
      </c>
      <c r="F80" s="29">
        <f>IF($I80="","",INDEX('Nossos casos'!$G$5:$G$204,$I80))</f>
        <v/>
      </c>
      <c r="G80" s="30">
        <f>IF($I80="","",INDEX('Nossos casos'!$H$5:$H$204,$I80))</f>
        <v/>
      </c>
      <c r="H80" s="25">
        <f>IF($I80="","",INDEX('Nossos casos'!$K$5:$K$204,$I80))</f>
        <v/>
      </c>
      <c r="I80" s="34">
        <f>IFERROR(IF(LARGE('Nossos casos'!$L$5:$L$204,3)&lt;1,"",MATCH(LARGE('Nossos casos'!$L$5:$L$204,3),'Nossos casos'!$L$5:$L$204,0)),"")</f>
        <v/>
      </c>
    </row>
    <row r="81">
      <c r="A81" s="28">
        <f>IF($I81="","",INDEX('Nossos casos'!$A$5:$A$204,$I81))</f>
        <v/>
      </c>
      <c r="B81" s="28">
        <f>IF($I81="","",INDEX('Nossos casos'!$B$5:$B$204,$I81))</f>
        <v/>
      </c>
      <c r="C81" s="33">
        <f>IF($I81="","",INDEX('Nossos casos'!$C$5:$C$204,$I81))</f>
        <v/>
      </c>
      <c r="D81" s="33">
        <f>IF($I81="","",INDEX('Nossos casos'!$D$5:$D$204,$I81))</f>
        <v/>
      </c>
      <c r="E81" s="25">
        <f>IF($I81="","",INDEX('Nossos casos'!$F$5:$F$204,$I81))</f>
        <v/>
      </c>
      <c r="F81" s="29">
        <f>IF($I81="","",INDEX('Nossos casos'!$G$5:$G$204,$I81))</f>
        <v/>
      </c>
      <c r="G81" s="30">
        <f>IF($I81="","",INDEX('Nossos casos'!$H$5:$H$204,$I81))</f>
        <v/>
      </c>
      <c r="H81" s="25">
        <f>IF($I81="","",INDEX('Nossos casos'!$K$5:$K$204,$I81))</f>
        <v/>
      </c>
      <c r="I81" s="34">
        <f>IFERROR(IF(LARGE('Nossos casos'!$L$5:$L$204,4)&lt;1,"",MATCH(LARGE('Nossos casos'!$L$5:$L$204,4),'Nossos casos'!$L$5:$L$204,0)),"")</f>
        <v/>
      </c>
    </row>
    <row r="82">
      <c r="A82" s="28">
        <f>IF($I82="","",INDEX('Nossos casos'!$A$5:$A$204,$I82))</f>
        <v/>
      </c>
      <c r="B82" s="28">
        <f>IF($I82="","",INDEX('Nossos casos'!$B$5:$B$204,$I82))</f>
        <v/>
      </c>
      <c r="C82" s="33">
        <f>IF($I82="","",INDEX('Nossos casos'!$C$5:$C$204,$I82))</f>
        <v/>
      </c>
      <c r="D82" s="33">
        <f>IF($I82="","",INDEX('Nossos casos'!$D$5:$D$204,$I82))</f>
        <v/>
      </c>
      <c r="E82" s="25">
        <f>IF($I82="","",INDEX('Nossos casos'!$F$5:$F$204,$I82))</f>
        <v/>
      </c>
      <c r="F82" s="29">
        <f>IF($I82="","",INDEX('Nossos casos'!$G$5:$G$204,$I82))</f>
        <v/>
      </c>
      <c r="G82" s="30">
        <f>IF($I82="","",INDEX('Nossos casos'!$H$5:$H$204,$I82))</f>
        <v/>
      </c>
      <c r="H82" s="25">
        <f>IF($I82="","",INDEX('Nossos casos'!$K$5:$K$204,$I82))</f>
        <v/>
      </c>
      <c r="I82" s="34">
        <f>IFERROR(IF(LARGE('Nossos casos'!$L$5:$L$204,5)&lt;1,"",MATCH(LARGE('Nossos casos'!$L$5:$L$204,5),'Nossos casos'!$L$5:$L$204,0)),"")</f>
        <v/>
      </c>
    </row>
    <row r="83">
      <c r="A83" s="28">
        <f>IF($I83="","",INDEX('Nossos casos'!$A$5:$A$204,$I83))</f>
        <v/>
      </c>
      <c r="B83" s="28">
        <f>IF($I83="","",INDEX('Nossos casos'!$B$5:$B$204,$I83))</f>
        <v/>
      </c>
      <c r="C83" s="33">
        <f>IF($I83="","",INDEX('Nossos casos'!$C$5:$C$204,$I83))</f>
        <v/>
      </c>
      <c r="D83" s="33">
        <f>IF($I83="","",INDEX('Nossos casos'!$D$5:$D$204,$I83))</f>
        <v/>
      </c>
      <c r="E83" s="25">
        <f>IF($I83="","",INDEX('Nossos casos'!$F$5:$F$204,$I83))</f>
        <v/>
      </c>
      <c r="F83" s="29">
        <f>IF($I83="","",INDEX('Nossos casos'!$G$5:$G$204,$I83))</f>
        <v/>
      </c>
      <c r="G83" s="30">
        <f>IF($I83="","",INDEX('Nossos casos'!$H$5:$H$204,$I83))</f>
        <v/>
      </c>
      <c r="H83" s="25">
        <f>IF($I83="","",INDEX('Nossos casos'!$K$5:$K$204,$I83))</f>
        <v/>
      </c>
      <c r="I83" s="34">
        <f>IFERROR(IF(LARGE('Nossos casos'!$L$5:$L$204,6)&lt;1,"",MATCH(LARGE('Nossos casos'!$L$5:$L$204,6),'Nossos casos'!$L$5:$L$204,0)),"")</f>
        <v/>
      </c>
    </row>
    <row r="84">
      <c r="A84" s="28">
        <f>IF($I84="","",INDEX('Nossos casos'!$A$5:$A$204,$I84))</f>
        <v/>
      </c>
      <c r="B84" s="28">
        <f>IF($I84="","",INDEX('Nossos casos'!$B$5:$B$204,$I84))</f>
        <v/>
      </c>
      <c r="C84" s="33">
        <f>IF($I84="","",INDEX('Nossos casos'!$C$5:$C$204,$I84))</f>
        <v/>
      </c>
      <c r="D84" s="33">
        <f>IF($I84="","",INDEX('Nossos casos'!$D$5:$D$204,$I84))</f>
        <v/>
      </c>
      <c r="E84" s="25">
        <f>IF($I84="","",INDEX('Nossos casos'!$F$5:$F$204,$I84))</f>
        <v/>
      </c>
      <c r="F84" s="29">
        <f>IF($I84="","",INDEX('Nossos casos'!$G$5:$G$204,$I84))</f>
        <v/>
      </c>
      <c r="G84" s="30">
        <f>IF($I84="","",INDEX('Nossos casos'!$H$5:$H$204,$I84))</f>
        <v/>
      </c>
      <c r="H84" s="25">
        <f>IF($I84="","",INDEX('Nossos casos'!$K$5:$K$204,$I84))</f>
        <v/>
      </c>
      <c r="I84" s="34">
        <f>IFERROR(IF(LARGE('Nossos casos'!$L$5:$L$204,7)&lt;1,"",MATCH(LARGE('Nossos casos'!$L$5:$L$204,7),'Nossos casos'!$L$5:$L$204,0)),"")</f>
        <v/>
      </c>
    </row>
    <row r="85">
      <c r="A85" s="28">
        <f>IF($I85="","",INDEX('Nossos casos'!$A$5:$A$204,$I85))</f>
        <v/>
      </c>
      <c r="B85" s="28">
        <f>IF($I85="","",INDEX('Nossos casos'!$B$5:$B$204,$I85))</f>
        <v/>
      </c>
      <c r="C85" s="33">
        <f>IF($I85="","",INDEX('Nossos casos'!$C$5:$C$204,$I85))</f>
        <v/>
      </c>
      <c r="D85" s="33">
        <f>IF($I85="","",INDEX('Nossos casos'!$D$5:$D$204,$I85))</f>
        <v/>
      </c>
      <c r="E85" s="25">
        <f>IF($I85="","",INDEX('Nossos casos'!$F$5:$F$204,$I85))</f>
        <v/>
      </c>
      <c r="F85" s="29">
        <f>IF($I85="","",INDEX('Nossos casos'!$G$5:$G$204,$I85))</f>
        <v/>
      </c>
      <c r="G85" s="30">
        <f>IF($I85="","",INDEX('Nossos casos'!$H$5:$H$204,$I85))</f>
        <v/>
      </c>
      <c r="H85" s="25">
        <f>IF($I85="","",INDEX('Nossos casos'!$K$5:$K$204,$I85))</f>
        <v/>
      </c>
      <c r="I85" s="34">
        <f>IFERROR(IF(LARGE('Nossos casos'!$L$5:$L$204,8)&lt;1,"",MATCH(LARGE('Nossos casos'!$L$5:$L$204,8),'Nossos casos'!$L$5:$L$204,0)),"")</f>
        <v/>
      </c>
    </row>
    <row r="86">
      <c r="A86" s="27" t="inlineStr">
        <is>
          <t>Se a lista estiver vazia, nenhum caso está abaixo do mínimo. Esses casos merecem conversa na renovação ou revisão do que foi combinado.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A4:B4"/>
    <mergeCell ref="G4:H4"/>
    <mergeCell ref="E4:F4"/>
    <mergeCell ref="I4:J4"/>
    <mergeCell ref="C5:D5"/>
    <mergeCell ref="A5:B5"/>
    <mergeCell ref="A2:K2"/>
    <mergeCell ref="E5:F5"/>
    <mergeCell ref="G5:H5"/>
    <mergeCell ref="I5:J5"/>
    <mergeCell ref="C4:D4"/>
  </mergeCells>
  <conditionalFormatting sqref="F54:F73">
    <cfRule type="expression" priority="1" dxfId="0">
      <formula>AND(ISNUMBER(F54),F54&lt;0)</formula>
    </cfRule>
  </conditionalFormatting>
  <conditionalFormatting sqref="G54:G73">
    <cfRule type="expression" priority="2" dxfId="1">
      <formula>AND(ISNUMBER(G54),G54&gt;0)</formula>
    </cfRule>
  </conditionalFormatting>
  <dataValidations count="3">
    <dataValidation sqref="A9:A48" showDropDown="0" showInputMessage="0" showErrorMessage="1" allowBlank="1" type="list">
      <formula1>=OFFSET(Config!$E$16,0,0,MAX(1,COUNTA(Config!$E$16:$E$35)),1)</formula1>
    </dataValidation>
    <dataValidation sqref="B9:B48" showDropDown="0" showInputMessage="0" showErrorMessage="1" allowBlank="1" type="list">
      <formula1>=OFFSET(Config!$G$16,0,0,MAX(1,COUNTA(Config!$G$16:$G$35)),1)</formula1>
    </dataValidation>
    <dataValidation sqref="E9:E48" showDropDown="0" showInputMessage="0" showErrorMessage="1" allowBlank="1" type="list">
      <formula1>=OFFSET(Config!$I$16,0,0,MAX(1,COUNTA(Config!$I$16:$I$35)),1)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60" customWidth="1" min="3" max="3"/>
    <col width="3" customWidth="1" min="4" max="4"/>
    <col width="18" customWidth="1" min="5" max="5"/>
    <col width="3" customWidth="1" min="6" max="6"/>
    <col width="26" customWidth="1" min="7" max="7"/>
    <col width="3" customWidth="1" min="8" max="8"/>
    <col width="14" customWidth="1" min="9" max="9"/>
  </cols>
  <sheetData>
    <row r="1">
      <c r="A1" s="5" t="inlineStr">
        <is>
          <t>Configurações</t>
        </is>
      </c>
    </row>
    <row r="2">
      <c r="A2" s="6" t="inlineStr">
        <is>
          <t>Células amarelas: você preenche. O custo-hora vem da planilha 05; margens mínima e alvo definem a faixa de cada serviço.</t>
        </is>
      </c>
    </row>
    <row r="4">
      <c r="A4" s="35" t="inlineStr">
        <is>
          <t>Nome do escritório</t>
        </is>
      </c>
      <c r="B4" s="22" t="inlineStr">
        <is>
          <t>Ferraz &amp; Lima Advocacia (exemplo fictício)</t>
        </is>
      </c>
    </row>
    <row r="5">
      <c r="A5" s="35" t="inlineStr">
        <is>
          <t>Mês de referência</t>
        </is>
      </c>
      <c r="B5" s="22" t="inlineStr">
        <is>
          <t>Setembro de 2026</t>
        </is>
      </c>
    </row>
    <row r="6">
      <c r="A6" s="35" t="inlineStr">
        <is>
          <t>Data de referência</t>
        </is>
      </c>
      <c r="B6" s="36">
        <f>TODAY()</f>
        <v/>
      </c>
    </row>
    <row r="7">
      <c r="A7" s="35" t="inlineStr">
        <is>
          <t>Custo-hora do escritório (R$)</t>
        </is>
      </c>
      <c r="B7" s="37" t="n">
        <v>66.06999999999999</v>
      </c>
      <c r="C7" s="27" t="inlineStr">
        <is>
          <t>Copie do Painel da planilha 05 ("Custo-hora do escritório").</t>
        </is>
      </c>
    </row>
    <row r="8">
      <c r="A8" s="35" t="inlineStr">
        <is>
          <t>Impostos e taxas sobre o que entra (%)</t>
        </is>
      </c>
      <c r="B8" s="38" t="n">
        <v>0.08</v>
      </c>
      <c r="C8" s="27" t="inlineStr">
        <is>
          <t>Exemplo; confira com o contador.</t>
        </is>
      </c>
    </row>
    <row r="9">
      <c r="A9" s="35" t="inlineStr">
        <is>
          <t>Margem mínima sobre o preço (%)</t>
        </is>
      </c>
      <c r="B9" s="38" t="n">
        <v>0.3</v>
      </c>
      <c r="C9" s="27" t="inlineStr">
        <is>
          <t>Abaixo disso o caso não vale a pena. Define o piso da faixa. A mesma margem desejada da planilha 05.</t>
        </is>
      </c>
    </row>
    <row r="10">
      <c r="A10" s="35" t="inlineStr">
        <is>
          <t>Margem alvo sobre o preço (%)</t>
        </is>
      </c>
      <c r="B10" s="38" t="n">
        <v>0.45</v>
      </c>
      <c r="C10" s="27" t="inlineStr">
        <is>
          <t>A margem que você quer de verdade. Define o teto da faixa.</t>
        </is>
      </c>
    </row>
    <row r="11">
      <c r="A11" s="35" t="inlineStr">
        <is>
          <t>Folga para horas não previstas (%)</t>
        </is>
      </c>
      <c r="B11" s="38" t="n">
        <v>0.2</v>
      </c>
      <c r="C11" s="27" t="inlineStr">
        <is>
          <t>Caso costuma consumir mais horas que o estimado; a folga protege a faixa. Igual à folga de horas da planilha 06.</t>
        </is>
      </c>
    </row>
    <row r="12">
      <c r="A12" s="35" t="inlineStr">
        <is>
          <t>Hora mínima (R$)</t>
        </is>
      </c>
      <c r="B12" s="39">
        <f>IFERROR(B7*(1+B11)/(1-B8-B9),"")</f>
        <v/>
      </c>
      <c r="C12" s="27" t="inlineStr">
        <is>
          <t>Custo-hora × (1 + folga) ÷ (1 − impostos − margem mínima).</t>
        </is>
      </c>
    </row>
    <row r="13">
      <c r="A13" s="35" t="inlineStr">
        <is>
          <t>Hora alvo (R$)</t>
        </is>
      </c>
      <c r="B13" s="39">
        <f>IFERROR(B7*(1+B11)/(1-B8-B10),"")</f>
        <v/>
      </c>
      <c r="C13" s="27" t="inlineStr">
        <is>
          <t>Custo-hora × (1 + folga) ÷ (1 − impostos − margem alvo).</t>
        </is>
      </c>
    </row>
    <row r="14">
      <c r="A14" s="35" t="inlineStr">
        <is>
          <t>Listas (preencha de cima para baixo, sem pular linha)</t>
        </is>
      </c>
    </row>
    <row r="15">
      <c r="E15" s="35" t="inlineStr">
        <is>
          <t>Áreas</t>
        </is>
      </c>
      <c r="G15" s="35" t="inlineStr">
        <is>
          <t>Tipos de serviço</t>
        </is>
      </c>
      <c r="I15" s="35" t="inlineStr">
        <is>
          <t>Modalidades</t>
        </is>
      </c>
    </row>
    <row r="16">
      <c r="E16" s="22" t="inlineStr">
        <is>
          <t>Cível</t>
        </is>
      </c>
      <c r="G16" s="22" t="inlineStr">
        <is>
          <t>Consultoria pontual</t>
        </is>
      </c>
      <c r="I16" s="22" t="inlineStr">
        <is>
          <t>Fixo</t>
        </is>
      </c>
    </row>
    <row r="17">
      <c r="E17" s="22" t="inlineStr">
        <is>
          <t>Trabalhista</t>
        </is>
      </c>
      <c r="G17" s="22" t="inlineStr">
        <is>
          <t>Contrato ou documento</t>
        </is>
      </c>
      <c r="I17" s="22" t="inlineStr">
        <is>
          <t>Hora</t>
        </is>
      </c>
    </row>
    <row r="18">
      <c r="E18" s="22" t="inlineStr">
        <is>
          <t>Previdenciário</t>
        </is>
      </c>
      <c r="G18" s="22" t="inlineStr">
        <is>
          <t>Processo completo</t>
        </is>
      </c>
      <c r="I18" s="22" t="inlineStr">
        <is>
          <t>Êxito</t>
        </is>
      </c>
    </row>
    <row r="19">
      <c r="E19" s="22" t="inlineStr">
        <is>
          <t>Empresarial</t>
        </is>
      </c>
      <c r="G19" s="22" t="inlineStr">
        <is>
          <t>Recurso</t>
        </is>
      </c>
      <c r="I19" s="22" t="inlineStr">
        <is>
          <t>Misto</t>
        </is>
      </c>
    </row>
    <row r="20">
      <c r="E20" s="22" t="inlineStr">
        <is>
          <t>Família</t>
        </is>
      </c>
      <c r="G20" s="22" t="inlineStr">
        <is>
          <t>Acordo e negociação</t>
        </is>
      </c>
      <c r="I20" s="22" t="n"/>
    </row>
    <row r="21">
      <c r="E21" s="22" t="n"/>
      <c r="G21" s="22" t="n"/>
      <c r="I21" s="22" t="n"/>
    </row>
    <row r="22">
      <c r="E22" s="22" t="n"/>
      <c r="G22" s="22" t="n"/>
      <c r="I22" s="22" t="n"/>
    </row>
    <row r="23">
      <c r="E23" s="22" t="n"/>
      <c r="G23" s="22" t="n"/>
      <c r="I23" s="22" t="n"/>
    </row>
    <row r="24">
      <c r="E24" s="22" t="n"/>
      <c r="G24" s="22" t="n"/>
      <c r="I24" s="22" t="n"/>
    </row>
    <row r="25">
      <c r="E25" s="22" t="n"/>
      <c r="G25" s="22" t="n"/>
      <c r="I25" s="22" t="n"/>
    </row>
    <row r="26">
      <c r="E26" s="22" t="n"/>
      <c r="G26" s="22" t="n"/>
      <c r="I26" s="22" t="n"/>
    </row>
    <row r="27">
      <c r="E27" s="22" t="n"/>
      <c r="G27" s="22" t="n"/>
      <c r="I27" s="22" t="n"/>
    </row>
    <row r="28">
      <c r="E28" s="22" t="n"/>
      <c r="G28" s="22" t="n"/>
      <c r="I28" s="22" t="n"/>
    </row>
    <row r="29">
      <c r="E29" s="22" t="n"/>
      <c r="G29" s="22" t="n"/>
      <c r="I29" s="22" t="n"/>
    </row>
    <row r="30">
      <c r="E30" s="22" t="n"/>
      <c r="G30" s="22" t="n"/>
      <c r="I30" s="22" t="n"/>
    </row>
    <row r="31">
      <c r="E31" s="22" t="n"/>
      <c r="G31" s="22" t="n"/>
      <c r="I31" s="22" t="n"/>
    </row>
    <row r="32">
      <c r="E32" s="22" t="n"/>
      <c r="G32" s="22" t="n"/>
      <c r="I32" s="22" t="n"/>
    </row>
    <row r="33">
      <c r="E33" s="22" t="n"/>
      <c r="G33" s="22" t="n"/>
      <c r="I33" s="22" t="n"/>
    </row>
    <row r="34">
      <c r="E34" s="22" t="n"/>
      <c r="G34" s="22" t="n"/>
      <c r="I34" s="22" t="n"/>
    </row>
    <row r="35">
      <c r="E35" s="22" t="n"/>
      <c r="G35" s="22" t="n"/>
      <c r="I35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2" customWidth="1" min="4" max="4"/>
    <col width="12" customWidth="1" min="5" max="5"/>
    <col width="16" customWidth="1" min="6" max="6"/>
    <col width="10" customWidth="1" min="7" max="7"/>
    <col width="14" customWidth="1" min="8" max="8"/>
    <col width="12" customWidth="1" min="9" max="9"/>
    <col width="18" customWidth="1" min="10" max="10"/>
    <col width="16" customWidth="1" min="11" max="11"/>
    <col width="10" customWidth="1" min="12" max="12"/>
  </cols>
  <sheetData>
    <row r="1">
      <c r="A1" s="5" t="inlineStr">
        <is>
          <t>O que cobramos hoje</t>
        </is>
      </c>
    </row>
    <row r="2">
      <c r="A2" s="6" t="inlineStr">
        <is>
          <t>Uma linha por caso: valor contratado e horas estimadas. O valor por hora é comparado com a hora mínima e a hora alvo de Config.</t>
        </is>
      </c>
    </row>
    <row r="4" ht="32" customHeight="1">
      <c r="A4" s="21" t="inlineStr">
        <is>
          <t>Nº do processo ou caso</t>
        </is>
      </c>
      <c r="B4" s="21" t="inlineStr">
        <is>
          <t>Cliente</t>
        </is>
      </c>
      <c r="C4" s="21" t="inlineStr">
        <is>
          <t>Área</t>
        </is>
      </c>
      <c r="D4" s="21" t="inlineStr">
        <is>
          <t>Modalidade</t>
        </is>
      </c>
      <c r="E4" s="21" t="inlineStr">
        <is>
          <t>Fase</t>
        </is>
      </c>
      <c r="F4" s="21" t="inlineStr">
        <is>
          <t>Valor contratado (R$)</t>
        </is>
      </c>
      <c r="G4" s="21" t="inlineStr">
        <is>
          <t>Horas estimadas</t>
        </is>
      </c>
      <c r="H4" s="21" t="inlineStr">
        <is>
          <t>Valor por hora (R$)</t>
        </is>
      </c>
      <c r="I4" s="21" t="inlineStr">
        <is>
          <t>Contra a hora mínima</t>
        </is>
      </c>
      <c r="J4" s="21" t="inlineStr">
        <is>
          <t>Situação</t>
        </is>
      </c>
      <c r="K4" s="21" t="inlineStr">
        <is>
          <t>Falta até o mínimo (R$)</t>
        </is>
      </c>
      <c r="L4" s="21" t="inlineStr">
        <is>
          <t>Ordem</t>
        </is>
      </c>
    </row>
    <row r="5">
      <c r="A5" s="22" t="inlineStr">
        <is>
          <t>9236009-85.2026.8.26.0452</t>
        </is>
      </c>
      <c r="B5" s="22" t="inlineStr">
        <is>
          <t>Padaria do Sol Ltda</t>
        </is>
      </c>
      <c r="C5" s="24" t="inlineStr">
        <is>
          <t>Empresarial</t>
        </is>
      </c>
      <c r="D5" s="24" t="inlineStr">
        <is>
          <t>Êxito</t>
        </is>
      </c>
      <c r="E5" s="24" t="inlineStr">
        <is>
          <t>Inicial</t>
        </is>
      </c>
      <c r="F5" s="40" t="n">
        <v>14400</v>
      </c>
      <c r="G5" s="23" t="n">
        <v>63</v>
      </c>
      <c r="H5" s="30">
        <f>IF(OR(A5="",G5="",G5=0,F5=""),"",F5/G5)</f>
        <v/>
      </c>
      <c r="I5" s="31">
        <f>IF(H5="","",H5/Config!$B$12-1)</f>
        <v/>
      </c>
      <c r="J5" s="33">
        <f>IF(H5="","",IF(H5&lt;Config!$B$12,"Abaixo do mínimo",IF(H5&lt;Config!$B$13,"Na faixa","Acima do alvo")))</f>
        <v/>
      </c>
      <c r="K5" s="25">
        <f>IF(H5="","",MAX(0,Config!$B$12*G5-F5))</f>
        <v/>
      </c>
      <c r="L5" s="41">
        <f>IF(K5="","",K5+ROW()/1000000)</f>
        <v/>
      </c>
    </row>
    <row r="6">
      <c r="A6" s="22" t="inlineStr">
        <is>
          <t>9225646-96.2026.8.26.0322</t>
        </is>
      </c>
      <c r="B6" s="22" t="inlineStr">
        <is>
          <t>Ana Beatriz Moreira</t>
        </is>
      </c>
      <c r="C6" s="24" t="inlineStr">
        <is>
          <t>Trabalhista</t>
        </is>
      </c>
      <c r="D6" s="24" t="inlineStr">
        <is>
          <t>Fixo</t>
        </is>
      </c>
      <c r="E6" s="24" t="inlineStr">
        <is>
          <t>Sentença</t>
        </is>
      </c>
      <c r="F6" s="40" t="n">
        <v>8000</v>
      </c>
      <c r="G6" s="23" t="n">
        <v>42</v>
      </c>
      <c r="H6" s="30">
        <f>IF(OR(A6="",G6="",G6=0,F6=""),"",F6/G6)</f>
        <v/>
      </c>
      <c r="I6" s="31">
        <f>IF(H6="","",H6/Config!$B$12-1)</f>
        <v/>
      </c>
      <c r="J6" s="33">
        <f>IF(H6="","",IF(H6&lt;Config!$B$12,"Abaixo do mínimo",IF(H6&lt;Config!$B$13,"Na faixa","Acima do alvo")))</f>
        <v/>
      </c>
      <c r="K6" s="25">
        <f>IF(H6="","",MAX(0,Config!$B$12*G6-F6))</f>
        <v/>
      </c>
      <c r="L6" s="41">
        <f>IF(K6="","",K6+ROW()/1000000)</f>
        <v/>
      </c>
    </row>
    <row r="7">
      <c r="A7" s="22" t="inlineStr">
        <is>
          <t>6710873-21.2025.8.26.0571</t>
        </is>
      </c>
      <c r="B7" s="22" t="inlineStr">
        <is>
          <t>Construtora Horizonte</t>
        </is>
      </c>
      <c r="C7" s="24" t="inlineStr">
        <is>
          <t>Cível</t>
        </is>
      </c>
      <c r="D7" s="24" t="inlineStr">
        <is>
          <t>Misto</t>
        </is>
      </c>
      <c r="E7" s="24" t="inlineStr">
        <is>
          <t>Sentença</t>
        </is>
      </c>
      <c r="F7" s="40" t="n">
        <v>8100</v>
      </c>
      <c r="G7" s="23" t="n">
        <v>45</v>
      </c>
      <c r="H7" s="30">
        <f>IF(OR(A7="",G7="",G7=0,F7=""),"",F7/G7)</f>
        <v/>
      </c>
      <c r="I7" s="31">
        <f>IF(H7="","",H7/Config!$B$12-1)</f>
        <v/>
      </c>
      <c r="J7" s="33">
        <f>IF(H7="","",IF(H7&lt;Config!$B$12,"Abaixo do mínimo",IF(H7&lt;Config!$B$13,"Na faixa","Acima do alvo")))</f>
        <v/>
      </c>
      <c r="K7" s="25">
        <f>IF(H7="","",MAX(0,Config!$B$12*G7-F7))</f>
        <v/>
      </c>
      <c r="L7" s="41">
        <f>IF(K7="","",K7+ROW()/1000000)</f>
        <v/>
      </c>
    </row>
    <row r="8">
      <c r="A8" s="22" t="inlineStr">
        <is>
          <t>8735513-64.2025.8.26.0093</t>
        </is>
      </c>
      <c r="B8" s="22" t="inlineStr">
        <is>
          <t>Carlos Eduardo Nunes</t>
        </is>
      </c>
      <c r="C8" s="24" t="inlineStr">
        <is>
          <t>Previdenciário</t>
        </is>
      </c>
      <c r="D8" s="24" t="inlineStr">
        <is>
          <t>Êxito</t>
        </is>
      </c>
      <c r="E8" s="24" t="inlineStr">
        <is>
          <t>Recurso</t>
        </is>
      </c>
      <c r="F8" s="40" t="n">
        <v>5700</v>
      </c>
      <c r="G8" s="23" t="n">
        <v>25</v>
      </c>
      <c r="H8" s="30">
        <f>IF(OR(A8="",G8="",G8=0,F8=""),"",F8/G8)</f>
        <v/>
      </c>
      <c r="I8" s="31">
        <f>IF(H8="","",H8/Config!$B$12-1)</f>
        <v/>
      </c>
      <c r="J8" s="33">
        <f>IF(H8="","",IF(H8&lt;Config!$B$12,"Abaixo do mínimo",IF(H8&lt;Config!$B$13,"Na faixa","Acima do alvo")))</f>
        <v/>
      </c>
      <c r="K8" s="25">
        <f>IF(H8="","",MAX(0,Config!$B$12*G8-F8))</f>
        <v/>
      </c>
      <c r="L8" s="41">
        <f>IF(K8="","",K8+ROW()/1000000)</f>
        <v/>
      </c>
    </row>
    <row r="9">
      <c r="A9" s="22" t="inlineStr">
        <is>
          <t>9802211-43.2025.8.26.0431</t>
        </is>
      </c>
      <c r="B9" s="22" t="inlineStr">
        <is>
          <t>Loja Verde Comércio</t>
        </is>
      </c>
      <c r="C9" s="24" t="inlineStr">
        <is>
          <t>Empresarial</t>
        </is>
      </c>
      <c r="D9" s="24" t="inlineStr">
        <is>
          <t>Misto</t>
        </is>
      </c>
      <c r="E9" s="24" t="inlineStr">
        <is>
          <t>Acordo</t>
        </is>
      </c>
      <c r="F9" s="40" t="n">
        <v>19600</v>
      </c>
      <c r="G9" s="23" t="n">
        <v>91</v>
      </c>
      <c r="H9" s="30">
        <f>IF(OR(A9="",G9="",G9=0,F9=""),"",F9/G9)</f>
        <v/>
      </c>
      <c r="I9" s="31">
        <f>IF(H9="","",H9/Config!$B$12-1)</f>
        <v/>
      </c>
      <c r="J9" s="33">
        <f>IF(H9="","",IF(H9&lt;Config!$B$12,"Abaixo do mínimo",IF(H9&lt;Config!$B$13,"Na faixa","Acima do alvo")))</f>
        <v/>
      </c>
      <c r="K9" s="25">
        <f>IF(H9="","",MAX(0,Config!$B$12*G9-F9))</f>
        <v/>
      </c>
      <c r="L9" s="41">
        <f>IF(K9="","",K9+ROW()/1000000)</f>
        <v/>
      </c>
    </row>
    <row r="10">
      <c r="A10" s="22" t="inlineStr">
        <is>
          <t>9778116-95.2026.8.26.0106</t>
        </is>
      </c>
      <c r="B10" s="22" t="inlineStr">
        <is>
          <t>Fernanda Castro</t>
        </is>
      </c>
      <c r="C10" s="24" t="inlineStr">
        <is>
          <t>Família</t>
        </is>
      </c>
      <c r="D10" s="24" t="inlineStr">
        <is>
          <t>Fixo</t>
        </is>
      </c>
      <c r="E10" s="24" t="inlineStr">
        <is>
          <t>Encerrado</t>
        </is>
      </c>
      <c r="F10" s="40" t="n">
        <v>9000</v>
      </c>
      <c r="G10" s="23" t="n">
        <v>38</v>
      </c>
      <c r="H10" s="30">
        <f>IF(OR(A10="",G10="",G10=0,F10=""),"",F10/G10)</f>
        <v/>
      </c>
      <c r="I10" s="31">
        <f>IF(H10="","",H10/Config!$B$12-1)</f>
        <v/>
      </c>
      <c r="J10" s="33">
        <f>IF(H10="","",IF(H10&lt;Config!$B$12,"Abaixo do mínimo",IF(H10&lt;Config!$B$13,"Na faixa","Acima do alvo")))</f>
        <v/>
      </c>
      <c r="K10" s="25">
        <f>IF(H10="","",MAX(0,Config!$B$12*G10-F10))</f>
        <v/>
      </c>
      <c r="L10" s="41">
        <f>IF(K10="","",K10+ROW()/1000000)</f>
        <v/>
      </c>
    </row>
    <row r="11">
      <c r="A11" s="22" t="inlineStr">
        <is>
          <t>8875326-79.2026.8.26.0258</t>
        </is>
      </c>
      <c r="B11" s="22" t="inlineStr">
        <is>
          <t>Bistrô 42</t>
        </is>
      </c>
      <c r="C11" s="24" t="inlineStr">
        <is>
          <t>Trabalhista</t>
        </is>
      </c>
      <c r="D11" s="24" t="inlineStr">
        <is>
          <t>Misto</t>
        </is>
      </c>
      <c r="E11" s="24" t="inlineStr">
        <is>
          <t>Acordo</t>
        </is>
      </c>
      <c r="F11" s="40" t="n">
        <v>4600</v>
      </c>
      <c r="G11" s="23" t="n">
        <v>24</v>
      </c>
      <c r="H11" s="30">
        <f>IF(OR(A11="",G11="",G11=0,F11=""),"",F11/G11)</f>
        <v/>
      </c>
      <c r="I11" s="31">
        <f>IF(H11="","",H11/Config!$B$12-1)</f>
        <v/>
      </c>
      <c r="J11" s="33">
        <f>IF(H11="","",IF(H11&lt;Config!$B$12,"Abaixo do mínimo",IF(H11&lt;Config!$B$13,"Na faixa","Acima do alvo")))</f>
        <v/>
      </c>
      <c r="K11" s="25">
        <f>IF(H11="","",MAX(0,Config!$B$12*G11-F11))</f>
        <v/>
      </c>
      <c r="L11" s="41">
        <f>IF(K11="","",K11+ROW()/1000000)</f>
        <v/>
      </c>
    </row>
    <row r="12">
      <c r="A12" s="22" t="inlineStr">
        <is>
          <t>4397912-47.2025.8.26.0276</t>
        </is>
      </c>
      <c r="B12" s="22" t="inlineStr">
        <is>
          <t>Roberto Almeida</t>
        </is>
      </c>
      <c r="C12" s="24" t="inlineStr">
        <is>
          <t>Cível</t>
        </is>
      </c>
      <c r="D12" s="24" t="inlineStr">
        <is>
          <t>Êxito</t>
        </is>
      </c>
      <c r="E12" s="24" t="inlineStr">
        <is>
          <t>Acordo</t>
        </is>
      </c>
      <c r="F12" s="40" t="n">
        <v>11300</v>
      </c>
      <c r="G12" s="23" t="n">
        <v>60</v>
      </c>
      <c r="H12" s="30">
        <f>IF(OR(A12="",G12="",G12=0,F12=""),"",F12/G12)</f>
        <v/>
      </c>
      <c r="I12" s="31">
        <f>IF(H12="","",H12/Config!$B$12-1)</f>
        <v/>
      </c>
      <c r="J12" s="33">
        <f>IF(H12="","",IF(H12&lt;Config!$B$12,"Abaixo do mínimo",IF(H12&lt;Config!$B$13,"Na faixa","Acima do alvo")))</f>
        <v/>
      </c>
      <c r="K12" s="25">
        <f>IF(H12="","",MAX(0,Config!$B$12*G12-F12))</f>
        <v/>
      </c>
      <c r="L12" s="41">
        <f>IF(K12="","",K12+ROW()/1000000)</f>
        <v/>
      </c>
    </row>
    <row r="13">
      <c r="A13" s="22" t="inlineStr">
        <is>
          <t>4352718-43.2025.8.26.0498</t>
        </is>
      </c>
      <c r="B13" s="22" t="inlineStr">
        <is>
          <t>Clínica Bem-Estar</t>
        </is>
      </c>
      <c r="C13" s="24" t="inlineStr">
        <is>
          <t>Empresarial</t>
        </is>
      </c>
      <c r="D13" s="24" t="inlineStr">
        <is>
          <t>Fixo</t>
        </is>
      </c>
      <c r="E13" s="24" t="inlineStr">
        <is>
          <t>Consultivo</t>
        </is>
      </c>
      <c r="F13" s="40" t="n">
        <v>9300</v>
      </c>
      <c r="G13" s="23" t="n">
        <v>54</v>
      </c>
      <c r="H13" s="30">
        <f>IF(OR(A13="",G13="",G13=0,F13=""),"",F13/G13)</f>
        <v/>
      </c>
      <c r="I13" s="31">
        <f>IF(H13="","",H13/Config!$B$12-1)</f>
        <v/>
      </c>
      <c r="J13" s="33">
        <f>IF(H13="","",IF(H13&lt;Config!$B$12,"Abaixo do mínimo",IF(H13&lt;Config!$B$13,"Na faixa","Acima do alvo")))</f>
        <v/>
      </c>
      <c r="K13" s="25">
        <f>IF(H13="","",MAX(0,Config!$B$12*G13-F13))</f>
        <v/>
      </c>
      <c r="L13" s="41">
        <f>IF(K13="","",K13+ROW()/1000000)</f>
        <v/>
      </c>
    </row>
    <row r="14">
      <c r="A14" s="22" t="inlineStr">
        <is>
          <t>2650441-66.2026.8.26.0528</t>
        </is>
      </c>
      <c r="B14" s="22" t="inlineStr">
        <is>
          <t>Marcos Vinícius Teles</t>
        </is>
      </c>
      <c r="C14" s="24" t="inlineStr">
        <is>
          <t>Previdenciário</t>
        </is>
      </c>
      <c r="D14" s="24" t="inlineStr">
        <is>
          <t>Misto</t>
        </is>
      </c>
      <c r="E14" s="24" t="inlineStr">
        <is>
          <t>Encerrado</t>
        </is>
      </c>
      <c r="F14" s="40" t="n">
        <v>7800</v>
      </c>
      <c r="G14" s="23" t="n">
        <v>41</v>
      </c>
      <c r="H14" s="30">
        <f>IF(OR(A14="",G14="",G14=0,F14=""),"",F14/G14)</f>
        <v/>
      </c>
      <c r="I14" s="31">
        <f>IF(H14="","",H14/Config!$B$12-1)</f>
        <v/>
      </c>
      <c r="J14" s="33">
        <f>IF(H14="","",IF(H14&lt;Config!$B$12,"Abaixo do mínimo",IF(H14&lt;Config!$B$13,"Na faixa","Acima do alvo")))</f>
        <v/>
      </c>
      <c r="K14" s="25">
        <f>IF(H14="","",MAX(0,Config!$B$12*G14-F14))</f>
        <v/>
      </c>
      <c r="L14" s="41">
        <f>IF(K14="","",K14+ROW()/1000000)</f>
        <v/>
      </c>
    </row>
    <row r="15">
      <c r="A15" s="22" t="inlineStr">
        <is>
          <t>5470559-73.2026.8.26.0380</t>
        </is>
      </c>
      <c r="B15" s="22" t="inlineStr">
        <is>
          <t>Transportadora Rota Sul</t>
        </is>
      </c>
      <c r="C15" s="24" t="inlineStr">
        <is>
          <t>Trabalhista</t>
        </is>
      </c>
      <c r="D15" s="24" t="inlineStr">
        <is>
          <t>Misto</t>
        </is>
      </c>
      <c r="E15" s="24" t="inlineStr">
        <is>
          <t>Recurso</t>
        </is>
      </c>
      <c r="F15" s="40" t="n">
        <v>10200</v>
      </c>
      <c r="G15" s="23" t="n">
        <v>54</v>
      </c>
      <c r="H15" s="30">
        <f>IF(OR(A15="",G15="",G15=0,F15=""),"",F15/G15)</f>
        <v/>
      </c>
      <c r="I15" s="31">
        <f>IF(H15="","",H15/Config!$B$12-1)</f>
        <v/>
      </c>
      <c r="J15" s="33">
        <f>IF(H15="","",IF(H15&lt;Config!$B$12,"Abaixo do mínimo",IF(H15&lt;Config!$B$13,"Na faixa","Acima do alvo")))</f>
        <v/>
      </c>
      <c r="K15" s="25">
        <f>IF(H15="","",MAX(0,Config!$B$12*G15-F15))</f>
        <v/>
      </c>
      <c r="L15" s="41">
        <f>IF(K15="","",K15+ROW()/1000000)</f>
        <v/>
      </c>
    </row>
    <row r="16">
      <c r="A16" s="22" t="inlineStr">
        <is>
          <t>8570388-84.2025.8.26.0560</t>
        </is>
      </c>
      <c r="B16" s="22" t="inlineStr">
        <is>
          <t>Patrícia Gomes</t>
        </is>
      </c>
      <c r="C16" s="24" t="inlineStr">
        <is>
          <t>Família</t>
        </is>
      </c>
      <c r="D16" s="24" t="inlineStr">
        <is>
          <t>Hora</t>
        </is>
      </c>
      <c r="E16" s="24" t="inlineStr">
        <is>
          <t>Inicial</t>
        </is>
      </c>
      <c r="F16" s="40" t="n">
        <v>10400</v>
      </c>
      <c r="G16" s="23" t="n">
        <v>46</v>
      </c>
      <c r="H16" s="30">
        <f>IF(OR(A16="",G16="",G16=0,F16=""),"",F16/G16)</f>
        <v/>
      </c>
      <c r="I16" s="31">
        <f>IF(H16="","",H16/Config!$B$12-1)</f>
        <v/>
      </c>
      <c r="J16" s="33">
        <f>IF(H16="","",IF(H16&lt;Config!$B$12,"Abaixo do mínimo",IF(H16&lt;Config!$B$13,"Na faixa","Acima do alvo")))</f>
        <v/>
      </c>
      <c r="K16" s="25">
        <f>IF(H16="","",MAX(0,Config!$B$12*G16-F16))</f>
        <v/>
      </c>
      <c r="L16" s="41">
        <f>IF(K16="","",K16+ROW()/1000000)</f>
        <v/>
      </c>
    </row>
    <row r="17">
      <c r="A17" s="22" t="inlineStr">
        <is>
          <t>6258696-95.2026.8.26.0598</t>
        </is>
      </c>
      <c r="B17" s="22" t="inlineStr">
        <is>
          <t>Escola Aurora</t>
        </is>
      </c>
      <c r="C17" s="24" t="inlineStr">
        <is>
          <t>Cível</t>
        </is>
      </c>
      <c r="D17" s="24" t="inlineStr">
        <is>
          <t>Hora</t>
        </is>
      </c>
      <c r="E17" s="24" t="inlineStr">
        <is>
          <t>Inicial</t>
        </is>
      </c>
      <c r="F17" s="40" t="n">
        <v>8000</v>
      </c>
      <c r="G17" s="23" t="n">
        <v>50</v>
      </c>
      <c r="H17" s="30">
        <f>IF(OR(A17="",G17="",G17=0,F17=""),"",F17/G17)</f>
        <v/>
      </c>
      <c r="I17" s="31">
        <f>IF(H17="","",H17/Config!$B$12-1)</f>
        <v/>
      </c>
      <c r="J17" s="33">
        <f>IF(H17="","",IF(H17&lt;Config!$B$12,"Abaixo do mínimo",IF(H17&lt;Config!$B$13,"Na faixa","Acima do alvo")))</f>
        <v/>
      </c>
      <c r="K17" s="25">
        <f>IF(H17="","",MAX(0,Config!$B$12*G17-F17))</f>
        <v/>
      </c>
      <c r="L17" s="41">
        <f>IF(K17="","",K17+ROW()/1000000)</f>
        <v/>
      </c>
    </row>
    <row r="18">
      <c r="A18" s="22" t="inlineStr">
        <is>
          <t>9467819-47.2025.8.26.0087</t>
        </is>
      </c>
      <c r="B18" s="22" t="inlineStr">
        <is>
          <t>José Antônio Ribeiro</t>
        </is>
      </c>
      <c r="C18" s="24" t="inlineStr">
        <is>
          <t>Previdenciário</t>
        </is>
      </c>
      <c r="D18" s="24" t="inlineStr">
        <is>
          <t>Hora</t>
        </is>
      </c>
      <c r="E18" s="24" t="inlineStr">
        <is>
          <t>Encerrado</t>
        </is>
      </c>
      <c r="F18" s="40" t="n">
        <v>6200</v>
      </c>
      <c r="G18" s="23" t="n">
        <v>45</v>
      </c>
      <c r="H18" s="30">
        <f>IF(OR(A18="",G18="",G18=0,F18=""),"",F18/G18)</f>
        <v/>
      </c>
      <c r="I18" s="31">
        <f>IF(H18="","",H18/Config!$B$12-1)</f>
        <v/>
      </c>
      <c r="J18" s="33">
        <f>IF(H18="","",IF(H18&lt;Config!$B$12,"Abaixo do mínimo",IF(H18&lt;Config!$B$13,"Na faixa","Acima do alvo")))</f>
        <v/>
      </c>
      <c r="K18" s="25">
        <f>IF(H18="","",MAX(0,Config!$B$12*G18-F18))</f>
        <v/>
      </c>
      <c r="L18" s="41">
        <f>IF(K18="","",K18+ROW()/1000000)</f>
        <v/>
      </c>
    </row>
    <row r="19">
      <c r="A19" s="22" t="inlineStr">
        <is>
          <t>4300029-58.2025.8.26.0015</t>
        </is>
      </c>
      <c r="B19" s="22" t="inlineStr">
        <is>
          <t>Oficina Mecânica Central</t>
        </is>
      </c>
      <c r="C19" s="24" t="inlineStr">
        <is>
          <t>Trabalhista</t>
        </is>
      </c>
      <c r="D19" s="24" t="inlineStr">
        <is>
          <t>Hora</t>
        </is>
      </c>
      <c r="E19" s="24" t="inlineStr">
        <is>
          <t>Acordo</t>
        </is>
      </c>
      <c r="F19" s="40" t="n">
        <v>10300</v>
      </c>
      <c r="G19" s="23" t="n">
        <v>57</v>
      </c>
      <c r="H19" s="30">
        <f>IF(OR(A19="",G19="",G19=0,F19=""),"",F19/G19)</f>
        <v/>
      </c>
      <c r="I19" s="31">
        <f>IF(H19="","",H19/Config!$B$12-1)</f>
        <v/>
      </c>
      <c r="J19" s="33">
        <f>IF(H19="","",IF(H19&lt;Config!$B$12,"Abaixo do mínimo",IF(H19&lt;Config!$B$13,"Na faixa","Acima do alvo")))</f>
        <v/>
      </c>
      <c r="K19" s="25">
        <f>IF(H19="","",MAX(0,Config!$B$12*G19-F19))</f>
        <v/>
      </c>
      <c r="L19" s="41">
        <f>IF(K19="","",K19+ROW()/1000000)</f>
        <v/>
      </c>
    </row>
    <row r="20">
      <c r="A20" s="22" t="inlineStr">
        <is>
          <t>8986364-51.2026.8.26.0700</t>
        </is>
      </c>
      <c r="B20" s="22" t="inlineStr">
        <is>
          <t>Luciana Farias</t>
        </is>
      </c>
      <c r="C20" s="24" t="inlineStr">
        <is>
          <t>Cível</t>
        </is>
      </c>
      <c r="D20" s="24" t="inlineStr">
        <is>
          <t>Misto</t>
        </is>
      </c>
      <c r="E20" s="24" t="inlineStr">
        <is>
          <t>Inicial</t>
        </is>
      </c>
      <c r="F20" s="40" t="n">
        <v>14900</v>
      </c>
      <c r="G20" s="23" t="n">
        <v>69</v>
      </c>
      <c r="H20" s="30">
        <f>IF(OR(A20="",G20="",G20=0,F20=""),"",F20/G20)</f>
        <v/>
      </c>
      <c r="I20" s="31">
        <f>IF(H20="","",H20/Config!$B$12-1)</f>
        <v/>
      </c>
      <c r="J20" s="33">
        <f>IF(H20="","",IF(H20&lt;Config!$B$12,"Abaixo do mínimo",IF(H20&lt;Config!$B$13,"Na faixa","Acima do alvo")))</f>
        <v/>
      </c>
      <c r="K20" s="25">
        <f>IF(H20="","",MAX(0,Config!$B$12*G20-F20))</f>
        <v/>
      </c>
      <c r="L20" s="41">
        <f>IF(K20="","",K20+ROW()/1000000)</f>
        <v/>
      </c>
    </row>
    <row r="21">
      <c r="A21" s="22" t="inlineStr">
        <is>
          <t>9717671-36.2026.8.26.0445</t>
        </is>
      </c>
      <c r="B21" s="22" t="inlineStr">
        <is>
          <t>Agência Prisma</t>
        </is>
      </c>
      <c r="C21" s="24" t="inlineStr">
        <is>
          <t>Empresarial</t>
        </is>
      </c>
      <c r="D21" s="24" t="inlineStr">
        <is>
          <t>Misto</t>
        </is>
      </c>
      <c r="E21" s="24" t="inlineStr">
        <is>
          <t>Recurso</t>
        </is>
      </c>
      <c r="F21" s="40" t="n">
        <v>11800</v>
      </c>
      <c r="G21" s="23" t="n">
        <v>62</v>
      </c>
      <c r="H21" s="30">
        <f>IF(OR(A21="",G21="",G21=0,F21=""),"",F21/G21)</f>
        <v/>
      </c>
      <c r="I21" s="31">
        <f>IF(H21="","",H21/Config!$B$12-1)</f>
        <v/>
      </c>
      <c r="J21" s="33">
        <f>IF(H21="","",IF(H21&lt;Config!$B$12,"Abaixo do mínimo",IF(H21&lt;Config!$B$13,"Na faixa","Acima do alvo")))</f>
        <v/>
      </c>
      <c r="K21" s="25">
        <f>IF(H21="","",MAX(0,Config!$B$12*G21-F21))</f>
        <v/>
      </c>
      <c r="L21" s="41">
        <f>IF(K21="","",K21+ROW()/1000000)</f>
        <v/>
      </c>
    </row>
    <row r="22">
      <c r="A22" s="22" t="inlineStr">
        <is>
          <t>1808451-67.2026.8.26.0657</t>
        </is>
      </c>
      <c r="B22" s="22" t="inlineStr">
        <is>
          <t>Helena Duarte</t>
        </is>
      </c>
      <c r="C22" s="24" t="inlineStr">
        <is>
          <t>Trabalhista</t>
        </is>
      </c>
      <c r="D22" s="24" t="inlineStr">
        <is>
          <t>Misto</t>
        </is>
      </c>
      <c r="E22" s="24" t="inlineStr">
        <is>
          <t>Execução</t>
        </is>
      </c>
      <c r="F22" s="40" t="n">
        <v>7900</v>
      </c>
      <c r="G22" s="23" t="n">
        <v>50</v>
      </c>
      <c r="H22" s="30">
        <f>IF(OR(A22="",G22="",G22=0,F22=""),"",F22/G22)</f>
        <v/>
      </c>
      <c r="I22" s="31">
        <f>IF(H22="","",H22/Config!$B$12-1)</f>
        <v/>
      </c>
      <c r="J22" s="33">
        <f>IF(H22="","",IF(H22&lt;Config!$B$12,"Abaixo do mínimo",IF(H22&lt;Config!$B$13,"Na faixa","Acima do alvo")))</f>
        <v/>
      </c>
      <c r="K22" s="25">
        <f>IF(H22="","",MAX(0,Config!$B$12*G22-F22))</f>
        <v/>
      </c>
      <c r="L22" s="41">
        <f>IF(K22="","",K22+ROW()/1000000)</f>
        <v/>
      </c>
    </row>
    <row r="23">
      <c r="A23" s="22" t="inlineStr">
        <is>
          <t>3310587-30.2026.8.26.0678</t>
        </is>
      </c>
      <c r="B23" s="22" t="inlineStr">
        <is>
          <t>Padaria do Sol Ltda</t>
        </is>
      </c>
      <c r="C23" s="24" t="inlineStr">
        <is>
          <t>Trabalhista</t>
        </is>
      </c>
      <c r="D23" s="24" t="inlineStr">
        <is>
          <t>Fixo</t>
        </is>
      </c>
      <c r="E23" s="24" t="inlineStr">
        <is>
          <t>Encerrado</t>
        </is>
      </c>
      <c r="F23" s="40" t="n">
        <v>4500</v>
      </c>
      <c r="G23" s="23" t="n">
        <v>37</v>
      </c>
      <c r="H23" s="30">
        <f>IF(OR(A23="",G23="",G23=0,F23=""),"",F23/G23)</f>
        <v/>
      </c>
      <c r="I23" s="31">
        <f>IF(H23="","",H23/Config!$B$12-1)</f>
        <v/>
      </c>
      <c r="J23" s="33">
        <f>IF(H23="","",IF(H23&lt;Config!$B$12,"Abaixo do mínimo",IF(H23&lt;Config!$B$13,"Na faixa","Acima do alvo")))</f>
        <v/>
      </c>
      <c r="K23" s="25">
        <f>IF(H23="","",MAX(0,Config!$B$12*G23-F23))</f>
        <v/>
      </c>
      <c r="L23" s="41">
        <f>IF(K23="","",K23+ROW()/1000000)</f>
        <v/>
      </c>
    </row>
    <row r="24">
      <c r="A24" s="22" t="inlineStr">
        <is>
          <t>3930894-43.2025.8.26.0476</t>
        </is>
      </c>
      <c r="B24" s="22" t="inlineStr">
        <is>
          <t>Ana Beatriz Moreira</t>
        </is>
      </c>
      <c r="C24" s="24" t="inlineStr">
        <is>
          <t>Trabalhista</t>
        </is>
      </c>
      <c r="D24" s="24" t="inlineStr">
        <is>
          <t>Êxito</t>
        </is>
      </c>
      <c r="E24" s="24" t="inlineStr">
        <is>
          <t>Acordo</t>
        </is>
      </c>
      <c r="F24" s="40" t="n">
        <v>6600</v>
      </c>
      <c r="G24" s="23" t="n">
        <v>30</v>
      </c>
      <c r="H24" s="30">
        <f>IF(OR(A24="",G24="",G24=0,F24=""),"",F24/G24)</f>
        <v/>
      </c>
      <c r="I24" s="31">
        <f>IF(H24="","",H24/Config!$B$12-1)</f>
        <v/>
      </c>
      <c r="J24" s="33">
        <f>IF(H24="","",IF(H24&lt;Config!$B$12,"Abaixo do mínimo",IF(H24&lt;Config!$B$13,"Na faixa","Acima do alvo")))</f>
        <v/>
      </c>
      <c r="K24" s="25">
        <f>IF(H24="","",MAX(0,Config!$B$12*G24-F24))</f>
        <v/>
      </c>
      <c r="L24" s="41">
        <f>IF(K24="","",K24+ROW()/1000000)</f>
        <v/>
      </c>
    </row>
    <row r="25">
      <c r="A25" s="22" t="inlineStr">
        <is>
          <t>9802987-45.2025.8.26.0097</t>
        </is>
      </c>
      <c r="B25" s="22" t="inlineStr">
        <is>
          <t>Construtora Horizonte</t>
        </is>
      </c>
      <c r="C25" s="24" t="inlineStr">
        <is>
          <t>Empresarial</t>
        </is>
      </c>
      <c r="D25" s="24" t="inlineStr">
        <is>
          <t>Êxito</t>
        </is>
      </c>
      <c r="E25" s="24" t="inlineStr">
        <is>
          <t>Acordo</t>
        </is>
      </c>
      <c r="F25" s="40" t="n">
        <v>13900</v>
      </c>
      <c r="G25" s="23" t="n">
        <v>70</v>
      </c>
      <c r="H25" s="30">
        <f>IF(OR(A25="",G25="",G25=0,F25=""),"",F25/G25)</f>
        <v/>
      </c>
      <c r="I25" s="31">
        <f>IF(H25="","",H25/Config!$B$12-1)</f>
        <v/>
      </c>
      <c r="J25" s="33">
        <f>IF(H25="","",IF(H25&lt;Config!$B$12,"Abaixo do mínimo",IF(H25&lt;Config!$B$13,"Na faixa","Acima do alvo")))</f>
        <v/>
      </c>
      <c r="K25" s="25">
        <f>IF(H25="","",MAX(0,Config!$B$12*G25-F25))</f>
        <v/>
      </c>
      <c r="L25" s="41">
        <f>IF(K25="","",K25+ROW()/1000000)</f>
        <v/>
      </c>
    </row>
    <row r="26">
      <c r="A26" s="22" t="inlineStr">
        <is>
          <t>6904743-30.2025.8.26.0361</t>
        </is>
      </c>
      <c r="B26" s="22" t="inlineStr">
        <is>
          <t>Carlos Eduardo Nunes</t>
        </is>
      </c>
      <c r="C26" s="24" t="inlineStr">
        <is>
          <t>Trabalhista</t>
        </is>
      </c>
      <c r="D26" s="24" t="inlineStr">
        <is>
          <t>Fixo</t>
        </is>
      </c>
      <c r="E26" s="24" t="inlineStr">
        <is>
          <t>Sentença</t>
        </is>
      </c>
      <c r="F26" s="40" t="n">
        <v>10400</v>
      </c>
      <c r="G26" s="23" t="n">
        <v>62</v>
      </c>
      <c r="H26" s="30">
        <f>IF(OR(A26="",G26="",G26=0,F26=""),"",F26/G26)</f>
        <v/>
      </c>
      <c r="I26" s="31">
        <f>IF(H26="","",H26/Config!$B$12-1)</f>
        <v/>
      </c>
      <c r="J26" s="33">
        <f>IF(H26="","",IF(H26&lt;Config!$B$12,"Abaixo do mínimo",IF(H26&lt;Config!$B$13,"Na faixa","Acima do alvo")))</f>
        <v/>
      </c>
      <c r="K26" s="25">
        <f>IF(H26="","",MAX(0,Config!$B$12*G26-F26))</f>
        <v/>
      </c>
      <c r="L26" s="41">
        <f>IF(K26="","",K26+ROW()/1000000)</f>
        <v/>
      </c>
    </row>
    <row r="27">
      <c r="A27" s="22" t="inlineStr">
        <is>
          <t>5497983-95.2025.8.26.0570</t>
        </is>
      </c>
      <c r="B27" s="22" t="inlineStr">
        <is>
          <t>Loja Verde Comércio</t>
        </is>
      </c>
      <c r="C27" s="24" t="inlineStr">
        <is>
          <t>Família</t>
        </is>
      </c>
      <c r="D27" s="24" t="inlineStr">
        <is>
          <t>Fixo</t>
        </is>
      </c>
      <c r="E27" s="24" t="inlineStr">
        <is>
          <t>Sentença</t>
        </is>
      </c>
      <c r="F27" s="40" t="n">
        <v>9400</v>
      </c>
      <c r="G27" s="23" t="n">
        <v>55</v>
      </c>
      <c r="H27" s="30">
        <f>IF(OR(A27="",G27="",G27=0,F27=""),"",F27/G27)</f>
        <v/>
      </c>
      <c r="I27" s="31">
        <f>IF(H27="","",H27/Config!$B$12-1)</f>
        <v/>
      </c>
      <c r="J27" s="33">
        <f>IF(H27="","",IF(H27&lt;Config!$B$12,"Abaixo do mínimo",IF(H27&lt;Config!$B$13,"Na faixa","Acima do alvo")))</f>
        <v/>
      </c>
      <c r="K27" s="25">
        <f>IF(H27="","",MAX(0,Config!$B$12*G27-F27))</f>
        <v/>
      </c>
      <c r="L27" s="41">
        <f>IF(K27="","",K27+ROW()/1000000)</f>
        <v/>
      </c>
    </row>
    <row r="28">
      <c r="A28" s="22" t="inlineStr">
        <is>
          <t>4112092-92.2025.8.26.0646</t>
        </is>
      </c>
      <c r="B28" s="22" t="inlineStr">
        <is>
          <t>Fernanda Castro</t>
        </is>
      </c>
      <c r="C28" s="24" t="inlineStr">
        <is>
          <t>Trabalhista</t>
        </is>
      </c>
      <c r="D28" s="24" t="inlineStr">
        <is>
          <t>Êxito</t>
        </is>
      </c>
      <c r="E28" s="24" t="inlineStr">
        <is>
          <t>Inicial</t>
        </is>
      </c>
      <c r="F28" s="40" t="n">
        <v>4200</v>
      </c>
      <c r="G28" s="23" t="n">
        <v>25</v>
      </c>
      <c r="H28" s="30">
        <f>IF(OR(A28="",G28="",G28=0,F28=""),"",F28/G28)</f>
        <v/>
      </c>
      <c r="I28" s="31">
        <f>IF(H28="","",H28/Config!$B$12-1)</f>
        <v/>
      </c>
      <c r="J28" s="33">
        <f>IF(H28="","",IF(H28&lt;Config!$B$12,"Abaixo do mínimo",IF(H28&lt;Config!$B$13,"Na faixa","Acima do alvo")))</f>
        <v/>
      </c>
      <c r="K28" s="25">
        <f>IF(H28="","",MAX(0,Config!$B$12*G28-F28))</f>
        <v/>
      </c>
      <c r="L28" s="41">
        <f>IF(K28="","",K28+ROW()/1000000)</f>
        <v/>
      </c>
    </row>
    <row r="29">
      <c r="A29" s="22" t="inlineStr">
        <is>
          <t>5297049-18.2026.8.26.0015</t>
        </is>
      </c>
      <c r="B29" s="22" t="inlineStr">
        <is>
          <t>Bistrô 42</t>
        </is>
      </c>
      <c r="C29" s="24" t="inlineStr">
        <is>
          <t>Cível</t>
        </is>
      </c>
      <c r="D29" s="24" t="inlineStr">
        <is>
          <t>Êxito</t>
        </is>
      </c>
      <c r="E29" s="24" t="inlineStr">
        <is>
          <t>Execução</t>
        </is>
      </c>
      <c r="F29" s="40" t="n">
        <v>11700</v>
      </c>
      <c r="G29" s="23" t="n">
        <v>55</v>
      </c>
      <c r="H29" s="30">
        <f>IF(OR(A29="",G29="",G29=0,F29=""),"",F29/G29)</f>
        <v/>
      </c>
      <c r="I29" s="31">
        <f>IF(H29="","",H29/Config!$B$12-1)</f>
        <v/>
      </c>
      <c r="J29" s="33">
        <f>IF(H29="","",IF(H29&lt;Config!$B$12,"Abaixo do mínimo",IF(H29&lt;Config!$B$13,"Na faixa","Acima do alvo")))</f>
        <v/>
      </c>
      <c r="K29" s="25">
        <f>IF(H29="","",MAX(0,Config!$B$12*G29-F29))</f>
        <v/>
      </c>
      <c r="L29" s="41">
        <f>IF(K29="","",K29+ROW()/1000000)</f>
        <v/>
      </c>
    </row>
    <row r="30">
      <c r="A30" s="22" t="inlineStr">
        <is>
          <t>6877173-50.2026.8.26.0467</t>
        </is>
      </c>
      <c r="B30" s="22" t="inlineStr">
        <is>
          <t>Roberto Almeida</t>
        </is>
      </c>
      <c r="C30" s="24" t="inlineStr">
        <is>
          <t>Empresarial</t>
        </is>
      </c>
      <c r="D30" s="24" t="inlineStr">
        <is>
          <t>Misto</t>
        </is>
      </c>
      <c r="E30" s="24" t="inlineStr">
        <is>
          <t>Recurso</t>
        </is>
      </c>
      <c r="F30" s="40" t="n">
        <v>21100</v>
      </c>
      <c r="G30" s="23" t="n">
        <v>83</v>
      </c>
      <c r="H30" s="30">
        <f>IF(OR(A30="",G30="",G30=0,F30=""),"",F30/G30)</f>
        <v/>
      </c>
      <c r="I30" s="31">
        <f>IF(H30="","",H30/Config!$B$12-1)</f>
        <v/>
      </c>
      <c r="J30" s="33">
        <f>IF(H30="","",IF(H30&lt;Config!$B$12,"Abaixo do mínimo",IF(H30&lt;Config!$B$13,"Na faixa","Acima do alvo")))</f>
        <v/>
      </c>
      <c r="K30" s="25">
        <f>IF(H30="","",MAX(0,Config!$B$12*G30-F30))</f>
        <v/>
      </c>
      <c r="L30" s="41">
        <f>IF(K30="","",K30+ROW()/1000000)</f>
        <v/>
      </c>
    </row>
    <row r="31">
      <c r="A31" s="22" t="inlineStr">
        <is>
          <t>3003874-97.2026.8.26.0384</t>
        </is>
      </c>
      <c r="B31" s="22" t="inlineStr">
        <is>
          <t>Clínica Bem-Estar</t>
        </is>
      </c>
      <c r="C31" s="24" t="inlineStr">
        <is>
          <t>Família</t>
        </is>
      </c>
      <c r="D31" s="24" t="inlineStr">
        <is>
          <t>Misto</t>
        </is>
      </c>
      <c r="E31" s="24" t="inlineStr">
        <is>
          <t>Consultivo</t>
        </is>
      </c>
      <c r="F31" s="40" t="n">
        <v>6800</v>
      </c>
      <c r="G31" s="23" t="n">
        <v>48</v>
      </c>
      <c r="H31" s="30">
        <f>IF(OR(A31="",G31="",G31=0,F31=""),"",F31/G31)</f>
        <v/>
      </c>
      <c r="I31" s="31">
        <f>IF(H31="","",H31/Config!$B$12-1)</f>
        <v/>
      </c>
      <c r="J31" s="33">
        <f>IF(H31="","",IF(H31&lt;Config!$B$12,"Abaixo do mínimo",IF(H31&lt;Config!$B$13,"Na faixa","Acima do alvo")))</f>
        <v/>
      </c>
      <c r="K31" s="25">
        <f>IF(H31="","",MAX(0,Config!$B$12*G31-F31))</f>
        <v/>
      </c>
      <c r="L31" s="41">
        <f>IF(K31="","",K31+ROW()/1000000)</f>
        <v/>
      </c>
    </row>
    <row r="32">
      <c r="A32" s="22" t="inlineStr">
        <is>
          <t>6545676-47.2025.8.26.0126</t>
        </is>
      </c>
      <c r="B32" s="22" t="inlineStr">
        <is>
          <t>Marcos Vinícius Teles</t>
        </is>
      </c>
      <c r="C32" s="24" t="inlineStr">
        <is>
          <t>Família</t>
        </is>
      </c>
      <c r="D32" s="24" t="inlineStr">
        <is>
          <t>Misto</t>
        </is>
      </c>
      <c r="E32" s="24" t="inlineStr">
        <is>
          <t>Recurso</t>
        </is>
      </c>
      <c r="F32" s="40" t="n">
        <v>6600</v>
      </c>
      <c r="G32" s="23" t="n">
        <v>29</v>
      </c>
      <c r="H32" s="30">
        <f>IF(OR(A32="",G32="",G32=0,F32=""),"",F32/G32)</f>
        <v/>
      </c>
      <c r="I32" s="31">
        <f>IF(H32="","",H32/Config!$B$12-1)</f>
        <v/>
      </c>
      <c r="J32" s="33">
        <f>IF(H32="","",IF(H32&lt;Config!$B$12,"Abaixo do mínimo",IF(H32&lt;Config!$B$13,"Na faixa","Acima do alvo")))</f>
        <v/>
      </c>
      <c r="K32" s="25">
        <f>IF(H32="","",MAX(0,Config!$B$12*G32-F32))</f>
        <v/>
      </c>
      <c r="L32" s="41">
        <f>IF(K32="","",K32+ROW()/1000000)</f>
        <v/>
      </c>
    </row>
    <row r="33">
      <c r="A33" s="22" t="inlineStr">
        <is>
          <t>1941959-24.2026.8.26.0167</t>
        </is>
      </c>
      <c r="B33" s="22" t="inlineStr">
        <is>
          <t>Transportadora Rota Sul</t>
        </is>
      </c>
      <c r="C33" s="24" t="inlineStr">
        <is>
          <t>Previdenciário</t>
        </is>
      </c>
      <c r="D33" s="24" t="inlineStr">
        <is>
          <t>Êxito</t>
        </is>
      </c>
      <c r="E33" s="24" t="inlineStr">
        <is>
          <t>Acordo</t>
        </is>
      </c>
      <c r="F33" s="40" t="n">
        <v>6500</v>
      </c>
      <c r="G33" s="23" t="n">
        <v>45</v>
      </c>
      <c r="H33" s="30">
        <f>IF(OR(A33="",G33="",G33=0,F33=""),"",F33/G33)</f>
        <v/>
      </c>
      <c r="I33" s="31">
        <f>IF(H33="","",H33/Config!$B$12-1)</f>
        <v/>
      </c>
      <c r="J33" s="33">
        <f>IF(H33="","",IF(H33&lt;Config!$B$12,"Abaixo do mínimo",IF(H33&lt;Config!$B$13,"Na faixa","Acima do alvo")))</f>
        <v/>
      </c>
      <c r="K33" s="25">
        <f>IF(H33="","",MAX(0,Config!$B$12*G33-F33))</f>
        <v/>
      </c>
      <c r="L33" s="41">
        <f>IF(K33="","",K33+ROW()/1000000)</f>
        <v/>
      </c>
    </row>
    <row r="34">
      <c r="A34" s="22" t="inlineStr">
        <is>
          <t>3118925-55.2025.8.26.0426</t>
        </is>
      </c>
      <c r="B34" s="22" t="inlineStr">
        <is>
          <t>Patrícia Gomes</t>
        </is>
      </c>
      <c r="C34" s="24" t="inlineStr">
        <is>
          <t>Família</t>
        </is>
      </c>
      <c r="D34" s="24" t="inlineStr">
        <is>
          <t>Fixo</t>
        </is>
      </c>
      <c r="E34" s="24" t="inlineStr">
        <is>
          <t>Inicial</t>
        </is>
      </c>
      <c r="F34" s="40" t="n">
        <v>4500</v>
      </c>
      <c r="G34" s="23" t="n">
        <v>40</v>
      </c>
      <c r="H34" s="30">
        <f>IF(OR(A34="",G34="",G34=0,F34=""),"",F34/G34)</f>
        <v/>
      </c>
      <c r="I34" s="31">
        <f>IF(H34="","",H34/Config!$B$12-1)</f>
        <v/>
      </c>
      <c r="J34" s="33">
        <f>IF(H34="","",IF(H34&lt;Config!$B$12,"Abaixo do mínimo",IF(H34&lt;Config!$B$13,"Na faixa","Acima do alvo")))</f>
        <v/>
      </c>
      <c r="K34" s="25">
        <f>IF(H34="","",MAX(0,Config!$B$12*G34-F34))</f>
        <v/>
      </c>
      <c r="L34" s="41">
        <f>IF(K34="","",K34+ROW()/1000000)</f>
        <v/>
      </c>
    </row>
    <row r="35">
      <c r="A35" s="22" t="inlineStr">
        <is>
          <t>7658179-42.2026.8.26.0152</t>
        </is>
      </c>
      <c r="B35" s="22" t="inlineStr">
        <is>
          <t>Escola Aurora</t>
        </is>
      </c>
      <c r="C35" s="24" t="inlineStr">
        <is>
          <t>Empresarial</t>
        </is>
      </c>
      <c r="D35" s="24" t="inlineStr">
        <is>
          <t>Hora</t>
        </is>
      </c>
      <c r="E35" s="24" t="inlineStr">
        <is>
          <t>Acordo</t>
        </is>
      </c>
      <c r="F35" s="40" t="n">
        <v>18300</v>
      </c>
      <c r="G35" s="23" t="n">
        <v>74</v>
      </c>
      <c r="H35" s="30">
        <f>IF(OR(A35="",G35="",G35=0,F35=""),"",F35/G35)</f>
        <v/>
      </c>
      <c r="I35" s="31">
        <f>IF(H35="","",H35/Config!$B$12-1)</f>
        <v/>
      </c>
      <c r="J35" s="33">
        <f>IF(H35="","",IF(H35&lt;Config!$B$12,"Abaixo do mínimo",IF(H35&lt;Config!$B$13,"Na faixa","Acima do alvo")))</f>
        <v/>
      </c>
      <c r="K35" s="25">
        <f>IF(H35="","",MAX(0,Config!$B$12*G35-F35))</f>
        <v/>
      </c>
      <c r="L35" s="41">
        <f>IF(K35="","",K35+ROW()/1000000)</f>
        <v/>
      </c>
    </row>
    <row r="36">
      <c r="A36" s="22" t="inlineStr">
        <is>
          <t>3326285-90.2025.8.26.0608</t>
        </is>
      </c>
      <c r="B36" s="22" t="inlineStr">
        <is>
          <t>José Antônio Ribeiro</t>
        </is>
      </c>
      <c r="C36" s="24" t="inlineStr">
        <is>
          <t>Trabalhista</t>
        </is>
      </c>
      <c r="D36" s="24" t="inlineStr">
        <is>
          <t>Fixo</t>
        </is>
      </c>
      <c r="E36" s="24" t="inlineStr">
        <is>
          <t>Consultivo</t>
        </is>
      </c>
      <c r="F36" s="40" t="n">
        <v>5500</v>
      </c>
      <c r="G36" s="23" t="n">
        <v>37</v>
      </c>
      <c r="H36" s="30">
        <f>IF(OR(A36="",G36="",G36=0,F36=""),"",F36/G36)</f>
        <v/>
      </c>
      <c r="I36" s="31">
        <f>IF(H36="","",H36/Config!$B$12-1)</f>
        <v/>
      </c>
      <c r="J36" s="33">
        <f>IF(H36="","",IF(H36&lt;Config!$B$12,"Abaixo do mínimo",IF(H36&lt;Config!$B$13,"Na faixa","Acima do alvo")))</f>
        <v/>
      </c>
      <c r="K36" s="25">
        <f>IF(H36="","",MAX(0,Config!$B$12*G36-F36))</f>
        <v/>
      </c>
      <c r="L36" s="41">
        <f>IF(K36="","",K36+ROW()/1000000)</f>
        <v/>
      </c>
    </row>
    <row r="37">
      <c r="A37" s="22" t="inlineStr">
        <is>
          <t>1191416-90.2025.8.26.0249</t>
        </is>
      </c>
      <c r="B37" s="22" t="inlineStr">
        <is>
          <t>Oficina Mecânica Central</t>
        </is>
      </c>
      <c r="C37" s="24" t="inlineStr">
        <is>
          <t>Cível</t>
        </is>
      </c>
      <c r="D37" s="24" t="inlineStr">
        <is>
          <t>Fixo</t>
        </is>
      </c>
      <c r="E37" s="24" t="inlineStr">
        <is>
          <t>Instrução</t>
        </is>
      </c>
      <c r="F37" s="40" t="n">
        <v>12400</v>
      </c>
      <c r="G37" s="23" t="n">
        <v>59</v>
      </c>
      <c r="H37" s="30">
        <f>IF(OR(A37="",G37="",G37=0,F37=""),"",F37/G37)</f>
        <v/>
      </c>
      <c r="I37" s="31">
        <f>IF(H37="","",H37/Config!$B$12-1)</f>
        <v/>
      </c>
      <c r="J37" s="33">
        <f>IF(H37="","",IF(H37&lt;Config!$B$12,"Abaixo do mínimo",IF(H37&lt;Config!$B$13,"Na faixa","Acima do alvo")))</f>
        <v/>
      </c>
      <c r="K37" s="25">
        <f>IF(H37="","",MAX(0,Config!$B$12*G37-F37))</f>
        <v/>
      </c>
      <c r="L37" s="41">
        <f>IF(K37="","",K37+ROW()/1000000)</f>
        <v/>
      </c>
    </row>
    <row r="38">
      <c r="A38" s="22" t="inlineStr">
        <is>
          <t>5626517-53.2026.8.26.0206</t>
        </is>
      </c>
      <c r="B38" s="22" t="inlineStr">
        <is>
          <t>Luciana Farias</t>
        </is>
      </c>
      <c r="C38" s="24" t="inlineStr">
        <is>
          <t>Empresarial</t>
        </is>
      </c>
      <c r="D38" s="24" t="inlineStr">
        <is>
          <t>Hora</t>
        </is>
      </c>
      <c r="E38" s="24" t="inlineStr">
        <is>
          <t>Consultivo</t>
        </is>
      </c>
      <c r="F38" s="40" t="n">
        <v>16900</v>
      </c>
      <c r="G38" s="23" t="n">
        <v>77</v>
      </c>
      <c r="H38" s="30">
        <f>IF(OR(A38="",G38="",G38=0,F38=""),"",F38/G38)</f>
        <v/>
      </c>
      <c r="I38" s="31">
        <f>IF(H38="","",H38/Config!$B$12-1)</f>
        <v/>
      </c>
      <c r="J38" s="33">
        <f>IF(H38="","",IF(H38&lt;Config!$B$12,"Abaixo do mínimo",IF(H38&lt;Config!$B$13,"Na faixa","Acima do alvo")))</f>
        <v/>
      </c>
      <c r="K38" s="25">
        <f>IF(H38="","",MAX(0,Config!$B$12*G38-F38))</f>
        <v/>
      </c>
      <c r="L38" s="41">
        <f>IF(K38="","",K38+ROW()/1000000)</f>
        <v/>
      </c>
    </row>
    <row r="39">
      <c r="A39" s="22" t="inlineStr">
        <is>
          <t>6237740-34.2025.8.26.0163</t>
        </is>
      </c>
      <c r="B39" s="22" t="inlineStr">
        <is>
          <t>Agência Prisma</t>
        </is>
      </c>
      <c r="C39" s="24" t="inlineStr">
        <is>
          <t>Previdenciário</t>
        </is>
      </c>
      <c r="D39" s="24" t="inlineStr">
        <is>
          <t>Êxito</t>
        </is>
      </c>
      <c r="E39" s="24" t="inlineStr">
        <is>
          <t>Encerrado</t>
        </is>
      </c>
      <c r="F39" s="40" t="n">
        <v>5700</v>
      </c>
      <c r="G39" s="23" t="n">
        <v>42</v>
      </c>
      <c r="H39" s="30">
        <f>IF(OR(A39="",G39="",G39=0,F39=""),"",F39/G39)</f>
        <v/>
      </c>
      <c r="I39" s="31">
        <f>IF(H39="","",H39/Config!$B$12-1)</f>
        <v/>
      </c>
      <c r="J39" s="33">
        <f>IF(H39="","",IF(H39&lt;Config!$B$12,"Abaixo do mínimo",IF(H39&lt;Config!$B$13,"Na faixa","Acima do alvo")))</f>
        <v/>
      </c>
      <c r="K39" s="25">
        <f>IF(H39="","",MAX(0,Config!$B$12*G39-F39))</f>
        <v/>
      </c>
      <c r="L39" s="41">
        <f>IF(K39="","",K39+ROW()/1000000)</f>
        <v/>
      </c>
    </row>
    <row r="40">
      <c r="A40" s="22" t="inlineStr">
        <is>
          <t>9778303-99.2026.8.26.0419</t>
        </is>
      </c>
      <c r="B40" s="22" t="inlineStr">
        <is>
          <t>Helena Duarte</t>
        </is>
      </c>
      <c r="C40" s="24" t="inlineStr">
        <is>
          <t>Empresarial</t>
        </is>
      </c>
      <c r="D40" s="24" t="inlineStr">
        <is>
          <t>Hora</t>
        </is>
      </c>
      <c r="E40" s="24" t="inlineStr">
        <is>
          <t>Encerrado</t>
        </is>
      </c>
      <c r="F40" s="40" t="n">
        <v>14100</v>
      </c>
      <c r="G40" s="23" t="n">
        <v>66</v>
      </c>
      <c r="H40" s="30">
        <f>IF(OR(A40="",G40="",G40=0,F40=""),"",F40/G40)</f>
        <v/>
      </c>
      <c r="I40" s="31">
        <f>IF(H40="","",H40/Config!$B$12-1)</f>
        <v/>
      </c>
      <c r="J40" s="33">
        <f>IF(H40="","",IF(H40&lt;Config!$B$12,"Abaixo do mínimo",IF(H40&lt;Config!$B$13,"Na faixa","Acima do alvo")))</f>
        <v/>
      </c>
      <c r="K40" s="25">
        <f>IF(H40="","",MAX(0,Config!$B$12*G40-F40))</f>
        <v/>
      </c>
      <c r="L40" s="41">
        <f>IF(K40="","",K40+ROW()/1000000)</f>
        <v/>
      </c>
    </row>
    <row r="41">
      <c r="A41" s="22" t="inlineStr">
        <is>
          <t>3314594-22.2025.8.26.0019</t>
        </is>
      </c>
      <c r="B41" s="22" t="inlineStr">
        <is>
          <t>Padaria do Sol Ltda</t>
        </is>
      </c>
      <c r="C41" s="24" t="inlineStr">
        <is>
          <t>Cível</t>
        </is>
      </c>
      <c r="D41" s="24" t="inlineStr">
        <is>
          <t>Hora</t>
        </is>
      </c>
      <c r="E41" s="24" t="inlineStr">
        <is>
          <t>Encerrado</t>
        </is>
      </c>
      <c r="F41" s="40" t="n">
        <v>6300</v>
      </c>
      <c r="G41" s="23" t="n">
        <v>44</v>
      </c>
      <c r="H41" s="30">
        <f>IF(OR(A41="",G41="",G41=0,F41=""),"",F41/G41)</f>
        <v/>
      </c>
      <c r="I41" s="31">
        <f>IF(H41="","",H41/Config!$B$12-1)</f>
        <v/>
      </c>
      <c r="J41" s="33">
        <f>IF(H41="","",IF(H41&lt;Config!$B$12,"Abaixo do mínimo",IF(H41&lt;Config!$B$13,"Na faixa","Acima do alvo")))</f>
        <v/>
      </c>
      <c r="K41" s="25">
        <f>IF(H41="","",MAX(0,Config!$B$12*G41-F41))</f>
        <v/>
      </c>
      <c r="L41" s="41">
        <f>IF(K41="","",K41+ROW()/1000000)</f>
        <v/>
      </c>
    </row>
    <row r="42">
      <c r="A42" s="22" t="inlineStr">
        <is>
          <t>7598076-58.2025.8.26.0552</t>
        </is>
      </c>
      <c r="B42" s="22" t="inlineStr">
        <is>
          <t>Ana Beatriz Moreira</t>
        </is>
      </c>
      <c r="C42" s="24" t="inlineStr">
        <is>
          <t>Família</t>
        </is>
      </c>
      <c r="D42" s="24" t="inlineStr">
        <is>
          <t>Hora</t>
        </is>
      </c>
      <c r="E42" s="24" t="inlineStr">
        <is>
          <t>Encerrado</t>
        </is>
      </c>
      <c r="F42" s="40" t="n">
        <v>11300</v>
      </c>
      <c r="G42" s="23" t="n">
        <v>63</v>
      </c>
      <c r="H42" s="30">
        <f>IF(OR(A42="",G42="",G42=0,F42=""),"",F42/G42)</f>
        <v/>
      </c>
      <c r="I42" s="31">
        <f>IF(H42="","",H42/Config!$B$12-1)</f>
        <v/>
      </c>
      <c r="J42" s="33">
        <f>IF(H42="","",IF(H42&lt;Config!$B$12,"Abaixo do mínimo",IF(H42&lt;Config!$B$13,"Na faixa","Acima do alvo")))</f>
        <v/>
      </c>
      <c r="K42" s="25">
        <f>IF(H42="","",MAX(0,Config!$B$12*G42-F42))</f>
        <v/>
      </c>
      <c r="L42" s="41">
        <f>IF(K42="","",K42+ROW()/1000000)</f>
        <v/>
      </c>
    </row>
    <row r="43">
      <c r="A43" s="22" t="n"/>
      <c r="B43" s="22" t="n"/>
      <c r="C43" s="24" t="n"/>
      <c r="D43" s="24" t="n"/>
      <c r="E43" s="24" t="n"/>
      <c r="F43" s="40" t="n"/>
      <c r="G43" s="23" t="n"/>
      <c r="H43" s="30">
        <f>IF(OR(A43="",G43="",G43=0,F43=""),"",F43/G43)</f>
        <v/>
      </c>
      <c r="I43" s="31">
        <f>IF(H43="","",H43/Config!$B$12-1)</f>
        <v/>
      </c>
      <c r="J43" s="33">
        <f>IF(H43="","",IF(H43&lt;Config!$B$12,"Abaixo do mínimo",IF(H43&lt;Config!$B$13,"Na faixa","Acima do alvo")))</f>
        <v/>
      </c>
      <c r="K43" s="25">
        <f>IF(H43="","",MAX(0,Config!$B$12*G43-F43))</f>
        <v/>
      </c>
      <c r="L43" s="41">
        <f>IF(K43="","",K43+ROW()/1000000)</f>
        <v/>
      </c>
    </row>
    <row r="44">
      <c r="A44" s="22" t="n"/>
      <c r="B44" s="22" t="n"/>
      <c r="C44" s="24" t="n"/>
      <c r="D44" s="24" t="n"/>
      <c r="E44" s="24" t="n"/>
      <c r="F44" s="40" t="n"/>
      <c r="G44" s="23" t="n"/>
      <c r="H44" s="30">
        <f>IF(OR(A44="",G44="",G44=0,F44=""),"",F44/G44)</f>
        <v/>
      </c>
      <c r="I44" s="31">
        <f>IF(H44="","",H44/Config!$B$12-1)</f>
        <v/>
      </c>
      <c r="J44" s="33">
        <f>IF(H44="","",IF(H44&lt;Config!$B$12,"Abaixo do mínimo",IF(H44&lt;Config!$B$13,"Na faixa","Acima do alvo")))</f>
        <v/>
      </c>
      <c r="K44" s="25">
        <f>IF(H44="","",MAX(0,Config!$B$12*G44-F44))</f>
        <v/>
      </c>
      <c r="L44" s="41">
        <f>IF(K44="","",K44+ROW()/1000000)</f>
        <v/>
      </c>
    </row>
    <row r="45">
      <c r="A45" s="22" t="n"/>
      <c r="B45" s="22" t="n"/>
      <c r="C45" s="24" t="n"/>
      <c r="D45" s="24" t="n"/>
      <c r="E45" s="24" t="n"/>
      <c r="F45" s="40" t="n"/>
      <c r="G45" s="23" t="n"/>
      <c r="H45" s="30">
        <f>IF(OR(A45="",G45="",G45=0,F45=""),"",F45/G45)</f>
        <v/>
      </c>
      <c r="I45" s="31">
        <f>IF(H45="","",H45/Config!$B$12-1)</f>
        <v/>
      </c>
      <c r="J45" s="33">
        <f>IF(H45="","",IF(H45&lt;Config!$B$12,"Abaixo do mínimo",IF(H45&lt;Config!$B$13,"Na faixa","Acima do alvo")))</f>
        <v/>
      </c>
      <c r="K45" s="25">
        <f>IF(H45="","",MAX(0,Config!$B$12*G45-F45))</f>
        <v/>
      </c>
      <c r="L45" s="41">
        <f>IF(K45="","",K45+ROW()/1000000)</f>
        <v/>
      </c>
    </row>
    <row r="46">
      <c r="A46" s="22" t="n"/>
      <c r="B46" s="22" t="n"/>
      <c r="C46" s="24" t="n"/>
      <c r="D46" s="24" t="n"/>
      <c r="E46" s="24" t="n"/>
      <c r="F46" s="40" t="n"/>
      <c r="G46" s="23" t="n"/>
      <c r="H46" s="30">
        <f>IF(OR(A46="",G46="",G46=0,F46=""),"",F46/G46)</f>
        <v/>
      </c>
      <c r="I46" s="31">
        <f>IF(H46="","",H46/Config!$B$12-1)</f>
        <v/>
      </c>
      <c r="J46" s="33">
        <f>IF(H46="","",IF(H46&lt;Config!$B$12,"Abaixo do mínimo",IF(H46&lt;Config!$B$13,"Na faixa","Acima do alvo")))</f>
        <v/>
      </c>
      <c r="K46" s="25">
        <f>IF(H46="","",MAX(0,Config!$B$12*G46-F46))</f>
        <v/>
      </c>
      <c r="L46" s="41">
        <f>IF(K46="","",K46+ROW()/1000000)</f>
        <v/>
      </c>
    </row>
    <row r="47">
      <c r="A47" s="22" t="n"/>
      <c r="B47" s="22" t="n"/>
      <c r="C47" s="24" t="n"/>
      <c r="D47" s="24" t="n"/>
      <c r="E47" s="24" t="n"/>
      <c r="F47" s="40" t="n"/>
      <c r="G47" s="23" t="n"/>
      <c r="H47" s="30">
        <f>IF(OR(A47="",G47="",G47=0,F47=""),"",F47/G47)</f>
        <v/>
      </c>
      <c r="I47" s="31">
        <f>IF(H47="","",H47/Config!$B$12-1)</f>
        <v/>
      </c>
      <c r="J47" s="33">
        <f>IF(H47="","",IF(H47&lt;Config!$B$12,"Abaixo do mínimo",IF(H47&lt;Config!$B$13,"Na faixa","Acima do alvo")))</f>
        <v/>
      </c>
      <c r="K47" s="25">
        <f>IF(H47="","",MAX(0,Config!$B$12*G47-F47))</f>
        <v/>
      </c>
      <c r="L47" s="41">
        <f>IF(K47="","",K47+ROW()/1000000)</f>
        <v/>
      </c>
    </row>
    <row r="48">
      <c r="A48" s="22" t="n"/>
      <c r="B48" s="22" t="n"/>
      <c r="C48" s="24" t="n"/>
      <c r="D48" s="24" t="n"/>
      <c r="E48" s="24" t="n"/>
      <c r="F48" s="40" t="n"/>
      <c r="G48" s="23" t="n"/>
      <c r="H48" s="30">
        <f>IF(OR(A48="",G48="",G48=0,F48=""),"",F48/G48)</f>
        <v/>
      </c>
      <c r="I48" s="31">
        <f>IF(H48="","",H48/Config!$B$12-1)</f>
        <v/>
      </c>
      <c r="J48" s="33">
        <f>IF(H48="","",IF(H48&lt;Config!$B$12,"Abaixo do mínimo",IF(H48&lt;Config!$B$13,"Na faixa","Acima do alvo")))</f>
        <v/>
      </c>
      <c r="K48" s="25">
        <f>IF(H48="","",MAX(0,Config!$B$12*G48-F48))</f>
        <v/>
      </c>
      <c r="L48" s="41">
        <f>IF(K48="","",K48+ROW()/1000000)</f>
        <v/>
      </c>
    </row>
    <row r="49">
      <c r="A49" s="22" t="n"/>
      <c r="B49" s="22" t="n"/>
      <c r="C49" s="24" t="n"/>
      <c r="D49" s="24" t="n"/>
      <c r="E49" s="24" t="n"/>
      <c r="F49" s="40" t="n"/>
      <c r="G49" s="23" t="n"/>
      <c r="H49" s="30">
        <f>IF(OR(A49="",G49="",G49=0,F49=""),"",F49/G49)</f>
        <v/>
      </c>
      <c r="I49" s="31">
        <f>IF(H49="","",H49/Config!$B$12-1)</f>
        <v/>
      </c>
      <c r="J49" s="33">
        <f>IF(H49="","",IF(H49&lt;Config!$B$12,"Abaixo do mínimo",IF(H49&lt;Config!$B$13,"Na faixa","Acima do alvo")))</f>
        <v/>
      </c>
      <c r="K49" s="25">
        <f>IF(H49="","",MAX(0,Config!$B$12*G49-F49))</f>
        <v/>
      </c>
      <c r="L49" s="41">
        <f>IF(K49="","",K49+ROW()/1000000)</f>
        <v/>
      </c>
    </row>
    <row r="50">
      <c r="A50" s="22" t="n"/>
      <c r="B50" s="22" t="n"/>
      <c r="C50" s="24" t="n"/>
      <c r="D50" s="24" t="n"/>
      <c r="E50" s="24" t="n"/>
      <c r="F50" s="40" t="n"/>
      <c r="G50" s="23" t="n"/>
      <c r="H50" s="30">
        <f>IF(OR(A50="",G50="",G50=0,F50=""),"",F50/G50)</f>
        <v/>
      </c>
      <c r="I50" s="31">
        <f>IF(H50="","",H50/Config!$B$12-1)</f>
        <v/>
      </c>
      <c r="J50" s="33">
        <f>IF(H50="","",IF(H50&lt;Config!$B$12,"Abaixo do mínimo",IF(H50&lt;Config!$B$13,"Na faixa","Acima do alvo")))</f>
        <v/>
      </c>
      <c r="K50" s="25">
        <f>IF(H50="","",MAX(0,Config!$B$12*G50-F50))</f>
        <v/>
      </c>
      <c r="L50" s="41">
        <f>IF(K50="","",K50+ROW()/1000000)</f>
        <v/>
      </c>
    </row>
    <row r="51">
      <c r="A51" s="22" t="n"/>
      <c r="B51" s="22" t="n"/>
      <c r="C51" s="24" t="n"/>
      <c r="D51" s="24" t="n"/>
      <c r="E51" s="24" t="n"/>
      <c r="F51" s="40" t="n"/>
      <c r="G51" s="23" t="n"/>
      <c r="H51" s="30">
        <f>IF(OR(A51="",G51="",G51=0,F51=""),"",F51/G51)</f>
        <v/>
      </c>
      <c r="I51" s="31">
        <f>IF(H51="","",H51/Config!$B$12-1)</f>
        <v/>
      </c>
      <c r="J51" s="33">
        <f>IF(H51="","",IF(H51&lt;Config!$B$12,"Abaixo do mínimo",IF(H51&lt;Config!$B$13,"Na faixa","Acima do alvo")))</f>
        <v/>
      </c>
      <c r="K51" s="25">
        <f>IF(H51="","",MAX(0,Config!$B$12*G51-F51))</f>
        <v/>
      </c>
      <c r="L51" s="41">
        <f>IF(K51="","",K51+ROW()/1000000)</f>
        <v/>
      </c>
    </row>
    <row r="52">
      <c r="A52" s="22" t="n"/>
      <c r="B52" s="22" t="n"/>
      <c r="C52" s="24" t="n"/>
      <c r="D52" s="24" t="n"/>
      <c r="E52" s="24" t="n"/>
      <c r="F52" s="40" t="n"/>
      <c r="G52" s="23" t="n"/>
      <c r="H52" s="30">
        <f>IF(OR(A52="",G52="",G52=0,F52=""),"",F52/G52)</f>
        <v/>
      </c>
      <c r="I52" s="31">
        <f>IF(H52="","",H52/Config!$B$12-1)</f>
        <v/>
      </c>
      <c r="J52" s="33">
        <f>IF(H52="","",IF(H52&lt;Config!$B$12,"Abaixo do mínimo",IF(H52&lt;Config!$B$13,"Na faixa","Acima do alvo")))</f>
        <v/>
      </c>
      <c r="K52" s="25">
        <f>IF(H52="","",MAX(0,Config!$B$12*G52-F52))</f>
        <v/>
      </c>
      <c r="L52" s="41">
        <f>IF(K52="","",K52+ROW()/1000000)</f>
        <v/>
      </c>
    </row>
    <row r="53">
      <c r="A53" s="22" t="n"/>
      <c r="B53" s="22" t="n"/>
      <c r="C53" s="24" t="n"/>
      <c r="D53" s="24" t="n"/>
      <c r="E53" s="24" t="n"/>
      <c r="F53" s="40" t="n"/>
      <c r="G53" s="23" t="n"/>
      <c r="H53" s="30">
        <f>IF(OR(A53="",G53="",G53=0,F53=""),"",F53/G53)</f>
        <v/>
      </c>
      <c r="I53" s="31">
        <f>IF(H53="","",H53/Config!$B$12-1)</f>
        <v/>
      </c>
      <c r="J53" s="33">
        <f>IF(H53="","",IF(H53&lt;Config!$B$12,"Abaixo do mínimo",IF(H53&lt;Config!$B$13,"Na faixa","Acima do alvo")))</f>
        <v/>
      </c>
      <c r="K53" s="25">
        <f>IF(H53="","",MAX(0,Config!$B$12*G53-F53))</f>
        <v/>
      </c>
      <c r="L53" s="41">
        <f>IF(K53="","",K53+ROW()/1000000)</f>
        <v/>
      </c>
    </row>
    <row r="54">
      <c r="A54" s="22" t="n"/>
      <c r="B54" s="22" t="n"/>
      <c r="C54" s="24" t="n"/>
      <c r="D54" s="24" t="n"/>
      <c r="E54" s="24" t="n"/>
      <c r="F54" s="40" t="n"/>
      <c r="G54" s="23" t="n"/>
      <c r="H54" s="30">
        <f>IF(OR(A54="",G54="",G54=0,F54=""),"",F54/G54)</f>
        <v/>
      </c>
      <c r="I54" s="31">
        <f>IF(H54="","",H54/Config!$B$12-1)</f>
        <v/>
      </c>
      <c r="J54" s="33">
        <f>IF(H54="","",IF(H54&lt;Config!$B$12,"Abaixo do mínimo",IF(H54&lt;Config!$B$13,"Na faixa","Acima do alvo")))</f>
        <v/>
      </c>
      <c r="K54" s="25">
        <f>IF(H54="","",MAX(0,Config!$B$12*G54-F54))</f>
        <v/>
      </c>
      <c r="L54" s="41">
        <f>IF(K54="","",K54+ROW()/1000000)</f>
        <v/>
      </c>
    </row>
    <row r="55">
      <c r="A55" s="22" t="n"/>
      <c r="B55" s="22" t="n"/>
      <c r="C55" s="24" t="n"/>
      <c r="D55" s="24" t="n"/>
      <c r="E55" s="24" t="n"/>
      <c r="F55" s="40" t="n"/>
      <c r="G55" s="23" t="n"/>
      <c r="H55" s="30">
        <f>IF(OR(A55="",G55="",G55=0,F55=""),"",F55/G55)</f>
        <v/>
      </c>
      <c r="I55" s="31">
        <f>IF(H55="","",H55/Config!$B$12-1)</f>
        <v/>
      </c>
      <c r="J55" s="33">
        <f>IF(H55="","",IF(H55&lt;Config!$B$12,"Abaixo do mínimo",IF(H55&lt;Config!$B$13,"Na faixa","Acima do alvo")))</f>
        <v/>
      </c>
      <c r="K55" s="25">
        <f>IF(H55="","",MAX(0,Config!$B$12*G55-F55))</f>
        <v/>
      </c>
      <c r="L55" s="41">
        <f>IF(K55="","",K55+ROW()/1000000)</f>
        <v/>
      </c>
    </row>
    <row r="56">
      <c r="A56" s="22" t="n"/>
      <c r="B56" s="22" t="n"/>
      <c r="C56" s="24" t="n"/>
      <c r="D56" s="24" t="n"/>
      <c r="E56" s="24" t="n"/>
      <c r="F56" s="40" t="n"/>
      <c r="G56" s="23" t="n"/>
      <c r="H56" s="30">
        <f>IF(OR(A56="",G56="",G56=0,F56=""),"",F56/G56)</f>
        <v/>
      </c>
      <c r="I56" s="31">
        <f>IF(H56="","",H56/Config!$B$12-1)</f>
        <v/>
      </c>
      <c r="J56" s="33">
        <f>IF(H56="","",IF(H56&lt;Config!$B$12,"Abaixo do mínimo",IF(H56&lt;Config!$B$13,"Na faixa","Acima do alvo")))</f>
        <v/>
      </c>
      <c r="K56" s="25">
        <f>IF(H56="","",MAX(0,Config!$B$12*G56-F56))</f>
        <v/>
      </c>
      <c r="L56" s="41">
        <f>IF(K56="","",K56+ROW()/1000000)</f>
        <v/>
      </c>
    </row>
    <row r="57">
      <c r="A57" s="22" t="n"/>
      <c r="B57" s="22" t="n"/>
      <c r="C57" s="24" t="n"/>
      <c r="D57" s="24" t="n"/>
      <c r="E57" s="24" t="n"/>
      <c r="F57" s="40" t="n"/>
      <c r="G57" s="23" t="n"/>
      <c r="H57" s="30">
        <f>IF(OR(A57="",G57="",G57=0,F57=""),"",F57/G57)</f>
        <v/>
      </c>
      <c r="I57" s="31">
        <f>IF(H57="","",H57/Config!$B$12-1)</f>
        <v/>
      </c>
      <c r="J57" s="33">
        <f>IF(H57="","",IF(H57&lt;Config!$B$12,"Abaixo do mínimo",IF(H57&lt;Config!$B$13,"Na faixa","Acima do alvo")))</f>
        <v/>
      </c>
      <c r="K57" s="25">
        <f>IF(H57="","",MAX(0,Config!$B$12*G57-F57))</f>
        <v/>
      </c>
      <c r="L57" s="41">
        <f>IF(K57="","",K57+ROW()/1000000)</f>
        <v/>
      </c>
    </row>
    <row r="58">
      <c r="A58" s="22" t="n"/>
      <c r="B58" s="22" t="n"/>
      <c r="C58" s="24" t="n"/>
      <c r="D58" s="24" t="n"/>
      <c r="E58" s="24" t="n"/>
      <c r="F58" s="40" t="n"/>
      <c r="G58" s="23" t="n"/>
      <c r="H58" s="30">
        <f>IF(OR(A58="",G58="",G58=0,F58=""),"",F58/G58)</f>
        <v/>
      </c>
      <c r="I58" s="31">
        <f>IF(H58="","",H58/Config!$B$12-1)</f>
        <v/>
      </c>
      <c r="J58" s="33">
        <f>IF(H58="","",IF(H58&lt;Config!$B$12,"Abaixo do mínimo",IF(H58&lt;Config!$B$13,"Na faixa","Acima do alvo")))</f>
        <v/>
      </c>
      <c r="K58" s="25">
        <f>IF(H58="","",MAX(0,Config!$B$12*G58-F58))</f>
        <v/>
      </c>
      <c r="L58" s="41">
        <f>IF(K58="","",K58+ROW()/1000000)</f>
        <v/>
      </c>
    </row>
    <row r="59">
      <c r="A59" s="22" t="n"/>
      <c r="B59" s="22" t="n"/>
      <c r="C59" s="24" t="n"/>
      <c r="D59" s="24" t="n"/>
      <c r="E59" s="24" t="n"/>
      <c r="F59" s="40" t="n"/>
      <c r="G59" s="23" t="n"/>
      <c r="H59" s="30">
        <f>IF(OR(A59="",G59="",G59=0,F59=""),"",F59/G59)</f>
        <v/>
      </c>
      <c r="I59" s="31">
        <f>IF(H59="","",H59/Config!$B$12-1)</f>
        <v/>
      </c>
      <c r="J59" s="33">
        <f>IF(H59="","",IF(H59&lt;Config!$B$12,"Abaixo do mínimo",IF(H59&lt;Config!$B$13,"Na faixa","Acima do alvo")))</f>
        <v/>
      </c>
      <c r="K59" s="25">
        <f>IF(H59="","",MAX(0,Config!$B$12*G59-F59))</f>
        <v/>
      </c>
      <c r="L59" s="41">
        <f>IF(K59="","",K59+ROW()/1000000)</f>
        <v/>
      </c>
    </row>
    <row r="60">
      <c r="A60" s="22" t="n"/>
      <c r="B60" s="22" t="n"/>
      <c r="C60" s="24" t="n"/>
      <c r="D60" s="24" t="n"/>
      <c r="E60" s="24" t="n"/>
      <c r="F60" s="40" t="n"/>
      <c r="G60" s="23" t="n"/>
      <c r="H60" s="30">
        <f>IF(OR(A60="",G60="",G60=0,F60=""),"",F60/G60)</f>
        <v/>
      </c>
      <c r="I60" s="31">
        <f>IF(H60="","",H60/Config!$B$12-1)</f>
        <v/>
      </c>
      <c r="J60" s="33">
        <f>IF(H60="","",IF(H60&lt;Config!$B$12,"Abaixo do mínimo",IF(H60&lt;Config!$B$13,"Na faixa","Acima do alvo")))</f>
        <v/>
      </c>
      <c r="K60" s="25">
        <f>IF(H60="","",MAX(0,Config!$B$12*G60-F60))</f>
        <v/>
      </c>
      <c r="L60" s="41">
        <f>IF(K60="","",K60+ROW()/1000000)</f>
        <v/>
      </c>
    </row>
    <row r="61">
      <c r="A61" s="22" t="n"/>
      <c r="B61" s="22" t="n"/>
      <c r="C61" s="24" t="n"/>
      <c r="D61" s="24" t="n"/>
      <c r="E61" s="24" t="n"/>
      <c r="F61" s="40" t="n"/>
      <c r="G61" s="23" t="n"/>
      <c r="H61" s="30">
        <f>IF(OR(A61="",G61="",G61=0,F61=""),"",F61/G61)</f>
        <v/>
      </c>
      <c r="I61" s="31">
        <f>IF(H61="","",H61/Config!$B$12-1)</f>
        <v/>
      </c>
      <c r="J61" s="33">
        <f>IF(H61="","",IF(H61&lt;Config!$B$12,"Abaixo do mínimo",IF(H61&lt;Config!$B$13,"Na faixa","Acima do alvo")))</f>
        <v/>
      </c>
      <c r="K61" s="25">
        <f>IF(H61="","",MAX(0,Config!$B$12*G61-F61))</f>
        <v/>
      </c>
      <c r="L61" s="41">
        <f>IF(K61="","",K61+ROW()/1000000)</f>
        <v/>
      </c>
    </row>
    <row r="62">
      <c r="A62" s="22" t="n"/>
      <c r="B62" s="22" t="n"/>
      <c r="C62" s="24" t="n"/>
      <c r="D62" s="24" t="n"/>
      <c r="E62" s="24" t="n"/>
      <c r="F62" s="40" t="n"/>
      <c r="G62" s="23" t="n"/>
      <c r="H62" s="30">
        <f>IF(OR(A62="",G62="",G62=0,F62=""),"",F62/G62)</f>
        <v/>
      </c>
      <c r="I62" s="31">
        <f>IF(H62="","",H62/Config!$B$12-1)</f>
        <v/>
      </c>
      <c r="J62" s="33">
        <f>IF(H62="","",IF(H62&lt;Config!$B$12,"Abaixo do mínimo",IF(H62&lt;Config!$B$13,"Na faixa","Acima do alvo")))</f>
        <v/>
      </c>
      <c r="K62" s="25">
        <f>IF(H62="","",MAX(0,Config!$B$12*G62-F62))</f>
        <v/>
      </c>
      <c r="L62" s="41">
        <f>IF(K62="","",K62+ROW()/1000000)</f>
        <v/>
      </c>
    </row>
    <row r="63">
      <c r="A63" s="22" t="n"/>
      <c r="B63" s="22" t="n"/>
      <c r="C63" s="24" t="n"/>
      <c r="D63" s="24" t="n"/>
      <c r="E63" s="24" t="n"/>
      <c r="F63" s="40" t="n"/>
      <c r="G63" s="23" t="n"/>
      <c r="H63" s="30">
        <f>IF(OR(A63="",G63="",G63=0,F63=""),"",F63/G63)</f>
        <v/>
      </c>
      <c r="I63" s="31">
        <f>IF(H63="","",H63/Config!$B$12-1)</f>
        <v/>
      </c>
      <c r="J63" s="33">
        <f>IF(H63="","",IF(H63&lt;Config!$B$12,"Abaixo do mínimo",IF(H63&lt;Config!$B$13,"Na faixa","Acima do alvo")))</f>
        <v/>
      </c>
      <c r="K63" s="25">
        <f>IF(H63="","",MAX(0,Config!$B$12*G63-F63))</f>
        <v/>
      </c>
      <c r="L63" s="41">
        <f>IF(K63="","",K63+ROW()/1000000)</f>
        <v/>
      </c>
    </row>
    <row r="64">
      <c r="A64" s="22" t="n"/>
      <c r="B64" s="22" t="n"/>
      <c r="C64" s="24" t="n"/>
      <c r="D64" s="24" t="n"/>
      <c r="E64" s="24" t="n"/>
      <c r="F64" s="40" t="n"/>
      <c r="G64" s="23" t="n"/>
      <c r="H64" s="30">
        <f>IF(OR(A64="",G64="",G64=0,F64=""),"",F64/G64)</f>
        <v/>
      </c>
      <c r="I64" s="31">
        <f>IF(H64="","",H64/Config!$B$12-1)</f>
        <v/>
      </c>
      <c r="J64" s="33">
        <f>IF(H64="","",IF(H64&lt;Config!$B$12,"Abaixo do mínimo",IF(H64&lt;Config!$B$13,"Na faixa","Acima do alvo")))</f>
        <v/>
      </c>
      <c r="K64" s="25">
        <f>IF(H64="","",MAX(0,Config!$B$12*G64-F64))</f>
        <v/>
      </c>
      <c r="L64" s="41">
        <f>IF(K64="","",K64+ROW()/1000000)</f>
        <v/>
      </c>
    </row>
    <row r="65">
      <c r="A65" s="22" t="n"/>
      <c r="B65" s="22" t="n"/>
      <c r="C65" s="24" t="n"/>
      <c r="D65" s="24" t="n"/>
      <c r="E65" s="24" t="n"/>
      <c r="F65" s="40" t="n"/>
      <c r="G65" s="23" t="n"/>
      <c r="H65" s="30">
        <f>IF(OR(A65="",G65="",G65=0,F65=""),"",F65/G65)</f>
        <v/>
      </c>
      <c r="I65" s="31">
        <f>IF(H65="","",H65/Config!$B$12-1)</f>
        <v/>
      </c>
      <c r="J65" s="33">
        <f>IF(H65="","",IF(H65&lt;Config!$B$12,"Abaixo do mínimo",IF(H65&lt;Config!$B$13,"Na faixa","Acima do alvo")))</f>
        <v/>
      </c>
      <c r="K65" s="25">
        <f>IF(H65="","",MAX(0,Config!$B$12*G65-F65))</f>
        <v/>
      </c>
      <c r="L65" s="41">
        <f>IF(K65="","",K65+ROW()/1000000)</f>
        <v/>
      </c>
    </row>
    <row r="66">
      <c r="A66" s="22" t="n"/>
      <c r="B66" s="22" t="n"/>
      <c r="C66" s="24" t="n"/>
      <c r="D66" s="24" t="n"/>
      <c r="E66" s="24" t="n"/>
      <c r="F66" s="40" t="n"/>
      <c r="G66" s="23" t="n"/>
      <c r="H66" s="30">
        <f>IF(OR(A66="",G66="",G66=0,F66=""),"",F66/G66)</f>
        <v/>
      </c>
      <c r="I66" s="31">
        <f>IF(H66="","",H66/Config!$B$12-1)</f>
        <v/>
      </c>
      <c r="J66" s="33">
        <f>IF(H66="","",IF(H66&lt;Config!$B$12,"Abaixo do mínimo",IF(H66&lt;Config!$B$13,"Na faixa","Acima do alvo")))</f>
        <v/>
      </c>
      <c r="K66" s="25">
        <f>IF(H66="","",MAX(0,Config!$B$12*G66-F66))</f>
        <v/>
      </c>
      <c r="L66" s="41">
        <f>IF(K66="","",K66+ROW()/1000000)</f>
        <v/>
      </c>
    </row>
    <row r="67">
      <c r="A67" s="22" t="n"/>
      <c r="B67" s="22" t="n"/>
      <c r="C67" s="24" t="n"/>
      <c r="D67" s="24" t="n"/>
      <c r="E67" s="24" t="n"/>
      <c r="F67" s="40" t="n"/>
      <c r="G67" s="23" t="n"/>
      <c r="H67" s="30">
        <f>IF(OR(A67="",G67="",G67=0,F67=""),"",F67/G67)</f>
        <v/>
      </c>
      <c r="I67" s="31">
        <f>IF(H67="","",H67/Config!$B$12-1)</f>
        <v/>
      </c>
      <c r="J67" s="33">
        <f>IF(H67="","",IF(H67&lt;Config!$B$12,"Abaixo do mínimo",IF(H67&lt;Config!$B$13,"Na faixa","Acima do alvo")))</f>
        <v/>
      </c>
      <c r="K67" s="25">
        <f>IF(H67="","",MAX(0,Config!$B$12*G67-F67))</f>
        <v/>
      </c>
      <c r="L67" s="41">
        <f>IF(K67="","",K67+ROW()/1000000)</f>
        <v/>
      </c>
    </row>
    <row r="68">
      <c r="A68" s="22" t="n"/>
      <c r="B68" s="22" t="n"/>
      <c r="C68" s="24" t="n"/>
      <c r="D68" s="24" t="n"/>
      <c r="E68" s="24" t="n"/>
      <c r="F68" s="40" t="n"/>
      <c r="G68" s="23" t="n"/>
      <c r="H68" s="30">
        <f>IF(OR(A68="",G68="",G68=0,F68=""),"",F68/G68)</f>
        <v/>
      </c>
      <c r="I68" s="31">
        <f>IF(H68="","",H68/Config!$B$12-1)</f>
        <v/>
      </c>
      <c r="J68" s="33">
        <f>IF(H68="","",IF(H68&lt;Config!$B$12,"Abaixo do mínimo",IF(H68&lt;Config!$B$13,"Na faixa","Acima do alvo")))</f>
        <v/>
      </c>
      <c r="K68" s="25">
        <f>IF(H68="","",MAX(0,Config!$B$12*G68-F68))</f>
        <v/>
      </c>
      <c r="L68" s="41">
        <f>IF(K68="","",K68+ROW()/1000000)</f>
        <v/>
      </c>
    </row>
    <row r="69">
      <c r="A69" s="22" t="n"/>
      <c r="B69" s="22" t="n"/>
      <c r="C69" s="24" t="n"/>
      <c r="D69" s="24" t="n"/>
      <c r="E69" s="24" t="n"/>
      <c r="F69" s="40" t="n"/>
      <c r="G69" s="23" t="n"/>
      <c r="H69" s="30">
        <f>IF(OR(A69="",G69="",G69=0,F69=""),"",F69/G69)</f>
        <v/>
      </c>
      <c r="I69" s="31">
        <f>IF(H69="","",H69/Config!$B$12-1)</f>
        <v/>
      </c>
      <c r="J69" s="33">
        <f>IF(H69="","",IF(H69&lt;Config!$B$12,"Abaixo do mínimo",IF(H69&lt;Config!$B$13,"Na faixa","Acima do alvo")))</f>
        <v/>
      </c>
      <c r="K69" s="25">
        <f>IF(H69="","",MAX(0,Config!$B$12*G69-F69))</f>
        <v/>
      </c>
      <c r="L69" s="41">
        <f>IF(K69="","",K69+ROW()/1000000)</f>
        <v/>
      </c>
    </row>
    <row r="70">
      <c r="A70" s="22" t="n"/>
      <c r="B70" s="22" t="n"/>
      <c r="C70" s="24" t="n"/>
      <c r="D70" s="24" t="n"/>
      <c r="E70" s="24" t="n"/>
      <c r="F70" s="40" t="n"/>
      <c r="G70" s="23" t="n"/>
      <c r="H70" s="30">
        <f>IF(OR(A70="",G70="",G70=0,F70=""),"",F70/G70)</f>
        <v/>
      </c>
      <c r="I70" s="31">
        <f>IF(H70="","",H70/Config!$B$12-1)</f>
        <v/>
      </c>
      <c r="J70" s="33">
        <f>IF(H70="","",IF(H70&lt;Config!$B$12,"Abaixo do mínimo",IF(H70&lt;Config!$B$13,"Na faixa","Acima do alvo")))</f>
        <v/>
      </c>
      <c r="K70" s="25">
        <f>IF(H70="","",MAX(0,Config!$B$12*G70-F70))</f>
        <v/>
      </c>
      <c r="L70" s="41">
        <f>IF(K70="","",K70+ROW()/1000000)</f>
        <v/>
      </c>
    </row>
    <row r="71">
      <c r="A71" s="22" t="n"/>
      <c r="B71" s="22" t="n"/>
      <c r="C71" s="24" t="n"/>
      <c r="D71" s="24" t="n"/>
      <c r="E71" s="24" t="n"/>
      <c r="F71" s="40" t="n"/>
      <c r="G71" s="23" t="n"/>
      <c r="H71" s="30">
        <f>IF(OR(A71="",G71="",G71=0,F71=""),"",F71/G71)</f>
        <v/>
      </c>
      <c r="I71" s="31">
        <f>IF(H71="","",H71/Config!$B$12-1)</f>
        <v/>
      </c>
      <c r="J71" s="33">
        <f>IF(H71="","",IF(H71&lt;Config!$B$12,"Abaixo do mínimo",IF(H71&lt;Config!$B$13,"Na faixa","Acima do alvo")))</f>
        <v/>
      </c>
      <c r="K71" s="25">
        <f>IF(H71="","",MAX(0,Config!$B$12*G71-F71))</f>
        <v/>
      </c>
      <c r="L71" s="41">
        <f>IF(K71="","",K71+ROW()/1000000)</f>
        <v/>
      </c>
    </row>
    <row r="72">
      <c r="A72" s="22" t="n"/>
      <c r="B72" s="22" t="n"/>
      <c r="C72" s="24" t="n"/>
      <c r="D72" s="24" t="n"/>
      <c r="E72" s="24" t="n"/>
      <c r="F72" s="40" t="n"/>
      <c r="G72" s="23" t="n"/>
      <c r="H72" s="30">
        <f>IF(OR(A72="",G72="",G72=0,F72=""),"",F72/G72)</f>
        <v/>
      </c>
      <c r="I72" s="31">
        <f>IF(H72="","",H72/Config!$B$12-1)</f>
        <v/>
      </c>
      <c r="J72" s="33">
        <f>IF(H72="","",IF(H72&lt;Config!$B$12,"Abaixo do mínimo",IF(H72&lt;Config!$B$13,"Na faixa","Acima do alvo")))</f>
        <v/>
      </c>
      <c r="K72" s="25">
        <f>IF(H72="","",MAX(0,Config!$B$12*G72-F72))</f>
        <v/>
      </c>
      <c r="L72" s="41">
        <f>IF(K72="","",K72+ROW()/1000000)</f>
        <v/>
      </c>
    </row>
    <row r="73">
      <c r="A73" s="22" t="n"/>
      <c r="B73" s="22" t="n"/>
      <c r="C73" s="24" t="n"/>
      <c r="D73" s="24" t="n"/>
      <c r="E73" s="24" t="n"/>
      <c r="F73" s="40" t="n"/>
      <c r="G73" s="23" t="n"/>
      <c r="H73" s="30">
        <f>IF(OR(A73="",G73="",G73=0,F73=""),"",F73/G73)</f>
        <v/>
      </c>
      <c r="I73" s="31">
        <f>IF(H73="","",H73/Config!$B$12-1)</f>
        <v/>
      </c>
      <c r="J73" s="33">
        <f>IF(H73="","",IF(H73&lt;Config!$B$12,"Abaixo do mínimo",IF(H73&lt;Config!$B$13,"Na faixa","Acima do alvo")))</f>
        <v/>
      </c>
      <c r="K73" s="25">
        <f>IF(H73="","",MAX(0,Config!$B$12*G73-F73))</f>
        <v/>
      </c>
      <c r="L73" s="41">
        <f>IF(K73="","",K73+ROW()/1000000)</f>
        <v/>
      </c>
    </row>
    <row r="74">
      <c r="A74" s="22" t="n"/>
      <c r="B74" s="22" t="n"/>
      <c r="C74" s="24" t="n"/>
      <c r="D74" s="24" t="n"/>
      <c r="E74" s="24" t="n"/>
      <c r="F74" s="40" t="n"/>
      <c r="G74" s="23" t="n"/>
      <c r="H74" s="30">
        <f>IF(OR(A74="",G74="",G74=0,F74=""),"",F74/G74)</f>
        <v/>
      </c>
      <c r="I74" s="31">
        <f>IF(H74="","",H74/Config!$B$12-1)</f>
        <v/>
      </c>
      <c r="J74" s="33">
        <f>IF(H74="","",IF(H74&lt;Config!$B$12,"Abaixo do mínimo",IF(H74&lt;Config!$B$13,"Na faixa","Acima do alvo")))</f>
        <v/>
      </c>
      <c r="K74" s="25">
        <f>IF(H74="","",MAX(0,Config!$B$12*G74-F74))</f>
        <v/>
      </c>
      <c r="L74" s="41">
        <f>IF(K74="","",K74+ROW()/1000000)</f>
        <v/>
      </c>
    </row>
    <row r="75">
      <c r="A75" s="22" t="n"/>
      <c r="B75" s="22" t="n"/>
      <c r="C75" s="24" t="n"/>
      <c r="D75" s="24" t="n"/>
      <c r="E75" s="24" t="n"/>
      <c r="F75" s="40" t="n"/>
      <c r="G75" s="23" t="n"/>
      <c r="H75" s="30">
        <f>IF(OR(A75="",G75="",G75=0,F75=""),"",F75/G75)</f>
        <v/>
      </c>
      <c r="I75" s="31">
        <f>IF(H75="","",H75/Config!$B$12-1)</f>
        <v/>
      </c>
      <c r="J75" s="33">
        <f>IF(H75="","",IF(H75&lt;Config!$B$12,"Abaixo do mínimo",IF(H75&lt;Config!$B$13,"Na faixa","Acima do alvo")))</f>
        <v/>
      </c>
      <c r="K75" s="25">
        <f>IF(H75="","",MAX(0,Config!$B$12*G75-F75))</f>
        <v/>
      </c>
      <c r="L75" s="41">
        <f>IF(K75="","",K75+ROW()/1000000)</f>
        <v/>
      </c>
    </row>
    <row r="76">
      <c r="A76" s="22" t="n"/>
      <c r="B76" s="22" t="n"/>
      <c r="C76" s="24" t="n"/>
      <c r="D76" s="24" t="n"/>
      <c r="E76" s="24" t="n"/>
      <c r="F76" s="40" t="n"/>
      <c r="G76" s="23" t="n"/>
      <c r="H76" s="30">
        <f>IF(OR(A76="",G76="",G76=0,F76=""),"",F76/G76)</f>
        <v/>
      </c>
      <c r="I76" s="31">
        <f>IF(H76="","",H76/Config!$B$12-1)</f>
        <v/>
      </c>
      <c r="J76" s="33">
        <f>IF(H76="","",IF(H76&lt;Config!$B$12,"Abaixo do mínimo",IF(H76&lt;Config!$B$13,"Na faixa","Acima do alvo")))</f>
        <v/>
      </c>
      <c r="K76" s="25">
        <f>IF(H76="","",MAX(0,Config!$B$12*G76-F76))</f>
        <v/>
      </c>
      <c r="L76" s="41">
        <f>IF(K76="","",K76+ROW()/1000000)</f>
        <v/>
      </c>
    </row>
    <row r="77">
      <c r="A77" s="22" t="n"/>
      <c r="B77" s="22" t="n"/>
      <c r="C77" s="24" t="n"/>
      <c r="D77" s="24" t="n"/>
      <c r="E77" s="24" t="n"/>
      <c r="F77" s="40" t="n"/>
      <c r="G77" s="23" t="n"/>
      <c r="H77" s="30">
        <f>IF(OR(A77="",G77="",G77=0,F77=""),"",F77/G77)</f>
        <v/>
      </c>
      <c r="I77" s="31">
        <f>IF(H77="","",H77/Config!$B$12-1)</f>
        <v/>
      </c>
      <c r="J77" s="33">
        <f>IF(H77="","",IF(H77&lt;Config!$B$12,"Abaixo do mínimo",IF(H77&lt;Config!$B$13,"Na faixa","Acima do alvo")))</f>
        <v/>
      </c>
      <c r="K77" s="25">
        <f>IF(H77="","",MAX(0,Config!$B$12*G77-F77))</f>
        <v/>
      </c>
      <c r="L77" s="41">
        <f>IF(K77="","",K77+ROW()/1000000)</f>
        <v/>
      </c>
    </row>
    <row r="78">
      <c r="A78" s="22" t="n"/>
      <c r="B78" s="22" t="n"/>
      <c r="C78" s="24" t="n"/>
      <c r="D78" s="24" t="n"/>
      <c r="E78" s="24" t="n"/>
      <c r="F78" s="40" t="n"/>
      <c r="G78" s="23" t="n"/>
      <c r="H78" s="30">
        <f>IF(OR(A78="",G78="",G78=0,F78=""),"",F78/G78)</f>
        <v/>
      </c>
      <c r="I78" s="31">
        <f>IF(H78="","",H78/Config!$B$12-1)</f>
        <v/>
      </c>
      <c r="J78" s="33">
        <f>IF(H78="","",IF(H78&lt;Config!$B$12,"Abaixo do mínimo",IF(H78&lt;Config!$B$13,"Na faixa","Acima do alvo")))</f>
        <v/>
      </c>
      <c r="K78" s="25">
        <f>IF(H78="","",MAX(0,Config!$B$12*G78-F78))</f>
        <v/>
      </c>
      <c r="L78" s="41">
        <f>IF(K78="","",K78+ROW()/1000000)</f>
        <v/>
      </c>
    </row>
    <row r="79">
      <c r="A79" s="22" t="n"/>
      <c r="B79" s="22" t="n"/>
      <c r="C79" s="24" t="n"/>
      <c r="D79" s="24" t="n"/>
      <c r="E79" s="24" t="n"/>
      <c r="F79" s="40" t="n"/>
      <c r="G79" s="23" t="n"/>
      <c r="H79" s="30">
        <f>IF(OR(A79="",G79="",G79=0,F79=""),"",F79/G79)</f>
        <v/>
      </c>
      <c r="I79" s="31">
        <f>IF(H79="","",H79/Config!$B$12-1)</f>
        <v/>
      </c>
      <c r="J79" s="33">
        <f>IF(H79="","",IF(H79&lt;Config!$B$12,"Abaixo do mínimo",IF(H79&lt;Config!$B$13,"Na faixa","Acima do alvo")))</f>
        <v/>
      </c>
      <c r="K79" s="25">
        <f>IF(H79="","",MAX(0,Config!$B$12*G79-F79))</f>
        <v/>
      </c>
      <c r="L79" s="41">
        <f>IF(K79="","",K79+ROW()/1000000)</f>
        <v/>
      </c>
    </row>
    <row r="80">
      <c r="A80" s="22" t="n"/>
      <c r="B80" s="22" t="n"/>
      <c r="C80" s="24" t="n"/>
      <c r="D80" s="24" t="n"/>
      <c r="E80" s="24" t="n"/>
      <c r="F80" s="40" t="n"/>
      <c r="G80" s="23" t="n"/>
      <c r="H80" s="30">
        <f>IF(OR(A80="",G80="",G80=0,F80=""),"",F80/G80)</f>
        <v/>
      </c>
      <c r="I80" s="31">
        <f>IF(H80="","",H80/Config!$B$12-1)</f>
        <v/>
      </c>
      <c r="J80" s="33">
        <f>IF(H80="","",IF(H80&lt;Config!$B$12,"Abaixo do mínimo",IF(H80&lt;Config!$B$13,"Na faixa","Acima do alvo")))</f>
        <v/>
      </c>
      <c r="K80" s="25">
        <f>IF(H80="","",MAX(0,Config!$B$12*G80-F80))</f>
        <v/>
      </c>
      <c r="L80" s="41">
        <f>IF(K80="","",K80+ROW()/1000000)</f>
        <v/>
      </c>
    </row>
    <row r="81">
      <c r="A81" s="22" t="n"/>
      <c r="B81" s="22" t="n"/>
      <c r="C81" s="24" t="n"/>
      <c r="D81" s="24" t="n"/>
      <c r="E81" s="24" t="n"/>
      <c r="F81" s="40" t="n"/>
      <c r="G81" s="23" t="n"/>
      <c r="H81" s="30">
        <f>IF(OR(A81="",G81="",G81=0,F81=""),"",F81/G81)</f>
        <v/>
      </c>
      <c r="I81" s="31">
        <f>IF(H81="","",H81/Config!$B$12-1)</f>
        <v/>
      </c>
      <c r="J81" s="33">
        <f>IF(H81="","",IF(H81&lt;Config!$B$12,"Abaixo do mínimo",IF(H81&lt;Config!$B$13,"Na faixa","Acima do alvo")))</f>
        <v/>
      </c>
      <c r="K81" s="25">
        <f>IF(H81="","",MAX(0,Config!$B$12*G81-F81))</f>
        <v/>
      </c>
      <c r="L81" s="41">
        <f>IF(K81="","",K81+ROW()/1000000)</f>
        <v/>
      </c>
    </row>
    <row r="82">
      <c r="A82" s="22" t="n"/>
      <c r="B82" s="22" t="n"/>
      <c r="C82" s="24" t="n"/>
      <c r="D82" s="24" t="n"/>
      <c r="E82" s="24" t="n"/>
      <c r="F82" s="40" t="n"/>
      <c r="G82" s="23" t="n"/>
      <c r="H82" s="30">
        <f>IF(OR(A82="",G82="",G82=0,F82=""),"",F82/G82)</f>
        <v/>
      </c>
      <c r="I82" s="31">
        <f>IF(H82="","",H82/Config!$B$12-1)</f>
        <v/>
      </c>
      <c r="J82" s="33">
        <f>IF(H82="","",IF(H82&lt;Config!$B$12,"Abaixo do mínimo",IF(H82&lt;Config!$B$13,"Na faixa","Acima do alvo")))</f>
        <v/>
      </c>
      <c r="K82" s="25">
        <f>IF(H82="","",MAX(0,Config!$B$12*G82-F82))</f>
        <v/>
      </c>
      <c r="L82" s="41">
        <f>IF(K82="","",K82+ROW()/1000000)</f>
        <v/>
      </c>
    </row>
    <row r="83">
      <c r="A83" s="22" t="n"/>
      <c r="B83" s="22" t="n"/>
      <c r="C83" s="24" t="n"/>
      <c r="D83" s="24" t="n"/>
      <c r="E83" s="24" t="n"/>
      <c r="F83" s="40" t="n"/>
      <c r="G83" s="23" t="n"/>
      <c r="H83" s="30">
        <f>IF(OR(A83="",G83="",G83=0,F83=""),"",F83/G83)</f>
        <v/>
      </c>
      <c r="I83" s="31">
        <f>IF(H83="","",H83/Config!$B$12-1)</f>
        <v/>
      </c>
      <c r="J83" s="33">
        <f>IF(H83="","",IF(H83&lt;Config!$B$12,"Abaixo do mínimo",IF(H83&lt;Config!$B$13,"Na faixa","Acima do alvo")))</f>
        <v/>
      </c>
      <c r="K83" s="25">
        <f>IF(H83="","",MAX(0,Config!$B$12*G83-F83))</f>
        <v/>
      </c>
      <c r="L83" s="41">
        <f>IF(K83="","",K83+ROW()/1000000)</f>
        <v/>
      </c>
    </row>
    <row r="84">
      <c r="A84" s="22" t="n"/>
      <c r="B84" s="22" t="n"/>
      <c r="C84" s="24" t="n"/>
      <c r="D84" s="24" t="n"/>
      <c r="E84" s="24" t="n"/>
      <c r="F84" s="40" t="n"/>
      <c r="G84" s="23" t="n"/>
      <c r="H84" s="30">
        <f>IF(OR(A84="",G84="",G84=0,F84=""),"",F84/G84)</f>
        <v/>
      </c>
      <c r="I84" s="31">
        <f>IF(H84="","",H84/Config!$B$12-1)</f>
        <v/>
      </c>
      <c r="J84" s="33">
        <f>IF(H84="","",IF(H84&lt;Config!$B$12,"Abaixo do mínimo",IF(H84&lt;Config!$B$13,"Na faixa","Acima do alvo")))</f>
        <v/>
      </c>
      <c r="K84" s="25">
        <f>IF(H84="","",MAX(0,Config!$B$12*G84-F84))</f>
        <v/>
      </c>
      <c r="L84" s="41">
        <f>IF(K84="","",K84+ROW()/1000000)</f>
        <v/>
      </c>
    </row>
    <row r="85">
      <c r="A85" s="22" t="n"/>
      <c r="B85" s="22" t="n"/>
      <c r="C85" s="24" t="n"/>
      <c r="D85" s="24" t="n"/>
      <c r="E85" s="24" t="n"/>
      <c r="F85" s="40" t="n"/>
      <c r="G85" s="23" t="n"/>
      <c r="H85" s="30">
        <f>IF(OR(A85="",G85="",G85=0,F85=""),"",F85/G85)</f>
        <v/>
      </c>
      <c r="I85" s="31">
        <f>IF(H85="","",H85/Config!$B$12-1)</f>
        <v/>
      </c>
      <c r="J85" s="33">
        <f>IF(H85="","",IF(H85&lt;Config!$B$12,"Abaixo do mínimo",IF(H85&lt;Config!$B$13,"Na faixa","Acima do alvo")))</f>
        <v/>
      </c>
      <c r="K85" s="25">
        <f>IF(H85="","",MAX(0,Config!$B$12*G85-F85))</f>
        <v/>
      </c>
      <c r="L85" s="41">
        <f>IF(K85="","",K85+ROW()/1000000)</f>
        <v/>
      </c>
    </row>
    <row r="86">
      <c r="A86" s="22" t="n"/>
      <c r="B86" s="22" t="n"/>
      <c r="C86" s="24" t="n"/>
      <c r="D86" s="24" t="n"/>
      <c r="E86" s="24" t="n"/>
      <c r="F86" s="40" t="n"/>
      <c r="G86" s="23" t="n"/>
      <c r="H86" s="30">
        <f>IF(OR(A86="",G86="",G86=0,F86=""),"",F86/G86)</f>
        <v/>
      </c>
      <c r="I86" s="31">
        <f>IF(H86="","",H86/Config!$B$12-1)</f>
        <v/>
      </c>
      <c r="J86" s="33">
        <f>IF(H86="","",IF(H86&lt;Config!$B$12,"Abaixo do mínimo",IF(H86&lt;Config!$B$13,"Na faixa","Acima do alvo")))</f>
        <v/>
      </c>
      <c r="K86" s="25">
        <f>IF(H86="","",MAX(0,Config!$B$12*G86-F86))</f>
        <v/>
      </c>
      <c r="L86" s="41">
        <f>IF(K86="","",K86+ROW()/1000000)</f>
        <v/>
      </c>
    </row>
    <row r="87">
      <c r="A87" s="22" t="n"/>
      <c r="B87" s="22" t="n"/>
      <c r="C87" s="24" t="n"/>
      <c r="D87" s="24" t="n"/>
      <c r="E87" s="24" t="n"/>
      <c r="F87" s="40" t="n"/>
      <c r="G87" s="23" t="n"/>
      <c r="H87" s="30">
        <f>IF(OR(A87="",G87="",G87=0,F87=""),"",F87/G87)</f>
        <v/>
      </c>
      <c r="I87" s="31">
        <f>IF(H87="","",H87/Config!$B$12-1)</f>
        <v/>
      </c>
      <c r="J87" s="33">
        <f>IF(H87="","",IF(H87&lt;Config!$B$12,"Abaixo do mínimo",IF(H87&lt;Config!$B$13,"Na faixa","Acima do alvo")))</f>
        <v/>
      </c>
      <c r="K87" s="25">
        <f>IF(H87="","",MAX(0,Config!$B$12*G87-F87))</f>
        <v/>
      </c>
      <c r="L87" s="41">
        <f>IF(K87="","",K87+ROW()/1000000)</f>
        <v/>
      </c>
    </row>
    <row r="88">
      <c r="A88" s="22" t="n"/>
      <c r="B88" s="22" t="n"/>
      <c r="C88" s="24" t="n"/>
      <c r="D88" s="24" t="n"/>
      <c r="E88" s="24" t="n"/>
      <c r="F88" s="40" t="n"/>
      <c r="G88" s="23" t="n"/>
      <c r="H88" s="30">
        <f>IF(OR(A88="",G88="",G88=0,F88=""),"",F88/G88)</f>
        <v/>
      </c>
      <c r="I88" s="31">
        <f>IF(H88="","",H88/Config!$B$12-1)</f>
        <v/>
      </c>
      <c r="J88" s="33">
        <f>IF(H88="","",IF(H88&lt;Config!$B$12,"Abaixo do mínimo",IF(H88&lt;Config!$B$13,"Na faixa","Acima do alvo")))</f>
        <v/>
      </c>
      <c r="K88" s="25">
        <f>IF(H88="","",MAX(0,Config!$B$12*G88-F88))</f>
        <v/>
      </c>
      <c r="L88" s="41">
        <f>IF(K88="","",K88+ROW()/1000000)</f>
        <v/>
      </c>
    </row>
    <row r="89">
      <c r="A89" s="22" t="n"/>
      <c r="B89" s="22" t="n"/>
      <c r="C89" s="24" t="n"/>
      <c r="D89" s="24" t="n"/>
      <c r="E89" s="24" t="n"/>
      <c r="F89" s="40" t="n"/>
      <c r="G89" s="23" t="n"/>
      <c r="H89" s="30">
        <f>IF(OR(A89="",G89="",G89=0,F89=""),"",F89/G89)</f>
        <v/>
      </c>
      <c r="I89" s="31">
        <f>IF(H89="","",H89/Config!$B$12-1)</f>
        <v/>
      </c>
      <c r="J89" s="33">
        <f>IF(H89="","",IF(H89&lt;Config!$B$12,"Abaixo do mínimo",IF(H89&lt;Config!$B$13,"Na faixa","Acima do alvo")))</f>
        <v/>
      </c>
      <c r="K89" s="25">
        <f>IF(H89="","",MAX(0,Config!$B$12*G89-F89))</f>
        <v/>
      </c>
      <c r="L89" s="41">
        <f>IF(K89="","",K89+ROW()/1000000)</f>
        <v/>
      </c>
    </row>
    <row r="90">
      <c r="A90" s="22" t="n"/>
      <c r="B90" s="22" t="n"/>
      <c r="C90" s="24" t="n"/>
      <c r="D90" s="24" t="n"/>
      <c r="E90" s="24" t="n"/>
      <c r="F90" s="40" t="n"/>
      <c r="G90" s="23" t="n"/>
      <c r="H90" s="30">
        <f>IF(OR(A90="",G90="",G90=0,F90=""),"",F90/G90)</f>
        <v/>
      </c>
      <c r="I90" s="31">
        <f>IF(H90="","",H90/Config!$B$12-1)</f>
        <v/>
      </c>
      <c r="J90" s="33">
        <f>IF(H90="","",IF(H90&lt;Config!$B$12,"Abaixo do mínimo",IF(H90&lt;Config!$B$13,"Na faixa","Acima do alvo")))</f>
        <v/>
      </c>
      <c r="K90" s="25">
        <f>IF(H90="","",MAX(0,Config!$B$12*G90-F90))</f>
        <v/>
      </c>
      <c r="L90" s="41">
        <f>IF(K90="","",K90+ROW()/1000000)</f>
        <v/>
      </c>
    </row>
    <row r="91">
      <c r="A91" s="22" t="n"/>
      <c r="B91" s="22" t="n"/>
      <c r="C91" s="24" t="n"/>
      <c r="D91" s="24" t="n"/>
      <c r="E91" s="24" t="n"/>
      <c r="F91" s="40" t="n"/>
      <c r="G91" s="23" t="n"/>
      <c r="H91" s="30">
        <f>IF(OR(A91="",G91="",G91=0,F91=""),"",F91/G91)</f>
        <v/>
      </c>
      <c r="I91" s="31">
        <f>IF(H91="","",H91/Config!$B$12-1)</f>
        <v/>
      </c>
      <c r="J91" s="33">
        <f>IF(H91="","",IF(H91&lt;Config!$B$12,"Abaixo do mínimo",IF(H91&lt;Config!$B$13,"Na faixa","Acima do alvo")))</f>
        <v/>
      </c>
      <c r="K91" s="25">
        <f>IF(H91="","",MAX(0,Config!$B$12*G91-F91))</f>
        <v/>
      </c>
      <c r="L91" s="41">
        <f>IF(K91="","",K91+ROW()/1000000)</f>
        <v/>
      </c>
    </row>
    <row r="92">
      <c r="A92" s="22" t="n"/>
      <c r="B92" s="22" t="n"/>
      <c r="C92" s="24" t="n"/>
      <c r="D92" s="24" t="n"/>
      <c r="E92" s="24" t="n"/>
      <c r="F92" s="40" t="n"/>
      <c r="G92" s="23" t="n"/>
      <c r="H92" s="30">
        <f>IF(OR(A92="",G92="",G92=0,F92=""),"",F92/G92)</f>
        <v/>
      </c>
      <c r="I92" s="31">
        <f>IF(H92="","",H92/Config!$B$12-1)</f>
        <v/>
      </c>
      <c r="J92" s="33">
        <f>IF(H92="","",IF(H92&lt;Config!$B$12,"Abaixo do mínimo",IF(H92&lt;Config!$B$13,"Na faixa","Acima do alvo")))</f>
        <v/>
      </c>
      <c r="K92" s="25">
        <f>IF(H92="","",MAX(0,Config!$B$12*G92-F92))</f>
        <v/>
      </c>
      <c r="L92" s="41">
        <f>IF(K92="","",K92+ROW()/1000000)</f>
        <v/>
      </c>
    </row>
    <row r="93">
      <c r="A93" s="22" t="n"/>
      <c r="B93" s="22" t="n"/>
      <c r="C93" s="24" t="n"/>
      <c r="D93" s="24" t="n"/>
      <c r="E93" s="24" t="n"/>
      <c r="F93" s="40" t="n"/>
      <c r="G93" s="23" t="n"/>
      <c r="H93" s="30">
        <f>IF(OR(A93="",G93="",G93=0,F93=""),"",F93/G93)</f>
        <v/>
      </c>
      <c r="I93" s="31">
        <f>IF(H93="","",H93/Config!$B$12-1)</f>
        <v/>
      </c>
      <c r="J93" s="33">
        <f>IF(H93="","",IF(H93&lt;Config!$B$12,"Abaixo do mínimo",IF(H93&lt;Config!$B$13,"Na faixa","Acima do alvo")))</f>
        <v/>
      </c>
      <c r="K93" s="25">
        <f>IF(H93="","",MAX(0,Config!$B$12*G93-F93))</f>
        <v/>
      </c>
      <c r="L93" s="41">
        <f>IF(K93="","",K93+ROW()/1000000)</f>
        <v/>
      </c>
    </row>
    <row r="94">
      <c r="A94" s="22" t="n"/>
      <c r="B94" s="22" t="n"/>
      <c r="C94" s="24" t="n"/>
      <c r="D94" s="24" t="n"/>
      <c r="E94" s="24" t="n"/>
      <c r="F94" s="40" t="n"/>
      <c r="G94" s="23" t="n"/>
      <c r="H94" s="30">
        <f>IF(OR(A94="",G94="",G94=0,F94=""),"",F94/G94)</f>
        <v/>
      </c>
      <c r="I94" s="31">
        <f>IF(H94="","",H94/Config!$B$12-1)</f>
        <v/>
      </c>
      <c r="J94" s="33">
        <f>IF(H94="","",IF(H94&lt;Config!$B$12,"Abaixo do mínimo",IF(H94&lt;Config!$B$13,"Na faixa","Acima do alvo")))</f>
        <v/>
      </c>
      <c r="K94" s="25">
        <f>IF(H94="","",MAX(0,Config!$B$12*G94-F94))</f>
        <v/>
      </c>
      <c r="L94" s="41">
        <f>IF(K94="","",K94+ROW()/1000000)</f>
        <v/>
      </c>
    </row>
    <row r="95">
      <c r="A95" s="22" t="n"/>
      <c r="B95" s="22" t="n"/>
      <c r="C95" s="24" t="n"/>
      <c r="D95" s="24" t="n"/>
      <c r="E95" s="24" t="n"/>
      <c r="F95" s="40" t="n"/>
      <c r="G95" s="23" t="n"/>
      <c r="H95" s="30">
        <f>IF(OR(A95="",G95="",G95=0,F95=""),"",F95/G95)</f>
        <v/>
      </c>
      <c r="I95" s="31">
        <f>IF(H95="","",H95/Config!$B$12-1)</f>
        <v/>
      </c>
      <c r="J95" s="33">
        <f>IF(H95="","",IF(H95&lt;Config!$B$12,"Abaixo do mínimo",IF(H95&lt;Config!$B$13,"Na faixa","Acima do alvo")))</f>
        <v/>
      </c>
      <c r="K95" s="25">
        <f>IF(H95="","",MAX(0,Config!$B$12*G95-F95))</f>
        <v/>
      </c>
      <c r="L95" s="41">
        <f>IF(K95="","",K95+ROW()/1000000)</f>
        <v/>
      </c>
    </row>
    <row r="96">
      <c r="A96" s="22" t="n"/>
      <c r="B96" s="22" t="n"/>
      <c r="C96" s="24" t="n"/>
      <c r="D96" s="24" t="n"/>
      <c r="E96" s="24" t="n"/>
      <c r="F96" s="40" t="n"/>
      <c r="G96" s="23" t="n"/>
      <c r="H96" s="30">
        <f>IF(OR(A96="",G96="",G96=0,F96=""),"",F96/G96)</f>
        <v/>
      </c>
      <c r="I96" s="31">
        <f>IF(H96="","",H96/Config!$B$12-1)</f>
        <v/>
      </c>
      <c r="J96" s="33">
        <f>IF(H96="","",IF(H96&lt;Config!$B$12,"Abaixo do mínimo",IF(H96&lt;Config!$B$13,"Na faixa","Acima do alvo")))</f>
        <v/>
      </c>
      <c r="K96" s="25">
        <f>IF(H96="","",MAX(0,Config!$B$12*G96-F96))</f>
        <v/>
      </c>
      <c r="L96" s="41">
        <f>IF(K96="","",K96+ROW()/1000000)</f>
        <v/>
      </c>
    </row>
    <row r="97">
      <c r="A97" s="22" t="n"/>
      <c r="B97" s="22" t="n"/>
      <c r="C97" s="24" t="n"/>
      <c r="D97" s="24" t="n"/>
      <c r="E97" s="24" t="n"/>
      <c r="F97" s="40" t="n"/>
      <c r="G97" s="23" t="n"/>
      <c r="H97" s="30">
        <f>IF(OR(A97="",G97="",G97=0,F97=""),"",F97/G97)</f>
        <v/>
      </c>
      <c r="I97" s="31">
        <f>IF(H97="","",H97/Config!$B$12-1)</f>
        <v/>
      </c>
      <c r="J97" s="33">
        <f>IF(H97="","",IF(H97&lt;Config!$B$12,"Abaixo do mínimo",IF(H97&lt;Config!$B$13,"Na faixa","Acima do alvo")))</f>
        <v/>
      </c>
      <c r="K97" s="25">
        <f>IF(H97="","",MAX(0,Config!$B$12*G97-F97))</f>
        <v/>
      </c>
      <c r="L97" s="41">
        <f>IF(K97="","",K97+ROW()/1000000)</f>
        <v/>
      </c>
    </row>
    <row r="98">
      <c r="A98" s="22" t="n"/>
      <c r="B98" s="22" t="n"/>
      <c r="C98" s="24" t="n"/>
      <c r="D98" s="24" t="n"/>
      <c r="E98" s="24" t="n"/>
      <c r="F98" s="40" t="n"/>
      <c r="G98" s="23" t="n"/>
      <c r="H98" s="30">
        <f>IF(OR(A98="",G98="",G98=0,F98=""),"",F98/G98)</f>
        <v/>
      </c>
      <c r="I98" s="31">
        <f>IF(H98="","",H98/Config!$B$12-1)</f>
        <v/>
      </c>
      <c r="J98" s="33">
        <f>IF(H98="","",IF(H98&lt;Config!$B$12,"Abaixo do mínimo",IF(H98&lt;Config!$B$13,"Na faixa","Acima do alvo")))</f>
        <v/>
      </c>
      <c r="K98" s="25">
        <f>IF(H98="","",MAX(0,Config!$B$12*G98-F98))</f>
        <v/>
      </c>
      <c r="L98" s="41">
        <f>IF(K98="","",K98+ROW()/1000000)</f>
        <v/>
      </c>
    </row>
    <row r="99">
      <c r="A99" s="22" t="n"/>
      <c r="B99" s="22" t="n"/>
      <c r="C99" s="24" t="n"/>
      <c r="D99" s="24" t="n"/>
      <c r="E99" s="24" t="n"/>
      <c r="F99" s="40" t="n"/>
      <c r="G99" s="23" t="n"/>
      <c r="H99" s="30">
        <f>IF(OR(A99="",G99="",G99=0,F99=""),"",F99/G99)</f>
        <v/>
      </c>
      <c r="I99" s="31">
        <f>IF(H99="","",H99/Config!$B$12-1)</f>
        <v/>
      </c>
      <c r="J99" s="33">
        <f>IF(H99="","",IF(H99&lt;Config!$B$12,"Abaixo do mínimo",IF(H99&lt;Config!$B$13,"Na faixa","Acima do alvo")))</f>
        <v/>
      </c>
      <c r="K99" s="25">
        <f>IF(H99="","",MAX(0,Config!$B$12*G99-F99))</f>
        <v/>
      </c>
      <c r="L99" s="41">
        <f>IF(K99="","",K99+ROW()/1000000)</f>
        <v/>
      </c>
    </row>
    <row r="100">
      <c r="A100" s="22" t="n"/>
      <c r="B100" s="22" t="n"/>
      <c r="C100" s="24" t="n"/>
      <c r="D100" s="24" t="n"/>
      <c r="E100" s="24" t="n"/>
      <c r="F100" s="40" t="n"/>
      <c r="G100" s="23" t="n"/>
      <c r="H100" s="30">
        <f>IF(OR(A100="",G100="",G100=0,F100=""),"",F100/G100)</f>
        <v/>
      </c>
      <c r="I100" s="31">
        <f>IF(H100="","",H100/Config!$B$12-1)</f>
        <v/>
      </c>
      <c r="J100" s="33">
        <f>IF(H100="","",IF(H100&lt;Config!$B$12,"Abaixo do mínimo",IF(H100&lt;Config!$B$13,"Na faixa","Acima do alvo")))</f>
        <v/>
      </c>
      <c r="K100" s="25">
        <f>IF(H100="","",MAX(0,Config!$B$12*G100-F100))</f>
        <v/>
      </c>
      <c r="L100" s="41">
        <f>IF(K100="","",K100+ROW()/1000000)</f>
        <v/>
      </c>
    </row>
    <row r="101">
      <c r="A101" s="22" t="n"/>
      <c r="B101" s="22" t="n"/>
      <c r="C101" s="24" t="n"/>
      <c r="D101" s="24" t="n"/>
      <c r="E101" s="24" t="n"/>
      <c r="F101" s="40" t="n"/>
      <c r="G101" s="23" t="n"/>
      <c r="H101" s="30">
        <f>IF(OR(A101="",G101="",G101=0,F101=""),"",F101/G101)</f>
        <v/>
      </c>
      <c r="I101" s="31">
        <f>IF(H101="","",H101/Config!$B$12-1)</f>
        <v/>
      </c>
      <c r="J101" s="33">
        <f>IF(H101="","",IF(H101&lt;Config!$B$12,"Abaixo do mínimo",IF(H101&lt;Config!$B$13,"Na faixa","Acima do alvo")))</f>
        <v/>
      </c>
      <c r="K101" s="25">
        <f>IF(H101="","",MAX(0,Config!$B$12*G101-F101))</f>
        <v/>
      </c>
      <c r="L101" s="41">
        <f>IF(K101="","",K101+ROW()/1000000)</f>
        <v/>
      </c>
    </row>
    <row r="102">
      <c r="A102" s="22" t="n"/>
      <c r="B102" s="22" t="n"/>
      <c r="C102" s="24" t="n"/>
      <c r="D102" s="24" t="n"/>
      <c r="E102" s="24" t="n"/>
      <c r="F102" s="40" t="n"/>
      <c r="G102" s="23" t="n"/>
      <c r="H102" s="30">
        <f>IF(OR(A102="",G102="",G102=0,F102=""),"",F102/G102)</f>
        <v/>
      </c>
      <c r="I102" s="31">
        <f>IF(H102="","",H102/Config!$B$12-1)</f>
        <v/>
      </c>
      <c r="J102" s="33">
        <f>IF(H102="","",IF(H102&lt;Config!$B$12,"Abaixo do mínimo",IF(H102&lt;Config!$B$13,"Na faixa","Acima do alvo")))</f>
        <v/>
      </c>
      <c r="K102" s="25">
        <f>IF(H102="","",MAX(0,Config!$B$12*G102-F102))</f>
        <v/>
      </c>
      <c r="L102" s="41">
        <f>IF(K102="","",K102+ROW()/1000000)</f>
        <v/>
      </c>
    </row>
    <row r="103">
      <c r="A103" s="22" t="n"/>
      <c r="B103" s="22" t="n"/>
      <c r="C103" s="24" t="n"/>
      <c r="D103" s="24" t="n"/>
      <c r="E103" s="24" t="n"/>
      <c r="F103" s="40" t="n"/>
      <c r="G103" s="23" t="n"/>
      <c r="H103" s="30">
        <f>IF(OR(A103="",G103="",G103=0,F103=""),"",F103/G103)</f>
        <v/>
      </c>
      <c r="I103" s="31">
        <f>IF(H103="","",H103/Config!$B$12-1)</f>
        <v/>
      </c>
      <c r="J103" s="33">
        <f>IF(H103="","",IF(H103&lt;Config!$B$12,"Abaixo do mínimo",IF(H103&lt;Config!$B$13,"Na faixa","Acima do alvo")))</f>
        <v/>
      </c>
      <c r="K103" s="25">
        <f>IF(H103="","",MAX(0,Config!$B$12*G103-F103))</f>
        <v/>
      </c>
      <c r="L103" s="41">
        <f>IF(K103="","",K103+ROW()/1000000)</f>
        <v/>
      </c>
    </row>
    <row r="104">
      <c r="A104" s="22" t="n"/>
      <c r="B104" s="22" t="n"/>
      <c r="C104" s="24" t="n"/>
      <c r="D104" s="24" t="n"/>
      <c r="E104" s="24" t="n"/>
      <c r="F104" s="40" t="n"/>
      <c r="G104" s="23" t="n"/>
      <c r="H104" s="30">
        <f>IF(OR(A104="",G104="",G104=0,F104=""),"",F104/G104)</f>
        <v/>
      </c>
      <c r="I104" s="31">
        <f>IF(H104="","",H104/Config!$B$12-1)</f>
        <v/>
      </c>
      <c r="J104" s="33">
        <f>IF(H104="","",IF(H104&lt;Config!$B$12,"Abaixo do mínimo",IF(H104&lt;Config!$B$13,"Na faixa","Acima do alvo")))</f>
        <v/>
      </c>
      <c r="K104" s="25">
        <f>IF(H104="","",MAX(0,Config!$B$12*G104-F104))</f>
        <v/>
      </c>
      <c r="L104" s="41">
        <f>IF(K104="","",K104+ROW()/1000000)</f>
        <v/>
      </c>
    </row>
    <row r="105">
      <c r="A105" s="22" t="n"/>
      <c r="B105" s="22" t="n"/>
      <c r="C105" s="24" t="n"/>
      <c r="D105" s="24" t="n"/>
      <c r="E105" s="24" t="n"/>
      <c r="F105" s="40" t="n"/>
      <c r="G105" s="23" t="n"/>
      <c r="H105" s="30">
        <f>IF(OR(A105="",G105="",G105=0,F105=""),"",F105/G105)</f>
        <v/>
      </c>
      <c r="I105" s="31">
        <f>IF(H105="","",H105/Config!$B$12-1)</f>
        <v/>
      </c>
      <c r="J105" s="33">
        <f>IF(H105="","",IF(H105&lt;Config!$B$12,"Abaixo do mínimo",IF(H105&lt;Config!$B$13,"Na faixa","Acima do alvo")))</f>
        <v/>
      </c>
      <c r="K105" s="25">
        <f>IF(H105="","",MAX(0,Config!$B$12*G105-F105))</f>
        <v/>
      </c>
      <c r="L105" s="41">
        <f>IF(K105="","",K105+ROW()/1000000)</f>
        <v/>
      </c>
    </row>
    <row r="106">
      <c r="A106" s="22" t="n"/>
      <c r="B106" s="22" t="n"/>
      <c r="C106" s="24" t="n"/>
      <c r="D106" s="24" t="n"/>
      <c r="E106" s="24" t="n"/>
      <c r="F106" s="40" t="n"/>
      <c r="G106" s="23" t="n"/>
      <c r="H106" s="30">
        <f>IF(OR(A106="",G106="",G106=0,F106=""),"",F106/G106)</f>
        <v/>
      </c>
      <c r="I106" s="31">
        <f>IF(H106="","",H106/Config!$B$12-1)</f>
        <v/>
      </c>
      <c r="J106" s="33">
        <f>IF(H106="","",IF(H106&lt;Config!$B$12,"Abaixo do mínimo",IF(H106&lt;Config!$B$13,"Na faixa","Acima do alvo")))</f>
        <v/>
      </c>
      <c r="K106" s="25">
        <f>IF(H106="","",MAX(0,Config!$B$12*G106-F106))</f>
        <v/>
      </c>
      <c r="L106" s="41">
        <f>IF(K106="","",K106+ROW()/1000000)</f>
        <v/>
      </c>
    </row>
    <row r="107">
      <c r="A107" s="22" t="n"/>
      <c r="B107" s="22" t="n"/>
      <c r="C107" s="24" t="n"/>
      <c r="D107" s="24" t="n"/>
      <c r="E107" s="24" t="n"/>
      <c r="F107" s="40" t="n"/>
      <c r="G107" s="23" t="n"/>
      <c r="H107" s="30">
        <f>IF(OR(A107="",G107="",G107=0,F107=""),"",F107/G107)</f>
        <v/>
      </c>
      <c r="I107" s="31">
        <f>IF(H107="","",H107/Config!$B$12-1)</f>
        <v/>
      </c>
      <c r="J107" s="33">
        <f>IF(H107="","",IF(H107&lt;Config!$B$12,"Abaixo do mínimo",IF(H107&lt;Config!$B$13,"Na faixa","Acima do alvo")))</f>
        <v/>
      </c>
      <c r="K107" s="25">
        <f>IF(H107="","",MAX(0,Config!$B$12*G107-F107))</f>
        <v/>
      </c>
      <c r="L107" s="41">
        <f>IF(K107="","",K107+ROW()/1000000)</f>
        <v/>
      </c>
    </row>
    <row r="108">
      <c r="A108" s="22" t="n"/>
      <c r="B108" s="22" t="n"/>
      <c r="C108" s="24" t="n"/>
      <c r="D108" s="24" t="n"/>
      <c r="E108" s="24" t="n"/>
      <c r="F108" s="40" t="n"/>
      <c r="G108" s="23" t="n"/>
      <c r="H108" s="30">
        <f>IF(OR(A108="",G108="",G108=0,F108=""),"",F108/G108)</f>
        <v/>
      </c>
      <c r="I108" s="31">
        <f>IF(H108="","",H108/Config!$B$12-1)</f>
        <v/>
      </c>
      <c r="J108" s="33">
        <f>IF(H108="","",IF(H108&lt;Config!$B$12,"Abaixo do mínimo",IF(H108&lt;Config!$B$13,"Na faixa","Acima do alvo")))</f>
        <v/>
      </c>
      <c r="K108" s="25">
        <f>IF(H108="","",MAX(0,Config!$B$12*G108-F108))</f>
        <v/>
      </c>
      <c r="L108" s="41">
        <f>IF(K108="","",K108+ROW()/1000000)</f>
        <v/>
      </c>
    </row>
    <row r="109">
      <c r="A109" s="22" t="n"/>
      <c r="B109" s="22" t="n"/>
      <c r="C109" s="24" t="n"/>
      <c r="D109" s="24" t="n"/>
      <c r="E109" s="24" t="n"/>
      <c r="F109" s="40" t="n"/>
      <c r="G109" s="23" t="n"/>
      <c r="H109" s="30">
        <f>IF(OR(A109="",G109="",G109=0,F109=""),"",F109/G109)</f>
        <v/>
      </c>
      <c r="I109" s="31">
        <f>IF(H109="","",H109/Config!$B$12-1)</f>
        <v/>
      </c>
      <c r="J109" s="33">
        <f>IF(H109="","",IF(H109&lt;Config!$B$12,"Abaixo do mínimo",IF(H109&lt;Config!$B$13,"Na faixa","Acima do alvo")))</f>
        <v/>
      </c>
      <c r="K109" s="25">
        <f>IF(H109="","",MAX(0,Config!$B$12*G109-F109))</f>
        <v/>
      </c>
      <c r="L109" s="41">
        <f>IF(K109="","",K109+ROW()/1000000)</f>
        <v/>
      </c>
    </row>
    <row r="110">
      <c r="A110" s="22" t="n"/>
      <c r="B110" s="22" t="n"/>
      <c r="C110" s="24" t="n"/>
      <c r="D110" s="24" t="n"/>
      <c r="E110" s="24" t="n"/>
      <c r="F110" s="40" t="n"/>
      <c r="G110" s="23" t="n"/>
      <c r="H110" s="30">
        <f>IF(OR(A110="",G110="",G110=0,F110=""),"",F110/G110)</f>
        <v/>
      </c>
      <c r="I110" s="31">
        <f>IF(H110="","",H110/Config!$B$12-1)</f>
        <v/>
      </c>
      <c r="J110" s="33">
        <f>IF(H110="","",IF(H110&lt;Config!$B$12,"Abaixo do mínimo",IF(H110&lt;Config!$B$13,"Na faixa","Acima do alvo")))</f>
        <v/>
      </c>
      <c r="K110" s="25">
        <f>IF(H110="","",MAX(0,Config!$B$12*G110-F110))</f>
        <v/>
      </c>
      <c r="L110" s="41">
        <f>IF(K110="","",K110+ROW()/1000000)</f>
        <v/>
      </c>
    </row>
    <row r="111">
      <c r="A111" s="22" t="n"/>
      <c r="B111" s="22" t="n"/>
      <c r="C111" s="24" t="n"/>
      <c r="D111" s="24" t="n"/>
      <c r="E111" s="24" t="n"/>
      <c r="F111" s="40" t="n"/>
      <c r="G111" s="23" t="n"/>
      <c r="H111" s="30">
        <f>IF(OR(A111="",G111="",G111=0,F111=""),"",F111/G111)</f>
        <v/>
      </c>
      <c r="I111" s="31">
        <f>IF(H111="","",H111/Config!$B$12-1)</f>
        <v/>
      </c>
      <c r="J111" s="33">
        <f>IF(H111="","",IF(H111&lt;Config!$B$12,"Abaixo do mínimo",IF(H111&lt;Config!$B$13,"Na faixa","Acima do alvo")))</f>
        <v/>
      </c>
      <c r="K111" s="25">
        <f>IF(H111="","",MAX(0,Config!$B$12*G111-F111))</f>
        <v/>
      </c>
      <c r="L111" s="41">
        <f>IF(K111="","",K111+ROW()/1000000)</f>
        <v/>
      </c>
    </row>
    <row r="112">
      <c r="A112" s="22" t="n"/>
      <c r="B112" s="22" t="n"/>
      <c r="C112" s="24" t="n"/>
      <c r="D112" s="24" t="n"/>
      <c r="E112" s="24" t="n"/>
      <c r="F112" s="40" t="n"/>
      <c r="G112" s="23" t="n"/>
      <c r="H112" s="30">
        <f>IF(OR(A112="",G112="",G112=0,F112=""),"",F112/G112)</f>
        <v/>
      </c>
      <c r="I112" s="31">
        <f>IF(H112="","",H112/Config!$B$12-1)</f>
        <v/>
      </c>
      <c r="J112" s="33">
        <f>IF(H112="","",IF(H112&lt;Config!$B$12,"Abaixo do mínimo",IF(H112&lt;Config!$B$13,"Na faixa","Acima do alvo")))</f>
        <v/>
      </c>
      <c r="K112" s="25">
        <f>IF(H112="","",MAX(0,Config!$B$12*G112-F112))</f>
        <v/>
      </c>
      <c r="L112" s="41">
        <f>IF(K112="","",K112+ROW()/1000000)</f>
        <v/>
      </c>
    </row>
    <row r="113">
      <c r="A113" s="22" t="n"/>
      <c r="B113" s="22" t="n"/>
      <c r="C113" s="24" t="n"/>
      <c r="D113" s="24" t="n"/>
      <c r="E113" s="24" t="n"/>
      <c r="F113" s="40" t="n"/>
      <c r="G113" s="23" t="n"/>
      <c r="H113" s="30">
        <f>IF(OR(A113="",G113="",G113=0,F113=""),"",F113/G113)</f>
        <v/>
      </c>
      <c r="I113" s="31">
        <f>IF(H113="","",H113/Config!$B$12-1)</f>
        <v/>
      </c>
      <c r="J113" s="33">
        <f>IF(H113="","",IF(H113&lt;Config!$B$12,"Abaixo do mínimo",IF(H113&lt;Config!$B$13,"Na faixa","Acima do alvo")))</f>
        <v/>
      </c>
      <c r="K113" s="25">
        <f>IF(H113="","",MAX(0,Config!$B$12*G113-F113))</f>
        <v/>
      </c>
      <c r="L113" s="41">
        <f>IF(K113="","",K113+ROW()/1000000)</f>
        <v/>
      </c>
    </row>
    <row r="114">
      <c r="A114" s="22" t="n"/>
      <c r="B114" s="22" t="n"/>
      <c r="C114" s="24" t="n"/>
      <c r="D114" s="24" t="n"/>
      <c r="E114" s="24" t="n"/>
      <c r="F114" s="40" t="n"/>
      <c r="G114" s="23" t="n"/>
      <c r="H114" s="30">
        <f>IF(OR(A114="",G114="",G114=0,F114=""),"",F114/G114)</f>
        <v/>
      </c>
      <c r="I114" s="31">
        <f>IF(H114="","",H114/Config!$B$12-1)</f>
        <v/>
      </c>
      <c r="J114" s="33">
        <f>IF(H114="","",IF(H114&lt;Config!$B$12,"Abaixo do mínimo",IF(H114&lt;Config!$B$13,"Na faixa","Acima do alvo")))</f>
        <v/>
      </c>
      <c r="K114" s="25">
        <f>IF(H114="","",MAX(0,Config!$B$12*G114-F114))</f>
        <v/>
      </c>
      <c r="L114" s="41">
        <f>IF(K114="","",K114+ROW()/1000000)</f>
        <v/>
      </c>
    </row>
    <row r="115">
      <c r="A115" s="22" t="n"/>
      <c r="B115" s="22" t="n"/>
      <c r="C115" s="24" t="n"/>
      <c r="D115" s="24" t="n"/>
      <c r="E115" s="24" t="n"/>
      <c r="F115" s="40" t="n"/>
      <c r="G115" s="23" t="n"/>
      <c r="H115" s="30">
        <f>IF(OR(A115="",G115="",G115=0,F115=""),"",F115/G115)</f>
        <v/>
      </c>
      <c r="I115" s="31">
        <f>IF(H115="","",H115/Config!$B$12-1)</f>
        <v/>
      </c>
      <c r="J115" s="33">
        <f>IF(H115="","",IF(H115&lt;Config!$B$12,"Abaixo do mínimo",IF(H115&lt;Config!$B$13,"Na faixa","Acima do alvo")))</f>
        <v/>
      </c>
      <c r="K115" s="25">
        <f>IF(H115="","",MAX(0,Config!$B$12*G115-F115))</f>
        <v/>
      </c>
      <c r="L115" s="41">
        <f>IF(K115="","",K115+ROW()/1000000)</f>
        <v/>
      </c>
    </row>
    <row r="116">
      <c r="A116" s="22" t="n"/>
      <c r="B116" s="22" t="n"/>
      <c r="C116" s="24" t="n"/>
      <c r="D116" s="24" t="n"/>
      <c r="E116" s="24" t="n"/>
      <c r="F116" s="40" t="n"/>
      <c r="G116" s="23" t="n"/>
      <c r="H116" s="30">
        <f>IF(OR(A116="",G116="",G116=0,F116=""),"",F116/G116)</f>
        <v/>
      </c>
      <c r="I116" s="31">
        <f>IF(H116="","",H116/Config!$B$12-1)</f>
        <v/>
      </c>
      <c r="J116" s="33">
        <f>IF(H116="","",IF(H116&lt;Config!$B$12,"Abaixo do mínimo",IF(H116&lt;Config!$B$13,"Na faixa","Acima do alvo")))</f>
        <v/>
      </c>
      <c r="K116" s="25">
        <f>IF(H116="","",MAX(0,Config!$B$12*G116-F116))</f>
        <v/>
      </c>
      <c r="L116" s="41">
        <f>IF(K116="","",K116+ROW()/1000000)</f>
        <v/>
      </c>
    </row>
    <row r="117">
      <c r="A117" s="22" t="n"/>
      <c r="B117" s="22" t="n"/>
      <c r="C117" s="24" t="n"/>
      <c r="D117" s="24" t="n"/>
      <c r="E117" s="24" t="n"/>
      <c r="F117" s="40" t="n"/>
      <c r="G117" s="23" t="n"/>
      <c r="H117" s="30">
        <f>IF(OR(A117="",G117="",G117=0,F117=""),"",F117/G117)</f>
        <v/>
      </c>
      <c r="I117" s="31">
        <f>IF(H117="","",H117/Config!$B$12-1)</f>
        <v/>
      </c>
      <c r="J117" s="33">
        <f>IF(H117="","",IF(H117&lt;Config!$B$12,"Abaixo do mínimo",IF(H117&lt;Config!$B$13,"Na faixa","Acima do alvo")))</f>
        <v/>
      </c>
      <c r="K117" s="25">
        <f>IF(H117="","",MAX(0,Config!$B$12*G117-F117))</f>
        <v/>
      </c>
      <c r="L117" s="41">
        <f>IF(K117="","",K117+ROW()/1000000)</f>
        <v/>
      </c>
    </row>
    <row r="118">
      <c r="A118" s="22" t="n"/>
      <c r="B118" s="22" t="n"/>
      <c r="C118" s="24" t="n"/>
      <c r="D118" s="24" t="n"/>
      <c r="E118" s="24" t="n"/>
      <c r="F118" s="40" t="n"/>
      <c r="G118" s="23" t="n"/>
      <c r="H118" s="30">
        <f>IF(OR(A118="",G118="",G118=0,F118=""),"",F118/G118)</f>
        <v/>
      </c>
      <c r="I118" s="31">
        <f>IF(H118="","",H118/Config!$B$12-1)</f>
        <v/>
      </c>
      <c r="J118" s="33">
        <f>IF(H118="","",IF(H118&lt;Config!$B$12,"Abaixo do mínimo",IF(H118&lt;Config!$B$13,"Na faixa","Acima do alvo")))</f>
        <v/>
      </c>
      <c r="K118" s="25">
        <f>IF(H118="","",MAX(0,Config!$B$12*G118-F118))</f>
        <v/>
      </c>
      <c r="L118" s="41">
        <f>IF(K118="","",K118+ROW()/1000000)</f>
        <v/>
      </c>
    </row>
    <row r="119">
      <c r="A119" s="22" t="n"/>
      <c r="B119" s="22" t="n"/>
      <c r="C119" s="24" t="n"/>
      <c r="D119" s="24" t="n"/>
      <c r="E119" s="24" t="n"/>
      <c r="F119" s="40" t="n"/>
      <c r="G119" s="23" t="n"/>
      <c r="H119" s="30">
        <f>IF(OR(A119="",G119="",G119=0,F119=""),"",F119/G119)</f>
        <v/>
      </c>
      <c r="I119" s="31">
        <f>IF(H119="","",H119/Config!$B$12-1)</f>
        <v/>
      </c>
      <c r="J119" s="33">
        <f>IF(H119="","",IF(H119&lt;Config!$B$12,"Abaixo do mínimo",IF(H119&lt;Config!$B$13,"Na faixa","Acima do alvo")))</f>
        <v/>
      </c>
      <c r="K119" s="25">
        <f>IF(H119="","",MAX(0,Config!$B$12*G119-F119))</f>
        <v/>
      </c>
      <c r="L119" s="41">
        <f>IF(K119="","",K119+ROW()/1000000)</f>
        <v/>
      </c>
    </row>
    <row r="120">
      <c r="A120" s="22" t="n"/>
      <c r="B120" s="22" t="n"/>
      <c r="C120" s="24" t="n"/>
      <c r="D120" s="24" t="n"/>
      <c r="E120" s="24" t="n"/>
      <c r="F120" s="40" t="n"/>
      <c r="G120" s="23" t="n"/>
      <c r="H120" s="30">
        <f>IF(OR(A120="",G120="",G120=0,F120=""),"",F120/G120)</f>
        <v/>
      </c>
      <c r="I120" s="31">
        <f>IF(H120="","",H120/Config!$B$12-1)</f>
        <v/>
      </c>
      <c r="J120" s="33">
        <f>IF(H120="","",IF(H120&lt;Config!$B$12,"Abaixo do mínimo",IF(H120&lt;Config!$B$13,"Na faixa","Acima do alvo")))</f>
        <v/>
      </c>
      <c r="K120" s="25">
        <f>IF(H120="","",MAX(0,Config!$B$12*G120-F120))</f>
        <v/>
      </c>
      <c r="L120" s="41">
        <f>IF(K120="","",K120+ROW()/1000000)</f>
        <v/>
      </c>
    </row>
    <row r="121">
      <c r="A121" s="22" t="n"/>
      <c r="B121" s="22" t="n"/>
      <c r="C121" s="24" t="n"/>
      <c r="D121" s="24" t="n"/>
      <c r="E121" s="24" t="n"/>
      <c r="F121" s="40" t="n"/>
      <c r="G121" s="23" t="n"/>
      <c r="H121" s="30">
        <f>IF(OR(A121="",G121="",G121=0,F121=""),"",F121/G121)</f>
        <v/>
      </c>
      <c r="I121" s="31">
        <f>IF(H121="","",H121/Config!$B$12-1)</f>
        <v/>
      </c>
      <c r="J121" s="33">
        <f>IF(H121="","",IF(H121&lt;Config!$B$12,"Abaixo do mínimo",IF(H121&lt;Config!$B$13,"Na faixa","Acima do alvo")))</f>
        <v/>
      </c>
      <c r="K121" s="25">
        <f>IF(H121="","",MAX(0,Config!$B$12*G121-F121))</f>
        <v/>
      </c>
      <c r="L121" s="41">
        <f>IF(K121="","",K121+ROW()/1000000)</f>
        <v/>
      </c>
    </row>
    <row r="122">
      <c r="A122" s="22" t="n"/>
      <c r="B122" s="22" t="n"/>
      <c r="C122" s="24" t="n"/>
      <c r="D122" s="24" t="n"/>
      <c r="E122" s="24" t="n"/>
      <c r="F122" s="40" t="n"/>
      <c r="G122" s="23" t="n"/>
      <c r="H122" s="30">
        <f>IF(OR(A122="",G122="",G122=0,F122=""),"",F122/G122)</f>
        <v/>
      </c>
      <c r="I122" s="31">
        <f>IF(H122="","",H122/Config!$B$12-1)</f>
        <v/>
      </c>
      <c r="J122" s="33">
        <f>IF(H122="","",IF(H122&lt;Config!$B$12,"Abaixo do mínimo",IF(H122&lt;Config!$B$13,"Na faixa","Acima do alvo")))</f>
        <v/>
      </c>
      <c r="K122" s="25">
        <f>IF(H122="","",MAX(0,Config!$B$12*G122-F122))</f>
        <v/>
      </c>
      <c r="L122" s="41">
        <f>IF(K122="","",K122+ROW()/1000000)</f>
        <v/>
      </c>
    </row>
    <row r="123">
      <c r="A123" s="22" t="n"/>
      <c r="B123" s="22" t="n"/>
      <c r="C123" s="24" t="n"/>
      <c r="D123" s="24" t="n"/>
      <c r="E123" s="24" t="n"/>
      <c r="F123" s="40" t="n"/>
      <c r="G123" s="23" t="n"/>
      <c r="H123" s="30">
        <f>IF(OR(A123="",G123="",G123=0,F123=""),"",F123/G123)</f>
        <v/>
      </c>
      <c r="I123" s="31">
        <f>IF(H123="","",H123/Config!$B$12-1)</f>
        <v/>
      </c>
      <c r="J123" s="33">
        <f>IF(H123="","",IF(H123&lt;Config!$B$12,"Abaixo do mínimo",IF(H123&lt;Config!$B$13,"Na faixa","Acima do alvo")))</f>
        <v/>
      </c>
      <c r="K123" s="25">
        <f>IF(H123="","",MAX(0,Config!$B$12*G123-F123))</f>
        <v/>
      </c>
      <c r="L123" s="41">
        <f>IF(K123="","",K123+ROW()/1000000)</f>
        <v/>
      </c>
    </row>
    <row r="124">
      <c r="A124" s="22" t="n"/>
      <c r="B124" s="22" t="n"/>
      <c r="C124" s="24" t="n"/>
      <c r="D124" s="24" t="n"/>
      <c r="E124" s="24" t="n"/>
      <c r="F124" s="40" t="n"/>
      <c r="G124" s="23" t="n"/>
      <c r="H124" s="30">
        <f>IF(OR(A124="",G124="",G124=0,F124=""),"",F124/G124)</f>
        <v/>
      </c>
      <c r="I124" s="31">
        <f>IF(H124="","",H124/Config!$B$12-1)</f>
        <v/>
      </c>
      <c r="J124" s="33">
        <f>IF(H124="","",IF(H124&lt;Config!$B$12,"Abaixo do mínimo",IF(H124&lt;Config!$B$13,"Na faixa","Acima do alvo")))</f>
        <v/>
      </c>
      <c r="K124" s="25">
        <f>IF(H124="","",MAX(0,Config!$B$12*G124-F124))</f>
        <v/>
      </c>
      <c r="L124" s="41">
        <f>IF(K124="","",K124+ROW()/1000000)</f>
        <v/>
      </c>
    </row>
    <row r="125">
      <c r="A125" s="22" t="n"/>
      <c r="B125" s="22" t="n"/>
      <c r="C125" s="24" t="n"/>
      <c r="D125" s="24" t="n"/>
      <c r="E125" s="24" t="n"/>
      <c r="F125" s="40" t="n"/>
      <c r="G125" s="23" t="n"/>
      <c r="H125" s="30">
        <f>IF(OR(A125="",G125="",G125=0,F125=""),"",F125/G125)</f>
        <v/>
      </c>
      <c r="I125" s="31">
        <f>IF(H125="","",H125/Config!$B$12-1)</f>
        <v/>
      </c>
      <c r="J125" s="33">
        <f>IF(H125="","",IF(H125&lt;Config!$B$12,"Abaixo do mínimo",IF(H125&lt;Config!$B$13,"Na faixa","Acima do alvo")))</f>
        <v/>
      </c>
      <c r="K125" s="25">
        <f>IF(H125="","",MAX(0,Config!$B$12*G125-F125))</f>
        <v/>
      </c>
      <c r="L125" s="41">
        <f>IF(K125="","",K125+ROW()/1000000)</f>
        <v/>
      </c>
    </row>
    <row r="126">
      <c r="A126" s="22" t="n"/>
      <c r="B126" s="22" t="n"/>
      <c r="C126" s="24" t="n"/>
      <c r="D126" s="24" t="n"/>
      <c r="E126" s="24" t="n"/>
      <c r="F126" s="40" t="n"/>
      <c r="G126" s="23" t="n"/>
      <c r="H126" s="30">
        <f>IF(OR(A126="",G126="",G126=0,F126=""),"",F126/G126)</f>
        <v/>
      </c>
      <c r="I126" s="31">
        <f>IF(H126="","",H126/Config!$B$12-1)</f>
        <v/>
      </c>
      <c r="J126" s="33">
        <f>IF(H126="","",IF(H126&lt;Config!$B$12,"Abaixo do mínimo",IF(H126&lt;Config!$B$13,"Na faixa","Acima do alvo")))</f>
        <v/>
      </c>
      <c r="K126" s="25">
        <f>IF(H126="","",MAX(0,Config!$B$12*G126-F126))</f>
        <v/>
      </c>
      <c r="L126" s="41">
        <f>IF(K126="","",K126+ROW()/1000000)</f>
        <v/>
      </c>
    </row>
    <row r="127">
      <c r="A127" s="22" t="n"/>
      <c r="B127" s="22" t="n"/>
      <c r="C127" s="24" t="n"/>
      <c r="D127" s="24" t="n"/>
      <c r="E127" s="24" t="n"/>
      <c r="F127" s="40" t="n"/>
      <c r="G127" s="23" t="n"/>
      <c r="H127" s="30">
        <f>IF(OR(A127="",G127="",G127=0,F127=""),"",F127/G127)</f>
        <v/>
      </c>
      <c r="I127" s="31">
        <f>IF(H127="","",H127/Config!$B$12-1)</f>
        <v/>
      </c>
      <c r="J127" s="33">
        <f>IF(H127="","",IF(H127&lt;Config!$B$12,"Abaixo do mínimo",IF(H127&lt;Config!$B$13,"Na faixa","Acima do alvo")))</f>
        <v/>
      </c>
      <c r="K127" s="25">
        <f>IF(H127="","",MAX(0,Config!$B$12*G127-F127))</f>
        <v/>
      </c>
      <c r="L127" s="41">
        <f>IF(K127="","",K127+ROW()/1000000)</f>
        <v/>
      </c>
    </row>
    <row r="128">
      <c r="A128" s="22" t="n"/>
      <c r="B128" s="22" t="n"/>
      <c r="C128" s="24" t="n"/>
      <c r="D128" s="24" t="n"/>
      <c r="E128" s="24" t="n"/>
      <c r="F128" s="40" t="n"/>
      <c r="G128" s="23" t="n"/>
      <c r="H128" s="30">
        <f>IF(OR(A128="",G128="",G128=0,F128=""),"",F128/G128)</f>
        <v/>
      </c>
      <c r="I128" s="31">
        <f>IF(H128="","",H128/Config!$B$12-1)</f>
        <v/>
      </c>
      <c r="J128" s="33">
        <f>IF(H128="","",IF(H128&lt;Config!$B$12,"Abaixo do mínimo",IF(H128&lt;Config!$B$13,"Na faixa","Acima do alvo")))</f>
        <v/>
      </c>
      <c r="K128" s="25">
        <f>IF(H128="","",MAX(0,Config!$B$12*G128-F128))</f>
        <v/>
      </c>
      <c r="L128" s="41">
        <f>IF(K128="","",K128+ROW()/1000000)</f>
        <v/>
      </c>
    </row>
    <row r="129">
      <c r="A129" s="22" t="n"/>
      <c r="B129" s="22" t="n"/>
      <c r="C129" s="24" t="n"/>
      <c r="D129" s="24" t="n"/>
      <c r="E129" s="24" t="n"/>
      <c r="F129" s="40" t="n"/>
      <c r="G129" s="23" t="n"/>
      <c r="H129" s="30">
        <f>IF(OR(A129="",G129="",G129=0,F129=""),"",F129/G129)</f>
        <v/>
      </c>
      <c r="I129" s="31">
        <f>IF(H129="","",H129/Config!$B$12-1)</f>
        <v/>
      </c>
      <c r="J129" s="33">
        <f>IF(H129="","",IF(H129&lt;Config!$B$12,"Abaixo do mínimo",IF(H129&lt;Config!$B$13,"Na faixa","Acima do alvo")))</f>
        <v/>
      </c>
      <c r="K129" s="25">
        <f>IF(H129="","",MAX(0,Config!$B$12*G129-F129))</f>
        <v/>
      </c>
      <c r="L129" s="41">
        <f>IF(K129="","",K129+ROW()/1000000)</f>
        <v/>
      </c>
    </row>
    <row r="130">
      <c r="A130" s="22" t="n"/>
      <c r="B130" s="22" t="n"/>
      <c r="C130" s="24" t="n"/>
      <c r="D130" s="24" t="n"/>
      <c r="E130" s="24" t="n"/>
      <c r="F130" s="40" t="n"/>
      <c r="G130" s="23" t="n"/>
      <c r="H130" s="30">
        <f>IF(OR(A130="",G130="",G130=0,F130=""),"",F130/G130)</f>
        <v/>
      </c>
      <c r="I130" s="31">
        <f>IF(H130="","",H130/Config!$B$12-1)</f>
        <v/>
      </c>
      <c r="J130" s="33">
        <f>IF(H130="","",IF(H130&lt;Config!$B$12,"Abaixo do mínimo",IF(H130&lt;Config!$B$13,"Na faixa","Acima do alvo")))</f>
        <v/>
      </c>
      <c r="K130" s="25">
        <f>IF(H130="","",MAX(0,Config!$B$12*G130-F130))</f>
        <v/>
      </c>
      <c r="L130" s="41">
        <f>IF(K130="","",K130+ROW()/1000000)</f>
        <v/>
      </c>
    </row>
    <row r="131">
      <c r="A131" s="22" t="n"/>
      <c r="B131" s="22" t="n"/>
      <c r="C131" s="24" t="n"/>
      <c r="D131" s="24" t="n"/>
      <c r="E131" s="24" t="n"/>
      <c r="F131" s="40" t="n"/>
      <c r="G131" s="23" t="n"/>
      <c r="H131" s="30">
        <f>IF(OR(A131="",G131="",G131=0,F131=""),"",F131/G131)</f>
        <v/>
      </c>
      <c r="I131" s="31">
        <f>IF(H131="","",H131/Config!$B$12-1)</f>
        <v/>
      </c>
      <c r="J131" s="33">
        <f>IF(H131="","",IF(H131&lt;Config!$B$12,"Abaixo do mínimo",IF(H131&lt;Config!$B$13,"Na faixa","Acima do alvo")))</f>
        <v/>
      </c>
      <c r="K131" s="25">
        <f>IF(H131="","",MAX(0,Config!$B$12*G131-F131))</f>
        <v/>
      </c>
      <c r="L131" s="41">
        <f>IF(K131="","",K131+ROW()/1000000)</f>
        <v/>
      </c>
    </row>
    <row r="132">
      <c r="A132" s="22" t="n"/>
      <c r="B132" s="22" t="n"/>
      <c r="C132" s="24" t="n"/>
      <c r="D132" s="24" t="n"/>
      <c r="E132" s="24" t="n"/>
      <c r="F132" s="40" t="n"/>
      <c r="G132" s="23" t="n"/>
      <c r="H132" s="30">
        <f>IF(OR(A132="",G132="",G132=0,F132=""),"",F132/G132)</f>
        <v/>
      </c>
      <c r="I132" s="31">
        <f>IF(H132="","",H132/Config!$B$12-1)</f>
        <v/>
      </c>
      <c r="J132" s="33">
        <f>IF(H132="","",IF(H132&lt;Config!$B$12,"Abaixo do mínimo",IF(H132&lt;Config!$B$13,"Na faixa","Acima do alvo")))</f>
        <v/>
      </c>
      <c r="K132" s="25">
        <f>IF(H132="","",MAX(0,Config!$B$12*G132-F132))</f>
        <v/>
      </c>
      <c r="L132" s="41">
        <f>IF(K132="","",K132+ROW()/1000000)</f>
        <v/>
      </c>
    </row>
    <row r="133">
      <c r="A133" s="22" t="n"/>
      <c r="B133" s="22" t="n"/>
      <c r="C133" s="24" t="n"/>
      <c r="D133" s="24" t="n"/>
      <c r="E133" s="24" t="n"/>
      <c r="F133" s="40" t="n"/>
      <c r="G133" s="23" t="n"/>
      <c r="H133" s="30">
        <f>IF(OR(A133="",G133="",G133=0,F133=""),"",F133/G133)</f>
        <v/>
      </c>
      <c r="I133" s="31">
        <f>IF(H133="","",H133/Config!$B$12-1)</f>
        <v/>
      </c>
      <c r="J133" s="33">
        <f>IF(H133="","",IF(H133&lt;Config!$B$12,"Abaixo do mínimo",IF(H133&lt;Config!$B$13,"Na faixa","Acima do alvo")))</f>
        <v/>
      </c>
      <c r="K133" s="25">
        <f>IF(H133="","",MAX(0,Config!$B$12*G133-F133))</f>
        <v/>
      </c>
      <c r="L133" s="41">
        <f>IF(K133="","",K133+ROW()/1000000)</f>
        <v/>
      </c>
    </row>
    <row r="134">
      <c r="A134" s="22" t="n"/>
      <c r="B134" s="22" t="n"/>
      <c r="C134" s="24" t="n"/>
      <c r="D134" s="24" t="n"/>
      <c r="E134" s="24" t="n"/>
      <c r="F134" s="40" t="n"/>
      <c r="G134" s="23" t="n"/>
      <c r="H134" s="30">
        <f>IF(OR(A134="",G134="",G134=0,F134=""),"",F134/G134)</f>
        <v/>
      </c>
      <c r="I134" s="31">
        <f>IF(H134="","",H134/Config!$B$12-1)</f>
        <v/>
      </c>
      <c r="J134" s="33">
        <f>IF(H134="","",IF(H134&lt;Config!$B$12,"Abaixo do mínimo",IF(H134&lt;Config!$B$13,"Na faixa","Acima do alvo")))</f>
        <v/>
      </c>
      <c r="K134" s="25">
        <f>IF(H134="","",MAX(0,Config!$B$12*G134-F134))</f>
        <v/>
      </c>
      <c r="L134" s="41">
        <f>IF(K134="","",K134+ROW()/1000000)</f>
        <v/>
      </c>
    </row>
    <row r="135">
      <c r="A135" s="22" t="n"/>
      <c r="B135" s="22" t="n"/>
      <c r="C135" s="24" t="n"/>
      <c r="D135" s="24" t="n"/>
      <c r="E135" s="24" t="n"/>
      <c r="F135" s="40" t="n"/>
      <c r="G135" s="23" t="n"/>
      <c r="H135" s="30">
        <f>IF(OR(A135="",G135="",G135=0,F135=""),"",F135/G135)</f>
        <v/>
      </c>
      <c r="I135" s="31">
        <f>IF(H135="","",H135/Config!$B$12-1)</f>
        <v/>
      </c>
      <c r="J135" s="33">
        <f>IF(H135="","",IF(H135&lt;Config!$B$12,"Abaixo do mínimo",IF(H135&lt;Config!$B$13,"Na faixa","Acima do alvo")))</f>
        <v/>
      </c>
      <c r="K135" s="25">
        <f>IF(H135="","",MAX(0,Config!$B$12*G135-F135))</f>
        <v/>
      </c>
      <c r="L135" s="41">
        <f>IF(K135="","",K135+ROW()/1000000)</f>
        <v/>
      </c>
    </row>
    <row r="136">
      <c r="A136" s="22" t="n"/>
      <c r="B136" s="22" t="n"/>
      <c r="C136" s="24" t="n"/>
      <c r="D136" s="24" t="n"/>
      <c r="E136" s="24" t="n"/>
      <c r="F136" s="40" t="n"/>
      <c r="G136" s="23" t="n"/>
      <c r="H136" s="30">
        <f>IF(OR(A136="",G136="",G136=0,F136=""),"",F136/G136)</f>
        <v/>
      </c>
      <c r="I136" s="31">
        <f>IF(H136="","",H136/Config!$B$12-1)</f>
        <v/>
      </c>
      <c r="J136" s="33">
        <f>IF(H136="","",IF(H136&lt;Config!$B$12,"Abaixo do mínimo",IF(H136&lt;Config!$B$13,"Na faixa","Acima do alvo")))</f>
        <v/>
      </c>
      <c r="K136" s="25">
        <f>IF(H136="","",MAX(0,Config!$B$12*G136-F136))</f>
        <v/>
      </c>
      <c r="L136" s="41">
        <f>IF(K136="","",K136+ROW()/1000000)</f>
        <v/>
      </c>
    </row>
    <row r="137">
      <c r="A137" s="22" t="n"/>
      <c r="B137" s="22" t="n"/>
      <c r="C137" s="24" t="n"/>
      <c r="D137" s="24" t="n"/>
      <c r="E137" s="24" t="n"/>
      <c r="F137" s="40" t="n"/>
      <c r="G137" s="23" t="n"/>
      <c r="H137" s="30">
        <f>IF(OR(A137="",G137="",G137=0,F137=""),"",F137/G137)</f>
        <v/>
      </c>
      <c r="I137" s="31">
        <f>IF(H137="","",H137/Config!$B$12-1)</f>
        <v/>
      </c>
      <c r="J137" s="33">
        <f>IF(H137="","",IF(H137&lt;Config!$B$12,"Abaixo do mínimo",IF(H137&lt;Config!$B$13,"Na faixa","Acima do alvo")))</f>
        <v/>
      </c>
      <c r="K137" s="25">
        <f>IF(H137="","",MAX(0,Config!$B$12*G137-F137))</f>
        <v/>
      </c>
      <c r="L137" s="41">
        <f>IF(K137="","",K137+ROW()/1000000)</f>
        <v/>
      </c>
    </row>
    <row r="138">
      <c r="A138" s="22" t="n"/>
      <c r="B138" s="22" t="n"/>
      <c r="C138" s="24" t="n"/>
      <c r="D138" s="24" t="n"/>
      <c r="E138" s="24" t="n"/>
      <c r="F138" s="40" t="n"/>
      <c r="G138" s="23" t="n"/>
      <c r="H138" s="30">
        <f>IF(OR(A138="",G138="",G138=0,F138=""),"",F138/G138)</f>
        <v/>
      </c>
      <c r="I138" s="31">
        <f>IF(H138="","",H138/Config!$B$12-1)</f>
        <v/>
      </c>
      <c r="J138" s="33">
        <f>IF(H138="","",IF(H138&lt;Config!$B$12,"Abaixo do mínimo",IF(H138&lt;Config!$B$13,"Na faixa","Acima do alvo")))</f>
        <v/>
      </c>
      <c r="K138" s="25">
        <f>IF(H138="","",MAX(0,Config!$B$12*G138-F138))</f>
        <v/>
      </c>
      <c r="L138" s="41">
        <f>IF(K138="","",K138+ROW()/1000000)</f>
        <v/>
      </c>
    </row>
    <row r="139">
      <c r="A139" s="22" t="n"/>
      <c r="B139" s="22" t="n"/>
      <c r="C139" s="24" t="n"/>
      <c r="D139" s="24" t="n"/>
      <c r="E139" s="24" t="n"/>
      <c r="F139" s="40" t="n"/>
      <c r="G139" s="23" t="n"/>
      <c r="H139" s="30">
        <f>IF(OR(A139="",G139="",G139=0,F139=""),"",F139/G139)</f>
        <v/>
      </c>
      <c r="I139" s="31">
        <f>IF(H139="","",H139/Config!$B$12-1)</f>
        <v/>
      </c>
      <c r="J139" s="33">
        <f>IF(H139="","",IF(H139&lt;Config!$B$12,"Abaixo do mínimo",IF(H139&lt;Config!$B$13,"Na faixa","Acima do alvo")))</f>
        <v/>
      </c>
      <c r="K139" s="25">
        <f>IF(H139="","",MAX(0,Config!$B$12*G139-F139))</f>
        <v/>
      </c>
      <c r="L139" s="41">
        <f>IF(K139="","",K139+ROW()/1000000)</f>
        <v/>
      </c>
    </row>
    <row r="140">
      <c r="A140" s="22" t="n"/>
      <c r="B140" s="22" t="n"/>
      <c r="C140" s="24" t="n"/>
      <c r="D140" s="24" t="n"/>
      <c r="E140" s="24" t="n"/>
      <c r="F140" s="40" t="n"/>
      <c r="G140" s="23" t="n"/>
      <c r="H140" s="30">
        <f>IF(OR(A140="",G140="",G140=0,F140=""),"",F140/G140)</f>
        <v/>
      </c>
      <c r="I140" s="31">
        <f>IF(H140="","",H140/Config!$B$12-1)</f>
        <v/>
      </c>
      <c r="J140" s="33">
        <f>IF(H140="","",IF(H140&lt;Config!$B$12,"Abaixo do mínimo",IF(H140&lt;Config!$B$13,"Na faixa","Acima do alvo")))</f>
        <v/>
      </c>
      <c r="K140" s="25">
        <f>IF(H140="","",MAX(0,Config!$B$12*G140-F140))</f>
        <v/>
      </c>
      <c r="L140" s="41">
        <f>IF(K140="","",K140+ROW()/1000000)</f>
        <v/>
      </c>
    </row>
    <row r="141">
      <c r="A141" s="22" t="n"/>
      <c r="B141" s="22" t="n"/>
      <c r="C141" s="24" t="n"/>
      <c r="D141" s="24" t="n"/>
      <c r="E141" s="24" t="n"/>
      <c r="F141" s="40" t="n"/>
      <c r="G141" s="23" t="n"/>
      <c r="H141" s="30">
        <f>IF(OR(A141="",G141="",G141=0,F141=""),"",F141/G141)</f>
        <v/>
      </c>
      <c r="I141" s="31">
        <f>IF(H141="","",H141/Config!$B$12-1)</f>
        <v/>
      </c>
      <c r="J141" s="33">
        <f>IF(H141="","",IF(H141&lt;Config!$B$12,"Abaixo do mínimo",IF(H141&lt;Config!$B$13,"Na faixa","Acima do alvo")))</f>
        <v/>
      </c>
      <c r="K141" s="25">
        <f>IF(H141="","",MAX(0,Config!$B$12*G141-F141))</f>
        <v/>
      </c>
      <c r="L141" s="41">
        <f>IF(K141="","",K141+ROW()/1000000)</f>
        <v/>
      </c>
    </row>
    <row r="142">
      <c r="A142" s="22" t="n"/>
      <c r="B142" s="22" t="n"/>
      <c r="C142" s="24" t="n"/>
      <c r="D142" s="24" t="n"/>
      <c r="E142" s="24" t="n"/>
      <c r="F142" s="40" t="n"/>
      <c r="G142" s="23" t="n"/>
      <c r="H142" s="30">
        <f>IF(OR(A142="",G142="",G142=0,F142=""),"",F142/G142)</f>
        <v/>
      </c>
      <c r="I142" s="31">
        <f>IF(H142="","",H142/Config!$B$12-1)</f>
        <v/>
      </c>
      <c r="J142" s="33">
        <f>IF(H142="","",IF(H142&lt;Config!$B$12,"Abaixo do mínimo",IF(H142&lt;Config!$B$13,"Na faixa","Acima do alvo")))</f>
        <v/>
      </c>
      <c r="K142" s="25">
        <f>IF(H142="","",MAX(0,Config!$B$12*G142-F142))</f>
        <v/>
      </c>
      <c r="L142" s="41">
        <f>IF(K142="","",K142+ROW()/1000000)</f>
        <v/>
      </c>
    </row>
    <row r="143">
      <c r="A143" s="22" t="n"/>
      <c r="B143" s="22" t="n"/>
      <c r="C143" s="24" t="n"/>
      <c r="D143" s="24" t="n"/>
      <c r="E143" s="24" t="n"/>
      <c r="F143" s="40" t="n"/>
      <c r="G143" s="23" t="n"/>
      <c r="H143" s="30">
        <f>IF(OR(A143="",G143="",G143=0,F143=""),"",F143/G143)</f>
        <v/>
      </c>
      <c r="I143" s="31">
        <f>IF(H143="","",H143/Config!$B$12-1)</f>
        <v/>
      </c>
      <c r="J143" s="33">
        <f>IF(H143="","",IF(H143&lt;Config!$B$12,"Abaixo do mínimo",IF(H143&lt;Config!$B$13,"Na faixa","Acima do alvo")))</f>
        <v/>
      </c>
      <c r="K143" s="25">
        <f>IF(H143="","",MAX(0,Config!$B$12*G143-F143))</f>
        <v/>
      </c>
      <c r="L143" s="41">
        <f>IF(K143="","",K143+ROW()/1000000)</f>
        <v/>
      </c>
    </row>
    <row r="144">
      <c r="A144" s="22" t="n"/>
      <c r="B144" s="22" t="n"/>
      <c r="C144" s="24" t="n"/>
      <c r="D144" s="24" t="n"/>
      <c r="E144" s="24" t="n"/>
      <c r="F144" s="40" t="n"/>
      <c r="G144" s="23" t="n"/>
      <c r="H144" s="30">
        <f>IF(OR(A144="",G144="",G144=0,F144=""),"",F144/G144)</f>
        <v/>
      </c>
      <c r="I144" s="31">
        <f>IF(H144="","",H144/Config!$B$12-1)</f>
        <v/>
      </c>
      <c r="J144" s="33">
        <f>IF(H144="","",IF(H144&lt;Config!$B$12,"Abaixo do mínimo",IF(H144&lt;Config!$B$13,"Na faixa","Acima do alvo")))</f>
        <v/>
      </c>
      <c r="K144" s="25">
        <f>IF(H144="","",MAX(0,Config!$B$12*G144-F144))</f>
        <v/>
      </c>
      <c r="L144" s="41">
        <f>IF(K144="","",K144+ROW()/1000000)</f>
        <v/>
      </c>
    </row>
    <row r="145">
      <c r="A145" s="22" t="n"/>
      <c r="B145" s="22" t="n"/>
      <c r="C145" s="24" t="n"/>
      <c r="D145" s="24" t="n"/>
      <c r="E145" s="24" t="n"/>
      <c r="F145" s="40" t="n"/>
      <c r="G145" s="23" t="n"/>
      <c r="H145" s="30">
        <f>IF(OR(A145="",G145="",G145=0,F145=""),"",F145/G145)</f>
        <v/>
      </c>
      <c r="I145" s="31">
        <f>IF(H145="","",H145/Config!$B$12-1)</f>
        <v/>
      </c>
      <c r="J145" s="33">
        <f>IF(H145="","",IF(H145&lt;Config!$B$12,"Abaixo do mínimo",IF(H145&lt;Config!$B$13,"Na faixa","Acima do alvo")))</f>
        <v/>
      </c>
      <c r="K145" s="25">
        <f>IF(H145="","",MAX(0,Config!$B$12*G145-F145))</f>
        <v/>
      </c>
      <c r="L145" s="41">
        <f>IF(K145="","",K145+ROW()/1000000)</f>
        <v/>
      </c>
    </row>
    <row r="146">
      <c r="A146" s="22" t="n"/>
      <c r="B146" s="22" t="n"/>
      <c r="C146" s="24" t="n"/>
      <c r="D146" s="24" t="n"/>
      <c r="E146" s="24" t="n"/>
      <c r="F146" s="40" t="n"/>
      <c r="G146" s="23" t="n"/>
      <c r="H146" s="30">
        <f>IF(OR(A146="",G146="",G146=0,F146=""),"",F146/G146)</f>
        <v/>
      </c>
      <c r="I146" s="31">
        <f>IF(H146="","",H146/Config!$B$12-1)</f>
        <v/>
      </c>
      <c r="J146" s="33">
        <f>IF(H146="","",IF(H146&lt;Config!$B$12,"Abaixo do mínimo",IF(H146&lt;Config!$B$13,"Na faixa","Acima do alvo")))</f>
        <v/>
      </c>
      <c r="K146" s="25">
        <f>IF(H146="","",MAX(0,Config!$B$12*G146-F146))</f>
        <v/>
      </c>
      <c r="L146" s="41">
        <f>IF(K146="","",K146+ROW()/1000000)</f>
        <v/>
      </c>
    </row>
    <row r="147">
      <c r="A147" s="22" t="n"/>
      <c r="B147" s="22" t="n"/>
      <c r="C147" s="24" t="n"/>
      <c r="D147" s="24" t="n"/>
      <c r="E147" s="24" t="n"/>
      <c r="F147" s="40" t="n"/>
      <c r="G147" s="23" t="n"/>
      <c r="H147" s="30">
        <f>IF(OR(A147="",G147="",G147=0,F147=""),"",F147/G147)</f>
        <v/>
      </c>
      <c r="I147" s="31">
        <f>IF(H147="","",H147/Config!$B$12-1)</f>
        <v/>
      </c>
      <c r="J147" s="33">
        <f>IF(H147="","",IF(H147&lt;Config!$B$12,"Abaixo do mínimo",IF(H147&lt;Config!$B$13,"Na faixa","Acima do alvo")))</f>
        <v/>
      </c>
      <c r="K147" s="25">
        <f>IF(H147="","",MAX(0,Config!$B$12*G147-F147))</f>
        <v/>
      </c>
      <c r="L147" s="41">
        <f>IF(K147="","",K147+ROW()/1000000)</f>
        <v/>
      </c>
    </row>
    <row r="148">
      <c r="A148" s="22" t="n"/>
      <c r="B148" s="22" t="n"/>
      <c r="C148" s="24" t="n"/>
      <c r="D148" s="24" t="n"/>
      <c r="E148" s="24" t="n"/>
      <c r="F148" s="40" t="n"/>
      <c r="G148" s="23" t="n"/>
      <c r="H148" s="30">
        <f>IF(OR(A148="",G148="",G148=0,F148=""),"",F148/G148)</f>
        <v/>
      </c>
      <c r="I148" s="31">
        <f>IF(H148="","",H148/Config!$B$12-1)</f>
        <v/>
      </c>
      <c r="J148" s="33">
        <f>IF(H148="","",IF(H148&lt;Config!$B$12,"Abaixo do mínimo",IF(H148&lt;Config!$B$13,"Na faixa","Acima do alvo")))</f>
        <v/>
      </c>
      <c r="K148" s="25">
        <f>IF(H148="","",MAX(0,Config!$B$12*G148-F148))</f>
        <v/>
      </c>
      <c r="L148" s="41">
        <f>IF(K148="","",K148+ROW()/1000000)</f>
        <v/>
      </c>
    </row>
    <row r="149">
      <c r="A149" s="22" t="n"/>
      <c r="B149" s="22" t="n"/>
      <c r="C149" s="24" t="n"/>
      <c r="D149" s="24" t="n"/>
      <c r="E149" s="24" t="n"/>
      <c r="F149" s="40" t="n"/>
      <c r="G149" s="23" t="n"/>
      <c r="H149" s="30">
        <f>IF(OR(A149="",G149="",G149=0,F149=""),"",F149/G149)</f>
        <v/>
      </c>
      <c r="I149" s="31">
        <f>IF(H149="","",H149/Config!$B$12-1)</f>
        <v/>
      </c>
      <c r="J149" s="33">
        <f>IF(H149="","",IF(H149&lt;Config!$B$12,"Abaixo do mínimo",IF(H149&lt;Config!$B$13,"Na faixa","Acima do alvo")))</f>
        <v/>
      </c>
      <c r="K149" s="25">
        <f>IF(H149="","",MAX(0,Config!$B$12*G149-F149))</f>
        <v/>
      </c>
      <c r="L149" s="41">
        <f>IF(K149="","",K149+ROW()/1000000)</f>
        <v/>
      </c>
    </row>
    <row r="150">
      <c r="A150" s="22" t="n"/>
      <c r="B150" s="22" t="n"/>
      <c r="C150" s="24" t="n"/>
      <c r="D150" s="24" t="n"/>
      <c r="E150" s="24" t="n"/>
      <c r="F150" s="40" t="n"/>
      <c r="G150" s="23" t="n"/>
      <c r="H150" s="30">
        <f>IF(OR(A150="",G150="",G150=0,F150=""),"",F150/G150)</f>
        <v/>
      </c>
      <c r="I150" s="31">
        <f>IF(H150="","",H150/Config!$B$12-1)</f>
        <v/>
      </c>
      <c r="J150" s="33">
        <f>IF(H150="","",IF(H150&lt;Config!$B$12,"Abaixo do mínimo",IF(H150&lt;Config!$B$13,"Na faixa","Acima do alvo")))</f>
        <v/>
      </c>
      <c r="K150" s="25">
        <f>IF(H150="","",MAX(0,Config!$B$12*G150-F150))</f>
        <v/>
      </c>
      <c r="L150" s="41">
        <f>IF(K150="","",K150+ROW()/1000000)</f>
        <v/>
      </c>
    </row>
    <row r="151">
      <c r="A151" s="22" t="n"/>
      <c r="B151" s="22" t="n"/>
      <c r="C151" s="24" t="n"/>
      <c r="D151" s="24" t="n"/>
      <c r="E151" s="24" t="n"/>
      <c r="F151" s="40" t="n"/>
      <c r="G151" s="23" t="n"/>
      <c r="H151" s="30">
        <f>IF(OR(A151="",G151="",G151=0,F151=""),"",F151/G151)</f>
        <v/>
      </c>
      <c r="I151" s="31">
        <f>IF(H151="","",H151/Config!$B$12-1)</f>
        <v/>
      </c>
      <c r="J151" s="33">
        <f>IF(H151="","",IF(H151&lt;Config!$B$12,"Abaixo do mínimo",IF(H151&lt;Config!$B$13,"Na faixa","Acima do alvo")))</f>
        <v/>
      </c>
      <c r="K151" s="25">
        <f>IF(H151="","",MAX(0,Config!$B$12*G151-F151))</f>
        <v/>
      </c>
      <c r="L151" s="41">
        <f>IF(K151="","",K151+ROW()/1000000)</f>
        <v/>
      </c>
    </row>
    <row r="152">
      <c r="A152" s="22" t="n"/>
      <c r="B152" s="22" t="n"/>
      <c r="C152" s="24" t="n"/>
      <c r="D152" s="24" t="n"/>
      <c r="E152" s="24" t="n"/>
      <c r="F152" s="40" t="n"/>
      <c r="G152" s="23" t="n"/>
      <c r="H152" s="30">
        <f>IF(OR(A152="",G152="",G152=0,F152=""),"",F152/G152)</f>
        <v/>
      </c>
      <c r="I152" s="31">
        <f>IF(H152="","",H152/Config!$B$12-1)</f>
        <v/>
      </c>
      <c r="J152" s="33">
        <f>IF(H152="","",IF(H152&lt;Config!$B$12,"Abaixo do mínimo",IF(H152&lt;Config!$B$13,"Na faixa","Acima do alvo")))</f>
        <v/>
      </c>
      <c r="K152" s="25">
        <f>IF(H152="","",MAX(0,Config!$B$12*G152-F152))</f>
        <v/>
      </c>
      <c r="L152" s="41">
        <f>IF(K152="","",K152+ROW()/1000000)</f>
        <v/>
      </c>
    </row>
    <row r="153">
      <c r="A153" s="22" t="n"/>
      <c r="B153" s="22" t="n"/>
      <c r="C153" s="24" t="n"/>
      <c r="D153" s="24" t="n"/>
      <c r="E153" s="24" t="n"/>
      <c r="F153" s="40" t="n"/>
      <c r="G153" s="23" t="n"/>
      <c r="H153" s="30">
        <f>IF(OR(A153="",G153="",G153=0,F153=""),"",F153/G153)</f>
        <v/>
      </c>
      <c r="I153" s="31">
        <f>IF(H153="","",H153/Config!$B$12-1)</f>
        <v/>
      </c>
      <c r="J153" s="33">
        <f>IF(H153="","",IF(H153&lt;Config!$B$12,"Abaixo do mínimo",IF(H153&lt;Config!$B$13,"Na faixa","Acima do alvo")))</f>
        <v/>
      </c>
      <c r="K153" s="25">
        <f>IF(H153="","",MAX(0,Config!$B$12*G153-F153))</f>
        <v/>
      </c>
      <c r="L153" s="41">
        <f>IF(K153="","",K153+ROW()/1000000)</f>
        <v/>
      </c>
    </row>
    <row r="154">
      <c r="A154" s="22" t="n"/>
      <c r="B154" s="22" t="n"/>
      <c r="C154" s="24" t="n"/>
      <c r="D154" s="24" t="n"/>
      <c r="E154" s="24" t="n"/>
      <c r="F154" s="40" t="n"/>
      <c r="G154" s="23" t="n"/>
      <c r="H154" s="30">
        <f>IF(OR(A154="",G154="",G154=0,F154=""),"",F154/G154)</f>
        <v/>
      </c>
      <c r="I154" s="31">
        <f>IF(H154="","",H154/Config!$B$12-1)</f>
        <v/>
      </c>
      <c r="J154" s="33">
        <f>IF(H154="","",IF(H154&lt;Config!$B$12,"Abaixo do mínimo",IF(H154&lt;Config!$B$13,"Na faixa","Acima do alvo")))</f>
        <v/>
      </c>
      <c r="K154" s="25">
        <f>IF(H154="","",MAX(0,Config!$B$12*G154-F154))</f>
        <v/>
      </c>
      <c r="L154" s="41">
        <f>IF(K154="","",K154+ROW()/1000000)</f>
        <v/>
      </c>
    </row>
    <row r="155">
      <c r="A155" s="22" t="n"/>
      <c r="B155" s="22" t="n"/>
      <c r="C155" s="24" t="n"/>
      <c r="D155" s="24" t="n"/>
      <c r="E155" s="24" t="n"/>
      <c r="F155" s="40" t="n"/>
      <c r="G155" s="23" t="n"/>
      <c r="H155" s="30">
        <f>IF(OR(A155="",G155="",G155=0,F155=""),"",F155/G155)</f>
        <v/>
      </c>
      <c r="I155" s="31">
        <f>IF(H155="","",H155/Config!$B$12-1)</f>
        <v/>
      </c>
      <c r="J155" s="33">
        <f>IF(H155="","",IF(H155&lt;Config!$B$12,"Abaixo do mínimo",IF(H155&lt;Config!$B$13,"Na faixa","Acima do alvo")))</f>
        <v/>
      </c>
      <c r="K155" s="25">
        <f>IF(H155="","",MAX(0,Config!$B$12*G155-F155))</f>
        <v/>
      </c>
      <c r="L155" s="41">
        <f>IF(K155="","",K155+ROW()/1000000)</f>
        <v/>
      </c>
    </row>
    <row r="156">
      <c r="A156" s="22" t="n"/>
      <c r="B156" s="22" t="n"/>
      <c r="C156" s="24" t="n"/>
      <c r="D156" s="24" t="n"/>
      <c r="E156" s="24" t="n"/>
      <c r="F156" s="40" t="n"/>
      <c r="G156" s="23" t="n"/>
      <c r="H156" s="30">
        <f>IF(OR(A156="",G156="",G156=0,F156=""),"",F156/G156)</f>
        <v/>
      </c>
      <c r="I156" s="31">
        <f>IF(H156="","",H156/Config!$B$12-1)</f>
        <v/>
      </c>
      <c r="J156" s="33">
        <f>IF(H156="","",IF(H156&lt;Config!$B$12,"Abaixo do mínimo",IF(H156&lt;Config!$B$13,"Na faixa","Acima do alvo")))</f>
        <v/>
      </c>
      <c r="K156" s="25">
        <f>IF(H156="","",MAX(0,Config!$B$12*G156-F156))</f>
        <v/>
      </c>
      <c r="L156" s="41">
        <f>IF(K156="","",K156+ROW()/1000000)</f>
        <v/>
      </c>
    </row>
    <row r="157">
      <c r="A157" s="22" t="n"/>
      <c r="B157" s="22" t="n"/>
      <c r="C157" s="24" t="n"/>
      <c r="D157" s="24" t="n"/>
      <c r="E157" s="24" t="n"/>
      <c r="F157" s="40" t="n"/>
      <c r="G157" s="23" t="n"/>
      <c r="H157" s="30">
        <f>IF(OR(A157="",G157="",G157=0,F157=""),"",F157/G157)</f>
        <v/>
      </c>
      <c r="I157" s="31">
        <f>IF(H157="","",H157/Config!$B$12-1)</f>
        <v/>
      </c>
      <c r="J157" s="33">
        <f>IF(H157="","",IF(H157&lt;Config!$B$12,"Abaixo do mínimo",IF(H157&lt;Config!$B$13,"Na faixa","Acima do alvo")))</f>
        <v/>
      </c>
      <c r="K157" s="25">
        <f>IF(H157="","",MAX(0,Config!$B$12*G157-F157))</f>
        <v/>
      </c>
      <c r="L157" s="41">
        <f>IF(K157="","",K157+ROW()/1000000)</f>
        <v/>
      </c>
    </row>
    <row r="158">
      <c r="A158" s="22" t="n"/>
      <c r="B158" s="22" t="n"/>
      <c r="C158" s="24" t="n"/>
      <c r="D158" s="24" t="n"/>
      <c r="E158" s="24" t="n"/>
      <c r="F158" s="40" t="n"/>
      <c r="G158" s="23" t="n"/>
      <c r="H158" s="30">
        <f>IF(OR(A158="",G158="",G158=0,F158=""),"",F158/G158)</f>
        <v/>
      </c>
      <c r="I158" s="31">
        <f>IF(H158="","",H158/Config!$B$12-1)</f>
        <v/>
      </c>
      <c r="J158" s="33">
        <f>IF(H158="","",IF(H158&lt;Config!$B$12,"Abaixo do mínimo",IF(H158&lt;Config!$B$13,"Na faixa","Acima do alvo")))</f>
        <v/>
      </c>
      <c r="K158" s="25">
        <f>IF(H158="","",MAX(0,Config!$B$12*G158-F158))</f>
        <v/>
      </c>
      <c r="L158" s="41">
        <f>IF(K158="","",K158+ROW()/1000000)</f>
        <v/>
      </c>
    </row>
    <row r="159">
      <c r="A159" s="22" t="n"/>
      <c r="B159" s="22" t="n"/>
      <c r="C159" s="24" t="n"/>
      <c r="D159" s="24" t="n"/>
      <c r="E159" s="24" t="n"/>
      <c r="F159" s="40" t="n"/>
      <c r="G159" s="23" t="n"/>
      <c r="H159" s="30">
        <f>IF(OR(A159="",G159="",G159=0,F159=""),"",F159/G159)</f>
        <v/>
      </c>
      <c r="I159" s="31">
        <f>IF(H159="","",H159/Config!$B$12-1)</f>
        <v/>
      </c>
      <c r="J159" s="33">
        <f>IF(H159="","",IF(H159&lt;Config!$B$12,"Abaixo do mínimo",IF(H159&lt;Config!$B$13,"Na faixa","Acima do alvo")))</f>
        <v/>
      </c>
      <c r="K159" s="25">
        <f>IF(H159="","",MAX(0,Config!$B$12*G159-F159))</f>
        <v/>
      </c>
      <c r="L159" s="41">
        <f>IF(K159="","",K159+ROW()/1000000)</f>
        <v/>
      </c>
    </row>
    <row r="160">
      <c r="A160" s="22" t="n"/>
      <c r="B160" s="22" t="n"/>
      <c r="C160" s="24" t="n"/>
      <c r="D160" s="24" t="n"/>
      <c r="E160" s="24" t="n"/>
      <c r="F160" s="40" t="n"/>
      <c r="G160" s="23" t="n"/>
      <c r="H160" s="30">
        <f>IF(OR(A160="",G160="",G160=0,F160=""),"",F160/G160)</f>
        <v/>
      </c>
      <c r="I160" s="31">
        <f>IF(H160="","",H160/Config!$B$12-1)</f>
        <v/>
      </c>
      <c r="J160" s="33">
        <f>IF(H160="","",IF(H160&lt;Config!$B$12,"Abaixo do mínimo",IF(H160&lt;Config!$B$13,"Na faixa","Acima do alvo")))</f>
        <v/>
      </c>
      <c r="K160" s="25">
        <f>IF(H160="","",MAX(0,Config!$B$12*G160-F160))</f>
        <v/>
      </c>
      <c r="L160" s="41">
        <f>IF(K160="","",K160+ROW()/1000000)</f>
        <v/>
      </c>
    </row>
    <row r="161">
      <c r="A161" s="22" t="n"/>
      <c r="B161" s="22" t="n"/>
      <c r="C161" s="24" t="n"/>
      <c r="D161" s="24" t="n"/>
      <c r="E161" s="24" t="n"/>
      <c r="F161" s="40" t="n"/>
      <c r="G161" s="23" t="n"/>
      <c r="H161" s="30">
        <f>IF(OR(A161="",G161="",G161=0,F161=""),"",F161/G161)</f>
        <v/>
      </c>
      <c r="I161" s="31">
        <f>IF(H161="","",H161/Config!$B$12-1)</f>
        <v/>
      </c>
      <c r="J161" s="33">
        <f>IF(H161="","",IF(H161&lt;Config!$B$12,"Abaixo do mínimo",IF(H161&lt;Config!$B$13,"Na faixa","Acima do alvo")))</f>
        <v/>
      </c>
      <c r="K161" s="25">
        <f>IF(H161="","",MAX(0,Config!$B$12*G161-F161))</f>
        <v/>
      </c>
      <c r="L161" s="41">
        <f>IF(K161="","",K161+ROW()/1000000)</f>
        <v/>
      </c>
    </row>
    <row r="162">
      <c r="A162" s="22" t="n"/>
      <c r="B162" s="22" t="n"/>
      <c r="C162" s="24" t="n"/>
      <c r="D162" s="24" t="n"/>
      <c r="E162" s="24" t="n"/>
      <c r="F162" s="40" t="n"/>
      <c r="G162" s="23" t="n"/>
      <c r="H162" s="30">
        <f>IF(OR(A162="",G162="",G162=0,F162=""),"",F162/G162)</f>
        <v/>
      </c>
      <c r="I162" s="31">
        <f>IF(H162="","",H162/Config!$B$12-1)</f>
        <v/>
      </c>
      <c r="J162" s="33">
        <f>IF(H162="","",IF(H162&lt;Config!$B$12,"Abaixo do mínimo",IF(H162&lt;Config!$B$13,"Na faixa","Acima do alvo")))</f>
        <v/>
      </c>
      <c r="K162" s="25">
        <f>IF(H162="","",MAX(0,Config!$B$12*G162-F162))</f>
        <v/>
      </c>
      <c r="L162" s="41">
        <f>IF(K162="","",K162+ROW()/1000000)</f>
        <v/>
      </c>
    </row>
    <row r="163">
      <c r="A163" s="22" t="n"/>
      <c r="B163" s="22" t="n"/>
      <c r="C163" s="24" t="n"/>
      <c r="D163" s="24" t="n"/>
      <c r="E163" s="24" t="n"/>
      <c r="F163" s="40" t="n"/>
      <c r="G163" s="23" t="n"/>
      <c r="H163" s="30">
        <f>IF(OR(A163="",G163="",G163=0,F163=""),"",F163/G163)</f>
        <v/>
      </c>
      <c r="I163" s="31">
        <f>IF(H163="","",H163/Config!$B$12-1)</f>
        <v/>
      </c>
      <c r="J163" s="33">
        <f>IF(H163="","",IF(H163&lt;Config!$B$12,"Abaixo do mínimo",IF(H163&lt;Config!$B$13,"Na faixa","Acima do alvo")))</f>
        <v/>
      </c>
      <c r="K163" s="25">
        <f>IF(H163="","",MAX(0,Config!$B$12*G163-F163))</f>
        <v/>
      </c>
      <c r="L163" s="41">
        <f>IF(K163="","",K163+ROW()/1000000)</f>
        <v/>
      </c>
    </row>
    <row r="164">
      <c r="A164" s="22" t="n"/>
      <c r="B164" s="22" t="n"/>
      <c r="C164" s="24" t="n"/>
      <c r="D164" s="24" t="n"/>
      <c r="E164" s="24" t="n"/>
      <c r="F164" s="40" t="n"/>
      <c r="G164" s="23" t="n"/>
      <c r="H164" s="30">
        <f>IF(OR(A164="",G164="",G164=0,F164=""),"",F164/G164)</f>
        <v/>
      </c>
      <c r="I164" s="31">
        <f>IF(H164="","",H164/Config!$B$12-1)</f>
        <v/>
      </c>
      <c r="J164" s="33">
        <f>IF(H164="","",IF(H164&lt;Config!$B$12,"Abaixo do mínimo",IF(H164&lt;Config!$B$13,"Na faixa","Acima do alvo")))</f>
        <v/>
      </c>
      <c r="K164" s="25">
        <f>IF(H164="","",MAX(0,Config!$B$12*G164-F164))</f>
        <v/>
      </c>
      <c r="L164" s="41">
        <f>IF(K164="","",K164+ROW()/1000000)</f>
        <v/>
      </c>
    </row>
    <row r="165">
      <c r="A165" s="22" t="n"/>
      <c r="B165" s="22" t="n"/>
      <c r="C165" s="24" t="n"/>
      <c r="D165" s="24" t="n"/>
      <c r="E165" s="24" t="n"/>
      <c r="F165" s="40" t="n"/>
      <c r="G165" s="23" t="n"/>
      <c r="H165" s="30">
        <f>IF(OR(A165="",G165="",G165=0,F165=""),"",F165/G165)</f>
        <v/>
      </c>
      <c r="I165" s="31">
        <f>IF(H165="","",H165/Config!$B$12-1)</f>
        <v/>
      </c>
      <c r="J165" s="33">
        <f>IF(H165="","",IF(H165&lt;Config!$B$12,"Abaixo do mínimo",IF(H165&lt;Config!$B$13,"Na faixa","Acima do alvo")))</f>
        <v/>
      </c>
      <c r="K165" s="25">
        <f>IF(H165="","",MAX(0,Config!$B$12*G165-F165))</f>
        <v/>
      </c>
      <c r="L165" s="41">
        <f>IF(K165="","",K165+ROW()/1000000)</f>
        <v/>
      </c>
    </row>
    <row r="166">
      <c r="A166" s="22" t="n"/>
      <c r="B166" s="22" t="n"/>
      <c r="C166" s="24" t="n"/>
      <c r="D166" s="24" t="n"/>
      <c r="E166" s="24" t="n"/>
      <c r="F166" s="40" t="n"/>
      <c r="G166" s="23" t="n"/>
      <c r="H166" s="30">
        <f>IF(OR(A166="",G166="",G166=0,F166=""),"",F166/G166)</f>
        <v/>
      </c>
      <c r="I166" s="31">
        <f>IF(H166="","",H166/Config!$B$12-1)</f>
        <v/>
      </c>
      <c r="J166" s="33">
        <f>IF(H166="","",IF(H166&lt;Config!$B$12,"Abaixo do mínimo",IF(H166&lt;Config!$B$13,"Na faixa","Acima do alvo")))</f>
        <v/>
      </c>
      <c r="K166" s="25">
        <f>IF(H166="","",MAX(0,Config!$B$12*G166-F166))</f>
        <v/>
      </c>
      <c r="L166" s="41">
        <f>IF(K166="","",K166+ROW()/1000000)</f>
        <v/>
      </c>
    </row>
    <row r="167">
      <c r="A167" s="22" t="n"/>
      <c r="B167" s="22" t="n"/>
      <c r="C167" s="24" t="n"/>
      <c r="D167" s="24" t="n"/>
      <c r="E167" s="24" t="n"/>
      <c r="F167" s="40" t="n"/>
      <c r="G167" s="23" t="n"/>
      <c r="H167" s="30">
        <f>IF(OR(A167="",G167="",G167=0,F167=""),"",F167/G167)</f>
        <v/>
      </c>
      <c r="I167" s="31">
        <f>IF(H167="","",H167/Config!$B$12-1)</f>
        <v/>
      </c>
      <c r="J167" s="33">
        <f>IF(H167="","",IF(H167&lt;Config!$B$12,"Abaixo do mínimo",IF(H167&lt;Config!$B$13,"Na faixa","Acima do alvo")))</f>
        <v/>
      </c>
      <c r="K167" s="25">
        <f>IF(H167="","",MAX(0,Config!$B$12*G167-F167))</f>
        <v/>
      </c>
      <c r="L167" s="41">
        <f>IF(K167="","",K167+ROW()/1000000)</f>
        <v/>
      </c>
    </row>
    <row r="168">
      <c r="A168" s="22" t="n"/>
      <c r="B168" s="22" t="n"/>
      <c r="C168" s="24" t="n"/>
      <c r="D168" s="24" t="n"/>
      <c r="E168" s="24" t="n"/>
      <c r="F168" s="40" t="n"/>
      <c r="G168" s="23" t="n"/>
      <c r="H168" s="30">
        <f>IF(OR(A168="",G168="",G168=0,F168=""),"",F168/G168)</f>
        <v/>
      </c>
      <c r="I168" s="31">
        <f>IF(H168="","",H168/Config!$B$12-1)</f>
        <v/>
      </c>
      <c r="J168" s="33">
        <f>IF(H168="","",IF(H168&lt;Config!$B$12,"Abaixo do mínimo",IF(H168&lt;Config!$B$13,"Na faixa","Acima do alvo")))</f>
        <v/>
      </c>
      <c r="K168" s="25">
        <f>IF(H168="","",MAX(0,Config!$B$12*G168-F168))</f>
        <v/>
      </c>
      <c r="L168" s="41">
        <f>IF(K168="","",K168+ROW()/1000000)</f>
        <v/>
      </c>
    </row>
    <row r="169">
      <c r="A169" s="22" t="n"/>
      <c r="B169" s="22" t="n"/>
      <c r="C169" s="24" t="n"/>
      <c r="D169" s="24" t="n"/>
      <c r="E169" s="24" t="n"/>
      <c r="F169" s="40" t="n"/>
      <c r="G169" s="23" t="n"/>
      <c r="H169" s="30">
        <f>IF(OR(A169="",G169="",G169=0,F169=""),"",F169/G169)</f>
        <v/>
      </c>
      <c r="I169" s="31">
        <f>IF(H169="","",H169/Config!$B$12-1)</f>
        <v/>
      </c>
      <c r="J169" s="33">
        <f>IF(H169="","",IF(H169&lt;Config!$B$12,"Abaixo do mínimo",IF(H169&lt;Config!$B$13,"Na faixa","Acima do alvo")))</f>
        <v/>
      </c>
      <c r="K169" s="25">
        <f>IF(H169="","",MAX(0,Config!$B$12*G169-F169))</f>
        <v/>
      </c>
      <c r="L169" s="41">
        <f>IF(K169="","",K169+ROW()/1000000)</f>
        <v/>
      </c>
    </row>
    <row r="170">
      <c r="A170" s="22" t="n"/>
      <c r="B170" s="22" t="n"/>
      <c r="C170" s="24" t="n"/>
      <c r="D170" s="24" t="n"/>
      <c r="E170" s="24" t="n"/>
      <c r="F170" s="40" t="n"/>
      <c r="G170" s="23" t="n"/>
      <c r="H170" s="30">
        <f>IF(OR(A170="",G170="",G170=0,F170=""),"",F170/G170)</f>
        <v/>
      </c>
      <c r="I170" s="31">
        <f>IF(H170="","",H170/Config!$B$12-1)</f>
        <v/>
      </c>
      <c r="J170" s="33">
        <f>IF(H170="","",IF(H170&lt;Config!$B$12,"Abaixo do mínimo",IF(H170&lt;Config!$B$13,"Na faixa","Acima do alvo")))</f>
        <v/>
      </c>
      <c r="K170" s="25">
        <f>IF(H170="","",MAX(0,Config!$B$12*G170-F170))</f>
        <v/>
      </c>
      <c r="L170" s="41">
        <f>IF(K170="","",K170+ROW()/1000000)</f>
        <v/>
      </c>
    </row>
    <row r="171">
      <c r="A171" s="22" t="n"/>
      <c r="B171" s="22" t="n"/>
      <c r="C171" s="24" t="n"/>
      <c r="D171" s="24" t="n"/>
      <c r="E171" s="24" t="n"/>
      <c r="F171" s="40" t="n"/>
      <c r="G171" s="23" t="n"/>
      <c r="H171" s="30">
        <f>IF(OR(A171="",G171="",G171=0,F171=""),"",F171/G171)</f>
        <v/>
      </c>
      <c r="I171" s="31">
        <f>IF(H171="","",H171/Config!$B$12-1)</f>
        <v/>
      </c>
      <c r="J171" s="33">
        <f>IF(H171="","",IF(H171&lt;Config!$B$12,"Abaixo do mínimo",IF(H171&lt;Config!$B$13,"Na faixa","Acima do alvo")))</f>
        <v/>
      </c>
      <c r="K171" s="25">
        <f>IF(H171="","",MAX(0,Config!$B$12*G171-F171))</f>
        <v/>
      </c>
      <c r="L171" s="41">
        <f>IF(K171="","",K171+ROW()/1000000)</f>
        <v/>
      </c>
    </row>
    <row r="172">
      <c r="A172" s="22" t="n"/>
      <c r="B172" s="22" t="n"/>
      <c r="C172" s="24" t="n"/>
      <c r="D172" s="24" t="n"/>
      <c r="E172" s="24" t="n"/>
      <c r="F172" s="40" t="n"/>
      <c r="G172" s="23" t="n"/>
      <c r="H172" s="30">
        <f>IF(OR(A172="",G172="",G172=0,F172=""),"",F172/G172)</f>
        <v/>
      </c>
      <c r="I172" s="31">
        <f>IF(H172="","",H172/Config!$B$12-1)</f>
        <v/>
      </c>
      <c r="J172" s="33">
        <f>IF(H172="","",IF(H172&lt;Config!$B$12,"Abaixo do mínimo",IF(H172&lt;Config!$B$13,"Na faixa","Acima do alvo")))</f>
        <v/>
      </c>
      <c r="K172" s="25">
        <f>IF(H172="","",MAX(0,Config!$B$12*G172-F172))</f>
        <v/>
      </c>
      <c r="L172" s="41">
        <f>IF(K172="","",K172+ROW()/1000000)</f>
        <v/>
      </c>
    </row>
    <row r="173">
      <c r="A173" s="22" t="n"/>
      <c r="B173" s="22" t="n"/>
      <c r="C173" s="24" t="n"/>
      <c r="D173" s="24" t="n"/>
      <c r="E173" s="24" t="n"/>
      <c r="F173" s="40" t="n"/>
      <c r="G173" s="23" t="n"/>
      <c r="H173" s="30">
        <f>IF(OR(A173="",G173="",G173=0,F173=""),"",F173/G173)</f>
        <v/>
      </c>
      <c r="I173" s="31">
        <f>IF(H173="","",H173/Config!$B$12-1)</f>
        <v/>
      </c>
      <c r="J173" s="33">
        <f>IF(H173="","",IF(H173&lt;Config!$B$12,"Abaixo do mínimo",IF(H173&lt;Config!$B$13,"Na faixa","Acima do alvo")))</f>
        <v/>
      </c>
      <c r="K173" s="25">
        <f>IF(H173="","",MAX(0,Config!$B$12*G173-F173))</f>
        <v/>
      </c>
      <c r="L173" s="41">
        <f>IF(K173="","",K173+ROW()/1000000)</f>
        <v/>
      </c>
    </row>
    <row r="174">
      <c r="A174" s="22" t="n"/>
      <c r="B174" s="22" t="n"/>
      <c r="C174" s="24" t="n"/>
      <c r="D174" s="24" t="n"/>
      <c r="E174" s="24" t="n"/>
      <c r="F174" s="40" t="n"/>
      <c r="G174" s="23" t="n"/>
      <c r="H174" s="30">
        <f>IF(OR(A174="",G174="",G174=0,F174=""),"",F174/G174)</f>
        <v/>
      </c>
      <c r="I174" s="31">
        <f>IF(H174="","",H174/Config!$B$12-1)</f>
        <v/>
      </c>
      <c r="J174" s="33">
        <f>IF(H174="","",IF(H174&lt;Config!$B$12,"Abaixo do mínimo",IF(H174&lt;Config!$B$13,"Na faixa","Acima do alvo")))</f>
        <v/>
      </c>
      <c r="K174" s="25">
        <f>IF(H174="","",MAX(0,Config!$B$12*G174-F174))</f>
        <v/>
      </c>
      <c r="L174" s="41">
        <f>IF(K174="","",K174+ROW()/1000000)</f>
        <v/>
      </c>
    </row>
    <row r="175">
      <c r="A175" s="22" t="n"/>
      <c r="B175" s="22" t="n"/>
      <c r="C175" s="24" t="n"/>
      <c r="D175" s="24" t="n"/>
      <c r="E175" s="24" t="n"/>
      <c r="F175" s="40" t="n"/>
      <c r="G175" s="23" t="n"/>
      <c r="H175" s="30">
        <f>IF(OR(A175="",G175="",G175=0,F175=""),"",F175/G175)</f>
        <v/>
      </c>
      <c r="I175" s="31">
        <f>IF(H175="","",H175/Config!$B$12-1)</f>
        <v/>
      </c>
      <c r="J175" s="33">
        <f>IF(H175="","",IF(H175&lt;Config!$B$12,"Abaixo do mínimo",IF(H175&lt;Config!$B$13,"Na faixa","Acima do alvo")))</f>
        <v/>
      </c>
      <c r="K175" s="25">
        <f>IF(H175="","",MAX(0,Config!$B$12*G175-F175))</f>
        <v/>
      </c>
      <c r="L175" s="41">
        <f>IF(K175="","",K175+ROW()/1000000)</f>
        <v/>
      </c>
    </row>
    <row r="176">
      <c r="A176" s="22" t="n"/>
      <c r="B176" s="22" t="n"/>
      <c r="C176" s="24" t="n"/>
      <c r="D176" s="24" t="n"/>
      <c r="E176" s="24" t="n"/>
      <c r="F176" s="40" t="n"/>
      <c r="G176" s="23" t="n"/>
      <c r="H176" s="30">
        <f>IF(OR(A176="",G176="",G176=0,F176=""),"",F176/G176)</f>
        <v/>
      </c>
      <c r="I176" s="31">
        <f>IF(H176="","",H176/Config!$B$12-1)</f>
        <v/>
      </c>
      <c r="J176" s="33">
        <f>IF(H176="","",IF(H176&lt;Config!$B$12,"Abaixo do mínimo",IF(H176&lt;Config!$B$13,"Na faixa","Acima do alvo")))</f>
        <v/>
      </c>
      <c r="K176" s="25">
        <f>IF(H176="","",MAX(0,Config!$B$12*G176-F176))</f>
        <v/>
      </c>
      <c r="L176" s="41">
        <f>IF(K176="","",K176+ROW()/1000000)</f>
        <v/>
      </c>
    </row>
    <row r="177">
      <c r="A177" s="22" t="n"/>
      <c r="B177" s="22" t="n"/>
      <c r="C177" s="24" t="n"/>
      <c r="D177" s="24" t="n"/>
      <c r="E177" s="24" t="n"/>
      <c r="F177" s="40" t="n"/>
      <c r="G177" s="23" t="n"/>
      <c r="H177" s="30">
        <f>IF(OR(A177="",G177="",G177=0,F177=""),"",F177/G177)</f>
        <v/>
      </c>
      <c r="I177" s="31">
        <f>IF(H177="","",H177/Config!$B$12-1)</f>
        <v/>
      </c>
      <c r="J177" s="33">
        <f>IF(H177="","",IF(H177&lt;Config!$B$12,"Abaixo do mínimo",IF(H177&lt;Config!$B$13,"Na faixa","Acima do alvo")))</f>
        <v/>
      </c>
      <c r="K177" s="25">
        <f>IF(H177="","",MAX(0,Config!$B$12*G177-F177))</f>
        <v/>
      </c>
      <c r="L177" s="41">
        <f>IF(K177="","",K177+ROW()/1000000)</f>
        <v/>
      </c>
    </row>
    <row r="178">
      <c r="A178" s="22" t="n"/>
      <c r="B178" s="22" t="n"/>
      <c r="C178" s="24" t="n"/>
      <c r="D178" s="24" t="n"/>
      <c r="E178" s="24" t="n"/>
      <c r="F178" s="40" t="n"/>
      <c r="G178" s="23" t="n"/>
      <c r="H178" s="30">
        <f>IF(OR(A178="",G178="",G178=0,F178=""),"",F178/G178)</f>
        <v/>
      </c>
      <c r="I178" s="31">
        <f>IF(H178="","",H178/Config!$B$12-1)</f>
        <v/>
      </c>
      <c r="J178" s="33">
        <f>IF(H178="","",IF(H178&lt;Config!$B$12,"Abaixo do mínimo",IF(H178&lt;Config!$B$13,"Na faixa","Acima do alvo")))</f>
        <v/>
      </c>
      <c r="K178" s="25">
        <f>IF(H178="","",MAX(0,Config!$B$12*G178-F178))</f>
        <v/>
      </c>
      <c r="L178" s="41">
        <f>IF(K178="","",K178+ROW()/1000000)</f>
        <v/>
      </c>
    </row>
    <row r="179">
      <c r="A179" s="22" t="n"/>
      <c r="B179" s="22" t="n"/>
      <c r="C179" s="24" t="n"/>
      <c r="D179" s="24" t="n"/>
      <c r="E179" s="24" t="n"/>
      <c r="F179" s="40" t="n"/>
      <c r="G179" s="23" t="n"/>
      <c r="H179" s="30">
        <f>IF(OR(A179="",G179="",G179=0,F179=""),"",F179/G179)</f>
        <v/>
      </c>
      <c r="I179" s="31">
        <f>IF(H179="","",H179/Config!$B$12-1)</f>
        <v/>
      </c>
      <c r="J179" s="33">
        <f>IF(H179="","",IF(H179&lt;Config!$B$12,"Abaixo do mínimo",IF(H179&lt;Config!$B$13,"Na faixa","Acima do alvo")))</f>
        <v/>
      </c>
      <c r="K179" s="25">
        <f>IF(H179="","",MAX(0,Config!$B$12*G179-F179))</f>
        <v/>
      </c>
      <c r="L179" s="41">
        <f>IF(K179="","",K179+ROW()/1000000)</f>
        <v/>
      </c>
    </row>
    <row r="180">
      <c r="A180" s="22" t="n"/>
      <c r="B180" s="22" t="n"/>
      <c r="C180" s="24" t="n"/>
      <c r="D180" s="24" t="n"/>
      <c r="E180" s="24" t="n"/>
      <c r="F180" s="40" t="n"/>
      <c r="G180" s="23" t="n"/>
      <c r="H180" s="30">
        <f>IF(OR(A180="",G180="",G180=0,F180=""),"",F180/G180)</f>
        <v/>
      </c>
      <c r="I180" s="31">
        <f>IF(H180="","",H180/Config!$B$12-1)</f>
        <v/>
      </c>
      <c r="J180" s="33">
        <f>IF(H180="","",IF(H180&lt;Config!$B$12,"Abaixo do mínimo",IF(H180&lt;Config!$B$13,"Na faixa","Acima do alvo")))</f>
        <v/>
      </c>
      <c r="K180" s="25">
        <f>IF(H180="","",MAX(0,Config!$B$12*G180-F180))</f>
        <v/>
      </c>
      <c r="L180" s="41">
        <f>IF(K180="","",K180+ROW()/1000000)</f>
        <v/>
      </c>
    </row>
    <row r="181">
      <c r="A181" s="22" t="n"/>
      <c r="B181" s="22" t="n"/>
      <c r="C181" s="24" t="n"/>
      <c r="D181" s="24" t="n"/>
      <c r="E181" s="24" t="n"/>
      <c r="F181" s="40" t="n"/>
      <c r="G181" s="23" t="n"/>
      <c r="H181" s="30">
        <f>IF(OR(A181="",G181="",G181=0,F181=""),"",F181/G181)</f>
        <v/>
      </c>
      <c r="I181" s="31">
        <f>IF(H181="","",H181/Config!$B$12-1)</f>
        <v/>
      </c>
      <c r="J181" s="33">
        <f>IF(H181="","",IF(H181&lt;Config!$B$12,"Abaixo do mínimo",IF(H181&lt;Config!$B$13,"Na faixa","Acima do alvo")))</f>
        <v/>
      </c>
      <c r="K181" s="25">
        <f>IF(H181="","",MAX(0,Config!$B$12*G181-F181))</f>
        <v/>
      </c>
      <c r="L181" s="41">
        <f>IF(K181="","",K181+ROW()/1000000)</f>
        <v/>
      </c>
    </row>
    <row r="182">
      <c r="A182" s="22" t="n"/>
      <c r="B182" s="22" t="n"/>
      <c r="C182" s="24" t="n"/>
      <c r="D182" s="24" t="n"/>
      <c r="E182" s="24" t="n"/>
      <c r="F182" s="40" t="n"/>
      <c r="G182" s="23" t="n"/>
      <c r="H182" s="30">
        <f>IF(OR(A182="",G182="",G182=0,F182=""),"",F182/G182)</f>
        <v/>
      </c>
      <c r="I182" s="31">
        <f>IF(H182="","",H182/Config!$B$12-1)</f>
        <v/>
      </c>
      <c r="J182" s="33">
        <f>IF(H182="","",IF(H182&lt;Config!$B$12,"Abaixo do mínimo",IF(H182&lt;Config!$B$13,"Na faixa","Acima do alvo")))</f>
        <v/>
      </c>
      <c r="K182" s="25">
        <f>IF(H182="","",MAX(0,Config!$B$12*G182-F182))</f>
        <v/>
      </c>
      <c r="L182" s="41">
        <f>IF(K182="","",K182+ROW()/1000000)</f>
        <v/>
      </c>
    </row>
    <row r="183">
      <c r="A183" s="22" t="n"/>
      <c r="B183" s="22" t="n"/>
      <c r="C183" s="24" t="n"/>
      <c r="D183" s="24" t="n"/>
      <c r="E183" s="24" t="n"/>
      <c r="F183" s="40" t="n"/>
      <c r="G183" s="23" t="n"/>
      <c r="H183" s="30">
        <f>IF(OR(A183="",G183="",G183=0,F183=""),"",F183/G183)</f>
        <v/>
      </c>
      <c r="I183" s="31">
        <f>IF(H183="","",H183/Config!$B$12-1)</f>
        <v/>
      </c>
      <c r="J183" s="33">
        <f>IF(H183="","",IF(H183&lt;Config!$B$12,"Abaixo do mínimo",IF(H183&lt;Config!$B$13,"Na faixa","Acima do alvo")))</f>
        <v/>
      </c>
      <c r="K183" s="25">
        <f>IF(H183="","",MAX(0,Config!$B$12*G183-F183))</f>
        <v/>
      </c>
      <c r="L183" s="41">
        <f>IF(K183="","",K183+ROW()/1000000)</f>
        <v/>
      </c>
    </row>
    <row r="184">
      <c r="A184" s="22" t="n"/>
      <c r="B184" s="22" t="n"/>
      <c r="C184" s="24" t="n"/>
      <c r="D184" s="24" t="n"/>
      <c r="E184" s="24" t="n"/>
      <c r="F184" s="40" t="n"/>
      <c r="G184" s="23" t="n"/>
      <c r="H184" s="30">
        <f>IF(OR(A184="",G184="",G184=0,F184=""),"",F184/G184)</f>
        <v/>
      </c>
      <c r="I184" s="31">
        <f>IF(H184="","",H184/Config!$B$12-1)</f>
        <v/>
      </c>
      <c r="J184" s="33">
        <f>IF(H184="","",IF(H184&lt;Config!$B$12,"Abaixo do mínimo",IF(H184&lt;Config!$B$13,"Na faixa","Acima do alvo")))</f>
        <v/>
      </c>
      <c r="K184" s="25">
        <f>IF(H184="","",MAX(0,Config!$B$12*G184-F184))</f>
        <v/>
      </c>
      <c r="L184" s="41">
        <f>IF(K184="","",K184+ROW()/1000000)</f>
        <v/>
      </c>
    </row>
    <row r="185">
      <c r="A185" s="22" t="n"/>
      <c r="B185" s="22" t="n"/>
      <c r="C185" s="24" t="n"/>
      <c r="D185" s="24" t="n"/>
      <c r="E185" s="24" t="n"/>
      <c r="F185" s="40" t="n"/>
      <c r="G185" s="23" t="n"/>
      <c r="H185" s="30">
        <f>IF(OR(A185="",G185="",G185=0,F185=""),"",F185/G185)</f>
        <v/>
      </c>
      <c r="I185" s="31">
        <f>IF(H185="","",H185/Config!$B$12-1)</f>
        <v/>
      </c>
      <c r="J185" s="33">
        <f>IF(H185="","",IF(H185&lt;Config!$B$12,"Abaixo do mínimo",IF(H185&lt;Config!$B$13,"Na faixa","Acima do alvo")))</f>
        <v/>
      </c>
      <c r="K185" s="25">
        <f>IF(H185="","",MAX(0,Config!$B$12*G185-F185))</f>
        <v/>
      </c>
      <c r="L185" s="41">
        <f>IF(K185="","",K185+ROW()/1000000)</f>
        <v/>
      </c>
    </row>
    <row r="186">
      <c r="A186" s="22" t="n"/>
      <c r="B186" s="22" t="n"/>
      <c r="C186" s="24" t="n"/>
      <c r="D186" s="24" t="n"/>
      <c r="E186" s="24" t="n"/>
      <c r="F186" s="40" t="n"/>
      <c r="G186" s="23" t="n"/>
      <c r="H186" s="30">
        <f>IF(OR(A186="",G186="",G186=0,F186=""),"",F186/G186)</f>
        <v/>
      </c>
      <c r="I186" s="31">
        <f>IF(H186="","",H186/Config!$B$12-1)</f>
        <v/>
      </c>
      <c r="J186" s="33">
        <f>IF(H186="","",IF(H186&lt;Config!$B$12,"Abaixo do mínimo",IF(H186&lt;Config!$B$13,"Na faixa","Acima do alvo")))</f>
        <v/>
      </c>
      <c r="K186" s="25">
        <f>IF(H186="","",MAX(0,Config!$B$12*G186-F186))</f>
        <v/>
      </c>
      <c r="L186" s="41">
        <f>IF(K186="","",K186+ROW()/1000000)</f>
        <v/>
      </c>
    </row>
    <row r="187">
      <c r="A187" s="22" t="n"/>
      <c r="B187" s="22" t="n"/>
      <c r="C187" s="24" t="n"/>
      <c r="D187" s="24" t="n"/>
      <c r="E187" s="24" t="n"/>
      <c r="F187" s="40" t="n"/>
      <c r="G187" s="23" t="n"/>
      <c r="H187" s="30">
        <f>IF(OR(A187="",G187="",G187=0,F187=""),"",F187/G187)</f>
        <v/>
      </c>
      <c r="I187" s="31">
        <f>IF(H187="","",H187/Config!$B$12-1)</f>
        <v/>
      </c>
      <c r="J187" s="33">
        <f>IF(H187="","",IF(H187&lt;Config!$B$12,"Abaixo do mínimo",IF(H187&lt;Config!$B$13,"Na faixa","Acima do alvo")))</f>
        <v/>
      </c>
      <c r="K187" s="25">
        <f>IF(H187="","",MAX(0,Config!$B$12*G187-F187))</f>
        <v/>
      </c>
      <c r="L187" s="41">
        <f>IF(K187="","",K187+ROW()/1000000)</f>
        <v/>
      </c>
    </row>
    <row r="188">
      <c r="A188" s="22" t="n"/>
      <c r="B188" s="22" t="n"/>
      <c r="C188" s="24" t="n"/>
      <c r="D188" s="24" t="n"/>
      <c r="E188" s="24" t="n"/>
      <c r="F188" s="40" t="n"/>
      <c r="G188" s="23" t="n"/>
      <c r="H188" s="30">
        <f>IF(OR(A188="",G188="",G188=0,F188=""),"",F188/G188)</f>
        <v/>
      </c>
      <c r="I188" s="31">
        <f>IF(H188="","",H188/Config!$B$12-1)</f>
        <v/>
      </c>
      <c r="J188" s="33">
        <f>IF(H188="","",IF(H188&lt;Config!$B$12,"Abaixo do mínimo",IF(H188&lt;Config!$B$13,"Na faixa","Acima do alvo")))</f>
        <v/>
      </c>
      <c r="K188" s="25">
        <f>IF(H188="","",MAX(0,Config!$B$12*G188-F188))</f>
        <v/>
      </c>
      <c r="L188" s="41">
        <f>IF(K188="","",K188+ROW()/1000000)</f>
        <v/>
      </c>
    </row>
    <row r="189">
      <c r="A189" s="22" t="n"/>
      <c r="B189" s="22" t="n"/>
      <c r="C189" s="24" t="n"/>
      <c r="D189" s="24" t="n"/>
      <c r="E189" s="24" t="n"/>
      <c r="F189" s="40" t="n"/>
      <c r="G189" s="23" t="n"/>
      <c r="H189" s="30">
        <f>IF(OR(A189="",G189="",G189=0,F189=""),"",F189/G189)</f>
        <v/>
      </c>
      <c r="I189" s="31">
        <f>IF(H189="","",H189/Config!$B$12-1)</f>
        <v/>
      </c>
      <c r="J189" s="33">
        <f>IF(H189="","",IF(H189&lt;Config!$B$12,"Abaixo do mínimo",IF(H189&lt;Config!$B$13,"Na faixa","Acima do alvo")))</f>
        <v/>
      </c>
      <c r="K189" s="25">
        <f>IF(H189="","",MAX(0,Config!$B$12*G189-F189))</f>
        <v/>
      </c>
      <c r="L189" s="41">
        <f>IF(K189="","",K189+ROW()/1000000)</f>
        <v/>
      </c>
    </row>
    <row r="190">
      <c r="A190" s="22" t="n"/>
      <c r="B190" s="22" t="n"/>
      <c r="C190" s="24" t="n"/>
      <c r="D190" s="24" t="n"/>
      <c r="E190" s="24" t="n"/>
      <c r="F190" s="40" t="n"/>
      <c r="G190" s="23" t="n"/>
      <c r="H190" s="30">
        <f>IF(OR(A190="",G190="",G190=0,F190=""),"",F190/G190)</f>
        <v/>
      </c>
      <c r="I190" s="31">
        <f>IF(H190="","",H190/Config!$B$12-1)</f>
        <v/>
      </c>
      <c r="J190" s="33">
        <f>IF(H190="","",IF(H190&lt;Config!$B$12,"Abaixo do mínimo",IF(H190&lt;Config!$B$13,"Na faixa","Acima do alvo")))</f>
        <v/>
      </c>
      <c r="K190" s="25">
        <f>IF(H190="","",MAX(0,Config!$B$12*G190-F190))</f>
        <v/>
      </c>
      <c r="L190" s="41">
        <f>IF(K190="","",K190+ROW()/1000000)</f>
        <v/>
      </c>
    </row>
    <row r="191">
      <c r="A191" s="22" t="n"/>
      <c r="B191" s="22" t="n"/>
      <c r="C191" s="24" t="n"/>
      <c r="D191" s="24" t="n"/>
      <c r="E191" s="24" t="n"/>
      <c r="F191" s="40" t="n"/>
      <c r="G191" s="23" t="n"/>
      <c r="H191" s="30">
        <f>IF(OR(A191="",G191="",G191=0,F191=""),"",F191/G191)</f>
        <v/>
      </c>
      <c r="I191" s="31">
        <f>IF(H191="","",H191/Config!$B$12-1)</f>
        <v/>
      </c>
      <c r="J191" s="33">
        <f>IF(H191="","",IF(H191&lt;Config!$B$12,"Abaixo do mínimo",IF(H191&lt;Config!$B$13,"Na faixa","Acima do alvo")))</f>
        <v/>
      </c>
      <c r="K191" s="25">
        <f>IF(H191="","",MAX(0,Config!$B$12*G191-F191))</f>
        <v/>
      </c>
      <c r="L191" s="41">
        <f>IF(K191="","",K191+ROW()/1000000)</f>
        <v/>
      </c>
    </row>
    <row r="192">
      <c r="A192" s="22" t="n"/>
      <c r="B192" s="22" t="n"/>
      <c r="C192" s="24" t="n"/>
      <c r="D192" s="24" t="n"/>
      <c r="E192" s="24" t="n"/>
      <c r="F192" s="40" t="n"/>
      <c r="G192" s="23" t="n"/>
      <c r="H192" s="30">
        <f>IF(OR(A192="",G192="",G192=0,F192=""),"",F192/G192)</f>
        <v/>
      </c>
      <c r="I192" s="31">
        <f>IF(H192="","",H192/Config!$B$12-1)</f>
        <v/>
      </c>
      <c r="J192" s="33">
        <f>IF(H192="","",IF(H192&lt;Config!$B$12,"Abaixo do mínimo",IF(H192&lt;Config!$B$13,"Na faixa","Acima do alvo")))</f>
        <v/>
      </c>
      <c r="K192" s="25">
        <f>IF(H192="","",MAX(0,Config!$B$12*G192-F192))</f>
        <v/>
      </c>
      <c r="L192" s="41">
        <f>IF(K192="","",K192+ROW()/1000000)</f>
        <v/>
      </c>
    </row>
    <row r="193">
      <c r="A193" s="22" t="n"/>
      <c r="B193" s="22" t="n"/>
      <c r="C193" s="24" t="n"/>
      <c r="D193" s="24" t="n"/>
      <c r="E193" s="24" t="n"/>
      <c r="F193" s="40" t="n"/>
      <c r="G193" s="23" t="n"/>
      <c r="H193" s="30">
        <f>IF(OR(A193="",G193="",G193=0,F193=""),"",F193/G193)</f>
        <v/>
      </c>
      <c r="I193" s="31">
        <f>IF(H193="","",H193/Config!$B$12-1)</f>
        <v/>
      </c>
      <c r="J193" s="33">
        <f>IF(H193="","",IF(H193&lt;Config!$B$12,"Abaixo do mínimo",IF(H193&lt;Config!$B$13,"Na faixa","Acima do alvo")))</f>
        <v/>
      </c>
      <c r="K193" s="25">
        <f>IF(H193="","",MAX(0,Config!$B$12*G193-F193))</f>
        <v/>
      </c>
      <c r="L193" s="41">
        <f>IF(K193="","",K193+ROW()/1000000)</f>
        <v/>
      </c>
    </row>
    <row r="194">
      <c r="A194" s="22" t="n"/>
      <c r="B194" s="22" t="n"/>
      <c r="C194" s="24" t="n"/>
      <c r="D194" s="24" t="n"/>
      <c r="E194" s="24" t="n"/>
      <c r="F194" s="40" t="n"/>
      <c r="G194" s="23" t="n"/>
      <c r="H194" s="30">
        <f>IF(OR(A194="",G194="",G194=0,F194=""),"",F194/G194)</f>
        <v/>
      </c>
      <c r="I194" s="31">
        <f>IF(H194="","",H194/Config!$B$12-1)</f>
        <v/>
      </c>
      <c r="J194" s="33">
        <f>IF(H194="","",IF(H194&lt;Config!$B$12,"Abaixo do mínimo",IF(H194&lt;Config!$B$13,"Na faixa","Acima do alvo")))</f>
        <v/>
      </c>
      <c r="K194" s="25">
        <f>IF(H194="","",MAX(0,Config!$B$12*G194-F194))</f>
        <v/>
      </c>
      <c r="L194" s="41">
        <f>IF(K194="","",K194+ROW()/1000000)</f>
        <v/>
      </c>
    </row>
    <row r="195">
      <c r="A195" s="22" t="n"/>
      <c r="B195" s="22" t="n"/>
      <c r="C195" s="24" t="n"/>
      <c r="D195" s="24" t="n"/>
      <c r="E195" s="24" t="n"/>
      <c r="F195" s="40" t="n"/>
      <c r="G195" s="23" t="n"/>
      <c r="H195" s="30">
        <f>IF(OR(A195="",G195="",G195=0,F195=""),"",F195/G195)</f>
        <v/>
      </c>
      <c r="I195" s="31">
        <f>IF(H195="","",H195/Config!$B$12-1)</f>
        <v/>
      </c>
      <c r="J195" s="33">
        <f>IF(H195="","",IF(H195&lt;Config!$B$12,"Abaixo do mínimo",IF(H195&lt;Config!$B$13,"Na faixa","Acima do alvo")))</f>
        <v/>
      </c>
      <c r="K195" s="25">
        <f>IF(H195="","",MAX(0,Config!$B$12*G195-F195))</f>
        <v/>
      </c>
      <c r="L195" s="41">
        <f>IF(K195="","",K195+ROW()/1000000)</f>
        <v/>
      </c>
    </row>
    <row r="196">
      <c r="A196" s="22" t="n"/>
      <c r="B196" s="22" t="n"/>
      <c r="C196" s="24" t="n"/>
      <c r="D196" s="24" t="n"/>
      <c r="E196" s="24" t="n"/>
      <c r="F196" s="40" t="n"/>
      <c r="G196" s="23" t="n"/>
      <c r="H196" s="30">
        <f>IF(OR(A196="",G196="",G196=0,F196=""),"",F196/G196)</f>
        <v/>
      </c>
      <c r="I196" s="31">
        <f>IF(H196="","",H196/Config!$B$12-1)</f>
        <v/>
      </c>
      <c r="J196" s="33">
        <f>IF(H196="","",IF(H196&lt;Config!$B$12,"Abaixo do mínimo",IF(H196&lt;Config!$B$13,"Na faixa","Acima do alvo")))</f>
        <v/>
      </c>
      <c r="K196" s="25">
        <f>IF(H196="","",MAX(0,Config!$B$12*G196-F196))</f>
        <v/>
      </c>
      <c r="L196" s="41">
        <f>IF(K196="","",K196+ROW()/1000000)</f>
        <v/>
      </c>
    </row>
    <row r="197">
      <c r="A197" s="22" t="n"/>
      <c r="B197" s="22" t="n"/>
      <c r="C197" s="24" t="n"/>
      <c r="D197" s="24" t="n"/>
      <c r="E197" s="24" t="n"/>
      <c r="F197" s="40" t="n"/>
      <c r="G197" s="23" t="n"/>
      <c r="H197" s="30">
        <f>IF(OR(A197="",G197="",G197=0,F197=""),"",F197/G197)</f>
        <v/>
      </c>
      <c r="I197" s="31">
        <f>IF(H197="","",H197/Config!$B$12-1)</f>
        <v/>
      </c>
      <c r="J197" s="33">
        <f>IF(H197="","",IF(H197&lt;Config!$B$12,"Abaixo do mínimo",IF(H197&lt;Config!$B$13,"Na faixa","Acima do alvo")))</f>
        <v/>
      </c>
      <c r="K197" s="25">
        <f>IF(H197="","",MAX(0,Config!$B$12*G197-F197))</f>
        <v/>
      </c>
      <c r="L197" s="41">
        <f>IF(K197="","",K197+ROW()/1000000)</f>
        <v/>
      </c>
    </row>
    <row r="198">
      <c r="A198" s="22" t="n"/>
      <c r="B198" s="22" t="n"/>
      <c r="C198" s="24" t="n"/>
      <c r="D198" s="24" t="n"/>
      <c r="E198" s="24" t="n"/>
      <c r="F198" s="40" t="n"/>
      <c r="G198" s="23" t="n"/>
      <c r="H198" s="30">
        <f>IF(OR(A198="",G198="",G198=0,F198=""),"",F198/G198)</f>
        <v/>
      </c>
      <c r="I198" s="31">
        <f>IF(H198="","",H198/Config!$B$12-1)</f>
        <v/>
      </c>
      <c r="J198" s="33">
        <f>IF(H198="","",IF(H198&lt;Config!$B$12,"Abaixo do mínimo",IF(H198&lt;Config!$B$13,"Na faixa","Acima do alvo")))</f>
        <v/>
      </c>
      <c r="K198" s="25">
        <f>IF(H198="","",MAX(0,Config!$B$12*G198-F198))</f>
        <v/>
      </c>
      <c r="L198" s="41">
        <f>IF(K198="","",K198+ROW()/1000000)</f>
        <v/>
      </c>
    </row>
    <row r="199">
      <c r="A199" s="22" t="n"/>
      <c r="B199" s="22" t="n"/>
      <c r="C199" s="24" t="n"/>
      <c r="D199" s="24" t="n"/>
      <c r="E199" s="24" t="n"/>
      <c r="F199" s="40" t="n"/>
      <c r="G199" s="23" t="n"/>
      <c r="H199" s="30">
        <f>IF(OR(A199="",G199="",G199=0,F199=""),"",F199/G199)</f>
        <v/>
      </c>
      <c r="I199" s="31">
        <f>IF(H199="","",H199/Config!$B$12-1)</f>
        <v/>
      </c>
      <c r="J199" s="33">
        <f>IF(H199="","",IF(H199&lt;Config!$B$12,"Abaixo do mínimo",IF(H199&lt;Config!$B$13,"Na faixa","Acima do alvo")))</f>
        <v/>
      </c>
      <c r="K199" s="25">
        <f>IF(H199="","",MAX(0,Config!$B$12*G199-F199))</f>
        <v/>
      </c>
      <c r="L199" s="41">
        <f>IF(K199="","",K199+ROW()/1000000)</f>
        <v/>
      </c>
    </row>
    <row r="200">
      <c r="A200" s="22" t="n"/>
      <c r="B200" s="22" t="n"/>
      <c r="C200" s="24" t="n"/>
      <c r="D200" s="24" t="n"/>
      <c r="E200" s="24" t="n"/>
      <c r="F200" s="40" t="n"/>
      <c r="G200" s="23" t="n"/>
      <c r="H200" s="30">
        <f>IF(OR(A200="",G200="",G200=0,F200=""),"",F200/G200)</f>
        <v/>
      </c>
      <c r="I200" s="31">
        <f>IF(H200="","",H200/Config!$B$12-1)</f>
        <v/>
      </c>
      <c r="J200" s="33">
        <f>IF(H200="","",IF(H200&lt;Config!$B$12,"Abaixo do mínimo",IF(H200&lt;Config!$B$13,"Na faixa","Acima do alvo")))</f>
        <v/>
      </c>
      <c r="K200" s="25">
        <f>IF(H200="","",MAX(0,Config!$B$12*G200-F200))</f>
        <v/>
      </c>
      <c r="L200" s="41">
        <f>IF(K200="","",K200+ROW()/1000000)</f>
        <v/>
      </c>
    </row>
    <row r="201">
      <c r="A201" s="22" t="n"/>
      <c r="B201" s="22" t="n"/>
      <c r="C201" s="24" t="n"/>
      <c r="D201" s="24" t="n"/>
      <c r="E201" s="24" t="n"/>
      <c r="F201" s="40" t="n"/>
      <c r="G201" s="23" t="n"/>
      <c r="H201" s="30">
        <f>IF(OR(A201="",G201="",G201=0,F201=""),"",F201/G201)</f>
        <v/>
      </c>
      <c r="I201" s="31">
        <f>IF(H201="","",H201/Config!$B$12-1)</f>
        <v/>
      </c>
      <c r="J201" s="33">
        <f>IF(H201="","",IF(H201&lt;Config!$B$12,"Abaixo do mínimo",IF(H201&lt;Config!$B$13,"Na faixa","Acima do alvo")))</f>
        <v/>
      </c>
      <c r="K201" s="25">
        <f>IF(H201="","",MAX(0,Config!$B$12*G201-F201))</f>
        <v/>
      </c>
      <c r="L201" s="41">
        <f>IF(K201="","",K201+ROW()/1000000)</f>
        <v/>
      </c>
    </row>
    <row r="202">
      <c r="A202" s="22" t="n"/>
      <c r="B202" s="22" t="n"/>
      <c r="C202" s="24" t="n"/>
      <c r="D202" s="24" t="n"/>
      <c r="E202" s="24" t="n"/>
      <c r="F202" s="40" t="n"/>
      <c r="G202" s="23" t="n"/>
      <c r="H202" s="30">
        <f>IF(OR(A202="",G202="",G202=0,F202=""),"",F202/G202)</f>
        <v/>
      </c>
      <c r="I202" s="31">
        <f>IF(H202="","",H202/Config!$B$12-1)</f>
        <v/>
      </c>
      <c r="J202" s="33">
        <f>IF(H202="","",IF(H202&lt;Config!$B$12,"Abaixo do mínimo",IF(H202&lt;Config!$B$13,"Na faixa","Acima do alvo")))</f>
        <v/>
      </c>
      <c r="K202" s="25">
        <f>IF(H202="","",MAX(0,Config!$B$12*G202-F202))</f>
        <v/>
      </c>
      <c r="L202" s="41">
        <f>IF(K202="","",K202+ROW()/1000000)</f>
        <v/>
      </c>
    </row>
    <row r="203">
      <c r="A203" s="22" t="n"/>
      <c r="B203" s="22" t="n"/>
      <c r="C203" s="24" t="n"/>
      <c r="D203" s="24" t="n"/>
      <c r="E203" s="24" t="n"/>
      <c r="F203" s="40" t="n"/>
      <c r="G203" s="23" t="n"/>
      <c r="H203" s="30">
        <f>IF(OR(A203="",G203="",G203=0,F203=""),"",F203/G203)</f>
        <v/>
      </c>
      <c r="I203" s="31">
        <f>IF(H203="","",H203/Config!$B$12-1)</f>
        <v/>
      </c>
      <c r="J203" s="33">
        <f>IF(H203="","",IF(H203&lt;Config!$B$12,"Abaixo do mínimo",IF(H203&lt;Config!$B$13,"Na faixa","Acima do alvo")))</f>
        <v/>
      </c>
      <c r="K203" s="25">
        <f>IF(H203="","",MAX(0,Config!$B$12*G203-F203))</f>
        <v/>
      </c>
      <c r="L203" s="41">
        <f>IF(K203="","",K203+ROW()/1000000)</f>
        <v/>
      </c>
    </row>
    <row r="204">
      <c r="A204" s="22" t="n"/>
      <c r="B204" s="22" t="n"/>
      <c r="C204" s="24" t="n"/>
      <c r="D204" s="24" t="n"/>
      <c r="E204" s="24" t="n"/>
      <c r="F204" s="40" t="n"/>
      <c r="G204" s="23" t="n"/>
      <c r="H204" s="30">
        <f>IF(OR(A204="",G204="",G204=0,F204=""),"",F204/G204)</f>
        <v/>
      </c>
      <c r="I204" s="31">
        <f>IF(H204="","",H204/Config!$B$12-1)</f>
        <v/>
      </c>
      <c r="J204" s="33">
        <f>IF(H204="","",IF(H204&lt;Config!$B$12,"Abaixo do mínimo",IF(H204&lt;Config!$B$13,"Na faixa","Acima do alvo")))</f>
        <v/>
      </c>
      <c r="K204" s="25">
        <f>IF(H204="","",MAX(0,Config!$B$12*G204-F204))</f>
        <v/>
      </c>
      <c r="L204" s="41">
        <f>IF(K204="","",K204+ROW()/1000000)</f>
        <v/>
      </c>
    </row>
    <row r="206">
      <c r="A206" s="27" t="inlineStr">
        <is>
          <t>Em êxito e misto, o valor contratado é o esperado (só entra no fim). "Falta até o mínimo" = hora mínima × horas estimadas − valor contratado. "Ordem" é coluna auxiliar da lista do Painel.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L204"/>
  <mergeCells count="1">
    <mergeCell ref="A2:L2"/>
  </mergeCells>
  <conditionalFormatting sqref="J5:J204">
    <cfRule type="expression" priority="1" dxfId="1">
      <formula>$J5="Abaixo do mínimo"</formula>
    </cfRule>
    <cfRule type="expression" priority="2" dxfId="2">
      <formula>$J5="Na faixa"</formula>
    </cfRule>
    <cfRule type="expression" priority="3" dxfId="3">
      <formula>$J5="Acima do alvo"</formula>
    </cfRule>
  </conditionalFormatting>
  <dataValidations count="2">
    <dataValidation sqref="C5:C204" showDropDown="0" showInputMessage="0" showErrorMessage="0" allowBlank="1" type="list">
      <formula1>=OFFSET(Config!$E$16,0,0,MAX(1,COUNTA(Config!$E$16:$E$35)),1)</formula1>
    </dataValidation>
    <dataValidation sqref="D5:D204" showDropDown="0" showInputMessage="0" showErrorMessage="1" allowBlank="1" type="list">
      <formula1>=OFFSET(Config!$I$16,0,0,MAX(1,COUNTA(Config!$I$16:$I$35)),1)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Tabela de referência de honorários · Kit de Gestão para Advogados</dc:title>
  <dcterms:created xmlns:dcterms="http://purl.org/dc/terms/" xmlns:xsi="http://www.w3.org/2001/XMLSchema-instance" xsi:type="dcterms:W3CDTF">2026-09-14T09:32:28Z</dcterms:created>
  <dcterms:modified xmlns:dcterms="http://purl.org/dc/terms/" xmlns:xsi="http://www.w3.org/2001/XMLSchema-instance" xsi:type="dcterms:W3CDTF">2026-09-14T09:32:28Z</dcterms:modified>
</cp:coreProperties>
</file>