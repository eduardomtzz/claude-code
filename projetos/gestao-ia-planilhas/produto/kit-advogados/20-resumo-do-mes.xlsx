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ainel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  <dxf>
      <numFmt numFmtId="3" formatCode="#,##0"/>
    </dxf>
    <dxf>
      <numFmt numFmtId="201" formatCode="#,##0.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o escritório, o ano e escolha o mês do resumo.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do escritório (17) e do Resultado mensal (18). Em %, digite 16,8 e não 0,168.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"Explicar o mês" (para o sócio) ou "Preparar a reunião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do escritório. Não cole nome de cliente, número de processo ou detalhe de caso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do escritório). Copie o bloco único e cole no prompt "Explicar o mês" da biblioteca do kit, ou envie ao sócio e ao contador.</t>
        </is>
      </c>
    </row>
    <row r="4">
      <c r="A4" s="7">
        <f>"Resumo de "&amp;Config!B6&amp;" de "&amp;Config!B5&amp;" · "&amp;Config!B4</f>
        <v/>
      </c>
    </row>
    <row r="5">
      <c r="A5" s="8" t="inlineStr">
        <is>
          <t>Observações do escritório (opcional; entram no fim do bloco):</t>
        </is>
      </c>
    </row>
    <row r="6" ht="44" customHeight="1">
      <c r="A6" s="9" t="inlineStr">
        <is>
          <t>Dois casos de êxito encerraram com acordo em setembro; o consultivo mensal ganhou um contrato; dois clientes PJ pediram renegociação das parcelas vencidas.</t>
        </is>
      </c>
      <c r="B6" s="10" t="n"/>
      <c r="C6" s="10" t="n"/>
      <c r="D6" s="11" t="n"/>
    </row>
    <row r="8">
      <c r="A8" s="12">
        <f>IF(OR(Indicadores!A5="",Painel!B5=""),"","• "&amp;Indicadores!A5&amp;": "&amp;IF(Indicadores!B5="R$","R$ ","")&amp;FIXED(Painel!B5,IF(Indicadores!C5="",0,Indicadores!C5))&amp;IF(Indicadores!B5="%","%",IF(OR(Indicadores!B5="R$",Indicadores!B5="",Indicadores!B5="un"),""," "&amp;Indicadores!B5))&amp;IF(Painel!D5&lt;&gt;"",IF(Painel!D5=0," (igual a "&amp;Config!$B$8&amp;")",IF(Painel!D5&gt;0," (+"," (")&amp;FIXED(Painel!D5*100,0)&amp;"% em relação a "&amp;Config!$B$8&amp;")"),IF(Painel!C5&lt;&gt;""," (igual a "&amp;Config!$B$8&amp;")",""))&amp;IF(Painel!E5&lt;&gt;"","; meta "&amp;IF(Indicadores!B5="R$","R$ ","")&amp;FIXED(Painel!E5,IF(Indicadores!C5="",0,Indicadores!C5))&amp;IF(Indicadores!B5="%","%",IF(OR(Indicadores!B5="R$",Indicadores!B5="",Indicadores!B5="un"),""," "&amp;Indicadores!B5))&amp;", "&amp;LOWER(Painel!G5),"")&amp;".")</f>
        <v/>
      </c>
    </row>
    <row r="9">
      <c r="A9" s="12">
        <f>IF(OR(Indicadores!A6="",Painel!B6=""),"","• "&amp;Indicadores!A6&amp;": "&amp;IF(Indicadores!B6="R$","R$ ","")&amp;FIXED(Painel!B6,IF(Indicadores!C6="",0,Indicadores!C6))&amp;IF(Indicadores!B6="%","%",IF(OR(Indicadores!B6="R$",Indicadores!B6="",Indicadores!B6="un"),""," "&amp;Indicadores!B6))&amp;IF(Painel!D6&lt;&gt;"",IF(Painel!D6=0," (igual a "&amp;Config!$B$8&amp;")",IF(Painel!D6&gt;0," (+"," (")&amp;FIXED(Painel!D6*100,0)&amp;"% em relação a "&amp;Config!$B$8&amp;")"),IF(Painel!C6&lt;&gt;""," (igual a "&amp;Config!$B$8&amp;")",""))&amp;IF(Painel!E6&lt;&gt;"","; meta "&amp;IF(Indicadores!B6="R$","R$ ","")&amp;FIXED(Painel!E6,IF(Indicadores!C6="",0,Indicadores!C6))&amp;IF(Indicadores!B6="%","%",IF(OR(Indicadores!B6="R$",Indicadores!B6="",Indicadores!B6="un"),""," "&amp;Indicadores!B6))&amp;", "&amp;LOWER(Painel!G6),"")&amp;".")</f>
        <v/>
      </c>
    </row>
    <row r="10">
      <c r="A10" s="12">
        <f>IF(OR(Indicadores!A7="",Painel!B7=""),"","• "&amp;Indicadores!A7&amp;": "&amp;IF(Indicadores!B7="R$","R$ ","")&amp;FIXED(Painel!B7,IF(Indicadores!C7="",0,Indicadores!C7))&amp;IF(Indicadores!B7="%","%",IF(OR(Indicadores!B7="R$",Indicadores!B7="",Indicadores!B7="un"),""," "&amp;Indicadores!B7))&amp;IF(Painel!D7&lt;&gt;"",IF(Painel!D7=0," (igual a "&amp;Config!$B$8&amp;")",IF(Painel!D7&gt;0," (+"," (")&amp;FIXED(Painel!D7*100,0)&amp;"% em relação a "&amp;Config!$B$8&amp;")"),IF(Painel!C7&lt;&gt;""," (igual a "&amp;Config!$B$8&amp;")",""))&amp;IF(Painel!E7&lt;&gt;"","; meta "&amp;IF(Indicadores!B7="R$","R$ ","")&amp;FIXED(Painel!E7,IF(Indicadores!C7="",0,Indicadores!C7))&amp;IF(Indicadores!B7="%","%",IF(OR(Indicadores!B7="R$",Indicadores!B7="",Indicadores!B7="un"),""," "&amp;Indicadores!B7))&amp;", "&amp;LOWER(Painel!G7),"")&amp;".")</f>
        <v/>
      </c>
    </row>
    <row r="11">
      <c r="A11" s="12">
        <f>IF(OR(Indicadores!A8="",Painel!B8=""),"","• "&amp;Indicadores!A8&amp;": "&amp;IF(Indicadores!B8="R$","R$ ","")&amp;FIXED(Painel!B8,IF(Indicadores!C8="",0,Indicadores!C8))&amp;IF(Indicadores!B8="%","%",IF(OR(Indicadores!B8="R$",Indicadores!B8="",Indicadores!B8="un"),""," "&amp;Indicadores!B8))&amp;IF(Painel!D8&lt;&gt;"",IF(Painel!D8=0," (igual a "&amp;Config!$B$8&amp;")",IF(Painel!D8&gt;0," (+"," (")&amp;FIXED(Painel!D8*100,0)&amp;"% em relação a "&amp;Config!$B$8&amp;")"),IF(Painel!C8&lt;&gt;""," (igual a "&amp;Config!$B$8&amp;")",""))&amp;IF(Painel!E8&lt;&gt;"","; meta "&amp;IF(Indicadores!B8="R$","R$ ","")&amp;FIXED(Painel!E8,IF(Indicadores!C8="",0,Indicadores!C8))&amp;IF(Indicadores!B8="%","%",IF(OR(Indicadores!B8="R$",Indicadores!B8="",Indicadores!B8="un"),""," "&amp;Indicadores!B8))&amp;", "&amp;LOWER(Painel!G8),"")&amp;".")</f>
        <v/>
      </c>
    </row>
    <row r="12">
      <c r="A12" s="12">
        <f>IF(OR(Indicadores!A9="",Painel!B9=""),"","• "&amp;Indicadores!A9&amp;": "&amp;IF(Indicadores!B9="R$","R$ ","")&amp;FIXED(Painel!B9,IF(Indicadores!C9="",0,Indicadores!C9))&amp;IF(Indicadores!B9="%","%",IF(OR(Indicadores!B9="R$",Indicadores!B9="",Indicadores!B9="un"),""," "&amp;Indicadores!B9))&amp;IF(Painel!D9&lt;&gt;"",IF(Painel!D9=0," (igual a "&amp;Config!$B$8&amp;")",IF(Painel!D9&gt;0," (+"," (")&amp;FIXED(Painel!D9*100,0)&amp;"% em relação a "&amp;Config!$B$8&amp;")"),IF(Painel!C9&lt;&gt;""," (igual a "&amp;Config!$B$8&amp;")",""))&amp;IF(Painel!E9&lt;&gt;"","; meta "&amp;IF(Indicadores!B9="R$","R$ ","")&amp;FIXED(Painel!E9,IF(Indicadores!C9="",0,Indicadores!C9))&amp;IF(Indicadores!B9="%","%",IF(OR(Indicadores!B9="R$",Indicadores!B9="",Indicadores!B9="un"),""," "&amp;Indicadores!B9))&amp;", "&amp;LOWER(Painel!G9),"")&amp;".")</f>
        <v/>
      </c>
    </row>
    <row r="13">
      <c r="A13" s="12">
        <f>IF(OR(Indicadores!A10="",Painel!B10=""),"","• "&amp;Indicadores!A10&amp;": "&amp;IF(Indicadores!B10="R$","R$ ","")&amp;FIXED(Painel!B10,IF(Indicadores!C10="",0,Indicadores!C10))&amp;IF(Indicadores!B10="%","%",IF(OR(Indicadores!B10="R$",Indicadores!B10="",Indicadores!B10="un"),""," "&amp;Indicadores!B10))&amp;IF(Painel!D10&lt;&gt;"",IF(Painel!D10=0," (igual a "&amp;Config!$B$8&amp;")",IF(Painel!D10&gt;0," (+"," (")&amp;FIXED(Painel!D10*100,0)&amp;"% em relação a "&amp;Config!$B$8&amp;")"),IF(Painel!C10&lt;&gt;""," (igual a "&amp;Config!$B$8&amp;")",""))&amp;IF(Painel!E10&lt;&gt;"","; meta "&amp;IF(Indicadores!B10="R$","R$ ","")&amp;FIXED(Painel!E10,IF(Indicadores!C10="",0,Indicadores!C10))&amp;IF(Indicadores!B10="%","%",IF(OR(Indicadores!B10="R$",Indicadores!B10="",Indicadores!B10="un"),""," "&amp;Indicadores!B10))&amp;", "&amp;LOWER(Painel!G10),"")&amp;".")</f>
        <v/>
      </c>
    </row>
    <row r="14">
      <c r="A14" s="12">
        <f>IF(OR(Indicadores!A11="",Painel!B11=""),"","• "&amp;Indicadores!A11&amp;": "&amp;IF(Indicadores!B11="R$","R$ ","")&amp;FIXED(Painel!B11,IF(Indicadores!C11="",0,Indicadores!C11))&amp;IF(Indicadores!B11="%","%",IF(OR(Indicadores!B11="R$",Indicadores!B11="",Indicadores!B11="un"),""," "&amp;Indicadores!B11))&amp;IF(Painel!D11&lt;&gt;"",IF(Painel!D11=0," (igual a "&amp;Config!$B$8&amp;")",IF(Painel!D11&gt;0," (+"," (")&amp;FIXED(Painel!D11*100,0)&amp;"% em relação a "&amp;Config!$B$8&amp;")"),IF(Painel!C11&lt;&gt;""," (igual a "&amp;Config!$B$8&amp;")",""))&amp;IF(Painel!E11&lt;&gt;"","; meta "&amp;IF(Indicadores!B11="R$","R$ ","")&amp;FIXED(Painel!E11,IF(Indicadores!C11="",0,Indicadores!C11))&amp;IF(Indicadores!B11="%","%",IF(OR(Indicadores!B11="R$",Indicadores!B11="",Indicadores!B11="un"),""," "&amp;Indicadores!B11))&amp;", "&amp;LOWER(Painel!G11),"")&amp;".")</f>
        <v/>
      </c>
    </row>
    <row r="15">
      <c r="A15" s="12">
        <f>IF(OR(Indicadores!A12="",Painel!B12=""),"","• "&amp;Indicadores!A12&amp;": "&amp;IF(Indicadores!B12="R$","R$ ","")&amp;FIXED(Painel!B12,IF(Indicadores!C12="",0,Indicadores!C12))&amp;IF(Indicadores!B12="%","%",IF(OR(Indicadores!B12="R$",Indicadores!B12="",Indicadores!B12="un"),""," "&amp;Indicadores!B12))&amp;IF(Painel!D12&lt;&gt;"",IF(Painel!D12=0," (igual a "&amp;Config!$B$8&amp;")",IF(Painel!D12&gt;0," (+"," (")&amp;FIXED(Painel!D12*100,0)&amp;"% em relação a "&amp;Config!$B$8&amp;")"),IF(Painel!C12&lt;&gt;""," (igual a "&amp;Config!$B$8&amp;")",""))&amp;IF(Painel!E12&lt;&gt;"","; meta "&amp;IF(Indicadores!B12="R$","R$ ","")&amp;FIXED(Painel!E12,IF(Indicadores!C12="",0,Indicadores!C12))&amp;IF(Indicadores!B12="%","%",IF(OR(Indicadores!B12="R$",Indicadores!B12="",Indicadores!B12="un"),""," "&amp;Indicadores!B12))&amp;", "&amp;LOWER(Painel!G12),"")&amp;".")</f>
        <v/>
      </c>
    </row>
    <row r="16">
      <c r="A16" s="12">
        <f>IF(OR(Indicadores!A13="",Painel!B13=""),"","• "&amp;Indicadores!A13&amp;": "&amp;IF(Indicadores!B13="R$","R$ ","")&amp;FIXED(Painel!B13,IF(Indicadores!C13="",0,Indicadores!C13))&amp;IF(Indicadores!B13="%","%",IF(OR(Indicadores!B13="R$",Indicadores!B13="",Indicadores!B13="un"),""," "&amp;Indicadores!B13))&amp;IF(Painel!D13&lt;&gt;"",IF(Painel!D13=0," (igual a "&amp;Config!$B$8&amp;")",IF(Painel!D13&gt;0," (+"," (")&amp;FIXED(Painel!D13*100,0)&amp;"% em relação a "&amp;Config!$B$8&amp;")"),IF(Painel!C13&lt;&gt;""," (igual a "&amp;Config!$B$8&amp;")",""))&amp;IF(Painel!E13&lt;&gt;"","; meta "&amp;IF(Indicadores!B13="R$","R$ ","")&amp;FIXED(Painel!E13,IF(Indicadores!C13="",0,Indicadores!C13))&amp;IF(Indicadores!B13="%","%",IF(OR(Indicadores!B13="R$",Indicadores!B13="",Indicadores!B13="un"),""," "&amp;Indicadores!B13))&amp;", "&amp;LOWER(Painel!G13),"")&amp;".")</f>
        <v/>
      </c>
    </row>
    <row r="17">
      <c r="A17" s="12">
        <f>IF(OR(Indicadores!A14="",Painel!B14=""),"","• "&amp;Indicadores!A14&amp;": "&amp;IF(Indicadores!B14="R$","R$ ","")&amp;FIXED(Painel!B14,IF(Indicadores!C14="",0,Indicadores!C14))&amp;IF(Indicadores!B14="%","%",IF(OR(Indicadores!B14="R$",Indicadores!B14="",Indicadores!B14="un"),""," "&amp;Indicadores!B14))&amp;IF(Painel!D14&lt;&gt;"",IF(Painel!D14=0," (igual a "&amp;Config!$B$8&amp;")",IF(Painel!D14&gt;0," (+"," (")&amp;FIXED(Painel!D14*100,0)&amp;"% em relação a "&amp;Config!$B$8&amp;")"),IF(Painel!C14&lt;&gt;""," (igual a "&amp;Config!$B$8&amp;")",""))&amp;IF(Painel!E14&lt;&gt;"","; meta "&amp;IF(Indicadores!B14="R$","R$ ","")&amp;FIXED(Painel!E14,IF(Indicadores!C14="",0,Indicadores!C14))&amp;IF(Indicadores!B14="%","%",IF(OR(Indicadores!B14="R$",Indicadores!B14="",Indicadores!B14="un"),""," "&amp;Indicadores!B14))&amp;", "&amp;LOWER(Painel!G14),"")&amp;".")</f>
        <v/>
      </c>
    </row>
    <row r="18">
      <c r="A18" s="12">
        <f>IF(OR(Indicadores!A15="",Painel!B15=""),"","• "&amp;Indicadores!A15&amp;": "&amp;IF(Indicadores!B15="R$","R$ ","")&amp;FIXED(Painel!B15,IF(Indicadores!C15="",0,Indicadores!C15))&amp;IF(Indicadores!B15="%","%",IF(OR(Indicadores!B15="R$",Indicadores!B15="",Indicadores!B15="un"),""," "&amp;Indicadores!B15))&amp;IF(Painel!D15&lt;&gt;"",IF(Painel!D15=0," (igual a "&amp;Config!$B$8&amp;")",IF(Painel!D15&gt;0," (+"," (")&amp;FIXED(Painel!D15*100,0)&amp;"% em relação a "&amp;Config!$B$8&amp;")"),IF(Painel!C15&lt;&gt;""," (igual a "&amp;Config!$B$8&amp;")",""))&amp;IF(Painel!E15&lt;&gt;"","; meta "&amp;IF(Indicadores!B15="R$","R$ ","")&amp;FIXED(Painel!E15,IF(Indicadores!C15="",0,Indicadores!C15))&amp;IF(Indicadores!B15="%","%",IF(OR(Indicadores!B15="R$",Indicadores!B15="",Indicadores!B15="un"),""," "&amp;Indicadores!B15))&amp;", "&amp;LOWER(Painel!G15),"")&amp;".")</f>
        <v/>
      </c>
    </row>
    <row r="19">
      <c r="A19" s="12">
        <f>IF(OR(Indicadores!A16="",Painel!B16=""),"","• "&amp;Indicadores!A16&amp;": "&amp;IF(Indicadores!B16="R$","R$ ","")&amp;FIXED(Painel!B16,IF(Indicadores!C16="",0,Indicadores!C16))&amp;IF(Indicadores!B16="%","%",IF(OR(Indicadores!B16="R$",Indicadores!B16="",Indicadores!B16="un"),""," "&amp;Indicadores!B16))&amp;IF(Painel!D16&lt;&gt;"",IF(Painel!D16=0," (igual a "&amp;Config!$B$8&amp;")",IF(Painel!D16&gt;0," (+"," (")&amp;FIXED(Painel!D16*100,0)&amp;"% em relação a "&amp;Config!$B$8&amp;")"),IF(Painel!C16&lt;&gt;""," (igual a "&amp;Config!$B$8&amp;")",""))&amp;IF(Painel!E16&lt;&gt;"","; meta "&amp;IF(Indicadores!B16="R$","R$ ","")&amp;FIXED(Painel!E16,IF(Indicadores!C16="",0,Indicadores!C16))&amp;IF(Indicadores!B16="%","%",IF(OR(Indicadores!B16="R$",Indicadores!B16="",Indicadores!B16="un"),""," "&amp;Indicadores!B16))&amp;", "&amp;LOWER(Painel!G16),"")&amp;".")</f>
        <v/>
      </c>
    </row>
    <row r="21">
      <c r="A21" s="7" t="inlineStr">
        <is>
          <t>Destaques automáticos</t>
        </is>
      </c>
    </row>
    <row r="22">
      <c r="A22" s="12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("&amp;IF(INDEX(Painel!$D$5:$D$16,MATCH(MAX(Painel!$P$5:$P$16),Painel!$P$5:$P$16,0))&gt;=0,"+","")&amp;FIXED(INDEX(Painel!$D$5:$D$16,MATCH(MAX(Painel!$P$5:$P$16),Painel!$P$5:$P$16,0))*100,0)&amp;"%)."))</f>
        <v/>
      </c>
    </row>
    <row r="23">
      <c r="A23" s="12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("&amp;IF(INDEX(Painel!$D$5:$D$16,MATCH(MIN(Painel!$P$5:$P$16),Painel!$P$5:$P$16,0))&gt;=0,"+","")&amp;FIXED(INDEX(Painel!$D$5:$D$16,MATCH(MIN(Painel!$P$5:$P$16),Painel!$P$5:$P$16,0))*100,0)&amp;"%)."))</f>
        <v/>
      </c>
    </row>
    <row r="24">
      <c r="A24" s="12">
        <f>IF(COUNT(Painel!$O$5:$O$16)=0,"• Nenhum indicador fora da meta.","• Mais longe da meta: "&amp;INDEX(Painel!$A$5:$A$16,MATCH(MAX(Painel!$O$5:$O$16),Painel!$O$5:$O$16,0))&amp;" ("&amp;IF(INDEX(Painel!$F$5:$F$16,MATCH(MAX(Painel!$O$5:$O$16),Painel!$O$5:$O$16,0))&gt;=0,"+","")&amp;FIXED(INDEX(Painel!$F$5:$F$16,MATCH(MAX(Painel!$O$5:$O$16),Painel!$O$5:$O$16,0))*100,0)&amp;"% da meta, "&amp;LOWER(INDEX(Painel!$G$5:$G$16,MATCH(MAX(Painel!$O$5:$O$16),Painel!$O$5:$O$16,0)))&amp;").")</f>
        <v/>
      </c>
    </row>
    <row r="25">
      <c r="A25" s="12">
        <f>"• Indicadores no alvo: "&amp;COUNTIF(Painel!$G$5:$G$16,"No alvo")&amp;" de "&amp;COUNTIF(Painel!$G$5:$G$16,"&lt;&gt;")&amp;"."</f>
        <v/>
      </c>
    </row>
    <row r="27">
      <c r="A27" s="7" t="inlineStr">
        <is>
          <t>Bloco único para copiar</t>
        </is>
      </c>
    </row>
    <row r="28" ht="330" customHeight="1">
      <c r="A28" s="13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do escritório: "&amp;A6)</f>
        <v/>
      </c>
    </row>
    <row r="30">
      <c r="A30" s="6" t="inlineStr">
        <is>
          <t>Os textos são gerados por fórmula. Revise antes de enviar: a IA e o contador precisam do porquê dos números, e isso só o escritório sabe. Nenhum dado de cliente entra aqui: só totais.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0" customWidth="1" min="4" max="4"/>
    <col width="12" customWidth="1" min="5" max="5"/>
    <col width="10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</cols>
  <sheetData>
    <row r="1">
      <c r="A1" s="5">
        <f>Config!B4&amp;" · Resumo do mês · "&amp;Config!B6&amp;" de "&amp;Config!B5</f>
        <v/>
      </c>
    </row>
    <row r="2">
      <c r="A2" s="6" t="inlineStr">
        <is>
          <t>Nada para digitar aqui. Escolha o mês em Config; os números vêm de Indicadores.</t>
        </is>
      </c>
    </row>
    <row r="4" ht="26" customHeight="1">
      <c r="A4" s="14" t="inlineStr">
        <is>
          <t>Indicador</t>
        </is>
      </c>
      <c r="B4" s="14" t="inlineStr">
        <is>
          <t>Mês</t>
        </is>
      </c>
      <c r="C4" s="14" t="inlineStr">
        <is>
          <t>Mês anterior</t>
        </is>
      </c>
      <c r="D4" s="14" t="inlineStr">
        <is>
          <t>Variação</t>
        </is>
      </c>
      <c r="E4" s="14" t="inlineStr">
        <is>
          <t>Meta</t>
        </is>
      </c>
      <c r="F4" s="14" t="inlineStr">
        <is>
          <t>Vs. meta</t>
        </is>
      </c>
      <c r="G4" s="14" t="inlineStr">
        <is>
          <t>Situação</t>
        </is>
      </c>
      <c r="H4" s="14" t="inlineStr">
        <is>
          <t>Unidade</t>
        </is>
      </c>
    </row>
    <row r="5">
      <c r="A5" s="15">
        <f>IF(Indicadores!A5="","",Indicadores!A5)</f>
        <v/>
      </c>
      <c r="B5" s="16">
        <f>IF(OR(Indicadores!A5="",Indicadores!G5=""),"",Indicadores!G5)</f>
        <v/>
      </c>
      <c r="C5" s="16">
        <f>IF(OR(Indicadores!A5="",Indicadores!F5=""),"",Indicadores!F5)</f>
        <v/>
      </c>
      <c r="D5" s="17">
        <f>IF(OR(B5="",C5="",C5=0),"",(B5-C5)/ABS(C5))</f>
        <v/>
      </c>
      <c r="E5" s="16">
        <f>IF(OR(Indicadores!A5="",Indicadores!D5=""),"",Indicadores!D5)</f>
        <v/>
      </c>
      <c r="F5" s="17">
        <f>IF(OR(B5="",E5="",E5=0),"",(B5-E5)/ABS(E5))</f>
        <v/>
      </c>
      <c r="G5" s="18">
        <f>IF(OR(B5="",E5=""),"",IF(Indicadores!E5="Não",IF(B5&lt;=E5,"No alvo","Acima da meta"),IF(B5&gt;=E5,"No alvo","Abaixo da meta")))</f>
        <v/>
      </c>
      <c r="H5" s="18">
        <f>IF(Indicadores!A5="","",Indicadores!B5)</f>
        <v/>
      </c>
      <c r="N5" s="19">
        <f>IF(Indicadores!C5="",2,Indicadores!C5)</f>
        <v/>
      </c>
      <c r="O5" s="19">
        <f>IF(OR(F5="",G5="",G5="No alvo"),"",IF(Indicadores!E5="Não",F5,-F5))</f>
        <v/>
      </c>
      <c r="P5" s="19">
        <f>IF(D5="","",IF(Indicadores!E5="Não",-D5,D5))</f>
        <v/>
      </c>
    </row>
    <row r="6">
      <c r="A6" s="15">
        <f>IF(Indicadores!A6="","",Indicadores!A6)</f>
        <v/>
      </c>
      <c r="B6" s="16">
        <f>IF(OR(Indicadores!A6="",Indicadores!G6=""),"",Indicadores!G6)</f>
        <v/>
      </c>
      <c r="C6" s="16">
        <f>IF(OR(Indicadores!A6="",Indicadores!F6=""),"",Indicadores!F6)</f>
        <v/>
      </c>
      <c r="D6" s="17">
        <f>IF(OR(B6="",C6="",C6=0),"",(B6-C6)/ABS(C6))</f>
        <v/>
      </c>
      <c r="E6" s="16">
        <f>IF(OR(Indicadores!A6="",Indicadores!D6=""),"",Indicadores!D6)</f>
        <v/>
      </c>
      <c r="F6" s="17">
        <f>IF(OR(B6="",E6="",E6=0),"",(B6-E6)/ABS(E6))</f>
        <v/>
      </c>
      <c r="G6" s="18">
        <f>IF(OR(B6="",E6=""),"",IF(Indicadores!E6="Não",IF(B6&lt;=E6,"No alvo","Acima da meta"),IF(B6&gt;=E6,"No alvo","Abaixo da meta")))</f>
        <v/>
      </c>
      <c r="H6" s="18">
        <f>IF(Indicadores!A6="","",Indicadores!B6)</f>
        <v/>
      </c>
      <c r="N6" s="19">
        <f>IF(Indicadores!C6="",2,Indicadores!C6)</f>
        <v/>
      </c>
      <c r="O6" s="19">
        <f>IF(OR(F6="",G6="",G6="No alvo"),"",IF(Indicadores!E6="Não",F6,-F6))</f>
        <v/>
      </c>
      <c r="P6" s="19">
        <f>IF(D6="","",IF(Indicadores!E6="Não",-D6,D6))</f>
        <v/>
      </c>
    </row>
    <row r="7">
      <c r="A7" s="15">
        <f>IF(Indicadores!A7="","",Indicadores!A7)</f>
        <v/>
      </c>
      <c r="B7" s="16">
        <f>IF(OR(Indicadores!A7="",Indicadores!G7=""),"",Indicadores!G7)</f>
        <v/>
      </c>
      <c r="C7" s="16">
        <f>IF(OR(Indicadores!A7="",Indicadores!F7=""),"",Indicadores!F7)</f>
        <v/>
      </c>
      <c r="D7" s="17">
        <f>IF(OR(B7="",C7="",C7=0),"",(B7-C7)/ABS(C7))</f>
        <v/>
      </c>
      <c r="E7" s="16">
        <f>IF(OR(Indicadores!A7="",Indicadores!D7=""),"",Indicadores!D7)</f>
        <v/>
      </c>
      <c r="F7" s="17">
        <f>IF(OR(B7="",E7="",E7=0),"",(B7-E7)/ABS(E7))</f>
        <v/>
      </c>
      <c r="G7" s="18">
        <f>IF(OR(B7="",E7=""),"",IF(Indicadores!E7="Não",IF(B7&lt;=E7,"No alvo","Acima da meta"),IF(B7&gt;=E7,"No alvo","Abaixo da meta")))</f>
        <v/>
      </c>
      <c r="H7" s="18">
        <f>IF(Indicadores!A7="","",Indicadores!B7)</f>
        <v/>
      </c>
      <c r="N7" s="19">
        <f>IF(Indicadores!C7="",2,Indicadores!C7)</f>
        <v/>
      </c>
      <c r="O7" s="19">
        <f>IF(OR(F7="",G7="",G7="No alvo"),"",IF(Indicadores!E7="Não",F7,-F7))</f>
        <v/>
      </c>
      <c r="P7" s="19">
        <f>IF(D7="","",IF(Indicadores!E7="Não",-D7,D7))</f>
        <v/>
      </c>
    </row>
    <row r="8">
      <c r="A8" s="15">
        <f>IF(Indicadores!A8="","",Indicadores!A8)</f>
        <v/>
      </c>
      <c r="B8" s="16">
        <f>IF(OR(Indicadores!A8="",Indicadores!G8=""),"",Indicadores!G8)</f>
        <v/>
      </c>
      <c r="C8" s="16">
        <f>IF(OR(Indicadores!A8="",Indicadores!F8=""),"",Indicadores!F8)</f>
        <v/>
      </c>
      <c r="D8" s="17">
        <f>IF(OR(B8="",C8="",C8=0),"",(B8-C8)/ABS(C8))</f>
        <v/>
      </c>
      <c r="E8" s="16">
        <f>IF(OR(Indicadores!A8="",Indicadores!D8=""),"",Indicadores!D8)</f>
        <v/>
      </c>
      <c r="F8" s="17">
        <f>IF(OR(B8="",E8="",E8=0),"",(B8-E8)/ABS(E8))</f>
        <v/>
      </c>
      <c r="G8" s="18">
        <f>IF(OR(B8="",E8=""),"",IF(Indicadores!E8="Não",IF(B8&lt;=E8,"No alvo","Acima da meta"),IF(B8&gt;=E8,"No alvo","Abaixo da meta")))</f>
        <v/>
      </c>
      <c r="H8" s="18">
        <f>IF(Indicadores!A8="","",Indicadores!B8)</f>
        <v/>
      </c>
      <c r="N8" s="19">
        <f>IF(Indicadores!C8="",2,Indicadores!C8)</f>
        <v/>
      </c>
      <c r="O8" s="19">
        <f>IF(OR(F8="",G8="",G8="No alvo"),"",IF(Indicadores!E8="Não",F8,-F8))</f>
        <v/>
      </c>
      <c r="P8" s="19">
        <f>IF(D8="","",IF(Indicadores!E8="Não",-D8,D8))</f>
        <v/>
      </c>
    </row>
    <row r="9">
      <c r="A9" s="15">
        <f>IF(Indicadores!A9="","",Indicadores!A9)</f>
        <v/>
      </c>
      <c r="B9" s="16">
        <f>IF(OR(Indicadores!A9="",Indicadores!G9=""),"",Indicadores!G9)</f>
        <v/>
      </c>
      <c r="C9" s="16">
        <f>IF(OR(Indicadores!A9="",Indicadores!F9=""),"",Indicadores!F9)</f>
        <v/>
      </c>
      <c r="D9" s="17">
        <f>IF(OR(B9="",C9="",C9=0),"",(B9-C9)/ABS(C9))</f>
        <v/>
      </c>
      <c r="E9" s="16">
        <f>IF(OR(Indicadores!A9="",Indicadores!D9=""),"",Indicadores!D9)</f>
        <v/>
      </c>
      <c r="F9" s="17">
        <f>IF(OR(B9="",E9="",E9=0),"",(B9-E9)/ABS(E9))</f>
        <v/>
      </c>
      <c r="G9" s="18">
        <f>IF(OR(B9="",E9=""),"",IF(Indicadores!E9="Não",IF(B9&lt;=E9,"No alvo","Acima da meta"),IF(B9&gt;=E9,"No alvo","Abaixo da meta")))</f>
        <v/>
      </c>
      <c r="H9" s="18">
        <f>IF(Indicadores!A9="","",Indicadores!B9)</f>
        <v/>
      </c>
      <c r="N9" s="19">
        <f>IF(Indicadores!C9="",2,Indicadores!C9)</f>
        <v/>
      </c>
      <c r="O9" s="19">
        <f>IF(OR(F9="",G9="",G9="No alvo"),"",IF(Indicadores!E9="Não",F9,-F9))</f>
        <v/>
      </c>
      <c r="P9" s="19">
        <f>IF(D9="","",IF(Indicadores!E9="Não",-D9,D9))</f>
        <v/>
      </c>
    </row>
    <row r="10">
      <c r="A10" s="15">
        <f>IF(Indicadores!A10="","",Indicadores!A10)</f>
        <v/>
      </c>
      <c r="B10" s="16">
        <f>IF(OR(Indicadores!A10="",Indicadores!G10=""),"",Indicadores!G10)</f>
        <v/>
      </c>
      <c r="C10" s="16">
        <f>IF(OR(Indicadores!A10="",Indicadores!F10=""),"",Indicadores!F10)</f>
        <v/>
      </c>
      <c r="D10" s="17">
        <f>IF(OR(B10="",C10="",C10=0),"",(B10-C10)/ABS(C10))</f>
        <v/>
      </c>
      <c r="E10" s="16">
        <f>IF(OR(Indicadores!A10="",Indicadores!D10=""),"",Indicadores!D10)</f>
        <v/>
      </c>
      <c r="F10" s="17">
        <f>IF(OR(B10="",E10="",E10=0),"",(B10-E10)/ABS(E10))</f>
        <v/>
      </c>
      <c r="G10" s="18">
        <f>IF(OR(B10="",E10=""),"",IF(Indicadores!E10="Não",IF(B10&lt;=E10,"No alvo","Acima da meta"),IF(B10&gt;=E10,"No alvo","Abaixo da meta")))</f>
        <v/>
      </c>
      <c r="H10" s="18">
        <f>IF(Indicadores!A10="","",Indicadores!B10)</f>
        <v/>
      </c>
      <c r="N10" s="19">
        <f>IF(Indicadores!C10="",2,Indicadores!C10)</f>
        <v/>
      </c>
      <c r="O10" s="19">
        <f>IF(OR(F10="",G10="",G10="No alvo"),"",IF(Indicadores!E10="Não",F10,-F10))</f>
        <v/>
      </c>
      <c r="P10" s="19">
        <f>IF(D10="","",IF(Indicadores!E10="Não",-D10,D10))</f>
        <v/>
      </c>
    </row>
    <row r="11">
      <c r="A11" s="15">
        <f>IF(Indicadores!A11="","",Indicadores!A11)</f>
        <v/>
      </c>
      <c r="B11" s="16">
        <f>IF(OR(Indicadores!A11="",Indicadores!G11=""),"",Indicadores!G11)</f>
        <v/>
      </c>
      <c r="C11" s="16">
        <f>IF(OR(Indicadores!A11="",Indicadores!F11=""),"",Indicadores!F11)</f>
        <v/>
      </c>
      <c r="D11" s="17">
        <f>IF(OR(B11="",C11="",C11=0),"",(B11-C11)/ABS(C11))</f>
        <v/>
      </c>
      <c r="E11" s="16">
        <f>IF(OR(Indicadores!A11="",Indicadores!D11=""),"",Indicadores!D11)</f>
        <v/>
      </c>
      <c r="F11" s="17">
        <f>IF(OR(B11="",E11="",E11=0),"",(B11-E11)/ABS(E11))</f>
        <v/>
      </c>
      <c r="G11" s="18">
        <f>IF(OR(B11="",E11=""),"",IF(Indicadores!E11="Não",IF(B11&lt;=E11,"No alvo","Acima da meta"),IF(B11&gt;=E11,"No alvo","Abaixo da meta")))</f>
        <v/>
      </c>
      <c r="H11" s="18">
        <f>IF(Indicadores!A11="","",Indicadores!B11)</f>
        <v/>
      </c>
      <c r="N11" s="19">
        <f>IF(Indicadores!C11="",2,Indicadores!C11)</f>
        <v/>
      </c>
      <c r="O11" s="19">
        <f>IF(OR(F11="",G11="",G11="No alvo"),"",IF(Indicadores!E11="Não",F11,-F11))</f>
        <v/>
      </c>
      <c r="P11" s="19">
        <f>IF(D11="","",IF(Indicadores!E11="Não",-D11,D11))</f>
        <v/>
      </c>
    </row>
    <row r="12">
      <c r="A12" s="15">
        <f>IF(Indicadores!A12="","",Indicadores!A12)</f>
        <v/>
      </c>
      <c r="B12" s="16">
        <f>IF(OR(Indicadores!A12="",Indicadores!G12=""),"",Indicadores!G12)</f>
        <v/>
      </c>
      <c r="C12" s="16">
        <f>IF(OR(Indicadores!A12="",Indicadores!F12=""),"",Indicadores!F12)</f>
        <v/>
      </c>
      <c r="D12" s="17">
        <f>IF(OR(B12="",C12="",C12=0),"",(B12-C12)/ABS(C12))</f>
        <v/>
      </c>
      <c r="E12" s="16">
        <f>IF(OR(Indicadores!A12="",Indicadores!D12=""),"",Indicadores!D12)</f>
        <v/>
      </c>
      <c r="F12" s="17">
        <f>IF(OR(B12="",E12="",E12=0),"",(B12-E12)/ABS(E12))</f>
        <v/>
      </c>
      <c r="G12" s="18">
        <f>IF(OR(B12="",E12=""),"",IF(Indicadores!E12="Não",IF(B12&lt;=E12,"No alvo","Acima da meta"),IF(B12&gt;=E12,"No alvo","Abaixo da meta")))</f>
        <v/>
      </c>
      <c r="H12" s="18">
        <f>IF(Indicadores!A12="","",Indicadores!B12)</f>
        <v/>
      </c>
      <c r="N12" s="19">
        <f>IF(Indicadores!C12="",2,Indicadores!C12)</f>
        <v/>
      </c>
      <c r="O12" s="19">
        <f>IF(OR(F12="",G12="",G12="No alvo"),"",IF(Indicadores!E12="Não",F12,-F12))</f>
        <v/>
      </c>
      <c r="P12" s="19">
        <f>IF(D12="","",IF(Indicadores!E12="Não",-D12,D12))</f>
        <v/>
      </c>
    </row>
    <row r="13">
      <c r="A13" s="15">
        <f>IF(Indicadores!A13="","",Indicadores!A13)</f>
        <v/>
      </c>
      <c r="B13" s="16">
        <f>IF(OR(Indicadores!A13="",Indicadores!G13=""),"",Indicadores!G13)</f>
        <v/>
      </c>
      <c r="C13" s="16">
        <f>IF(OR(Indicadores!A13="",Indicadores!F13=""),"",Indicadores!F13)</f>
        <v/>
      </c>
      <c r="D13" s="17">
        <f>IF(OR(B13="",C13="",C13=0),"",(B13-C13)/ABS(C13))</f>
        <v/>
      </c>
      <c r="E13" s="16">
        <f>IF(OR(Indicadores!A13="",Indicadores!D13=""),"",Indicadores!D13)</f>
        <v/>
      </c>
      <c r="F13" s="17">
        <f>IF(OR(B13="",E13="",E13=0),"",(B13-E13)/ABS(E13))</f>
        <v/>
      </c>
      <c r="G13" s="18">
        <f>IF(OR(B13="",E13=""),"",IF(Indicadores!E13="Não",IF(B13&lt;=E13,"No alvo","Acima da meta"),IF(B13&gt;=E13,"No alvo","Abaixo da meta")))</f>
        <v/>
      </c>
      <c r="H13" s="18">
        <f>IF(Indicadores!A13="","",Indicadores!B13)</f>
        <v/>
      </c>
      <c r="N13" s="19">
        <f>IF(Indicadores!C13="",2,Indicadores!C13)</f>
        <v/>
      </c>
      <c r="O13" s="19">
        <f>IF(OR(F13="",G13="",G13="No alvo"),"",IF(Indicadores!E13="Não",F13,-F13))</f>
        <v/>
      </c>
      <c r="P13" s="19">
        <f>IF(D13="","",IF(Indicadores!E13="Não",-D13,D13))</f>
        <v/>
      </c>
    </row>
    <row r="14">
      <c r="A14" s="15">
        <f>IF(Indicadores!A14="","",Indicadores!A14)</f>
        <v/>
      </c>
      <c r="B14" s="16">
        <f>IF(OR(Indicadores!A14="",Indicadores!G14=""),"",Indicadores!G14)</f>
        <v/>
      </c>
      <c r="C14" s="16">
        <f>IF(OR(Indicadores!A14="",Indicadores!F14=""),"",Indicadores!F14)</f>
        <v/>
      </c>
      <c r="D14" s="17">
        <f>IF(OR(B14="",C14="",C14=0),"",(B14-C14)/ABS(C14))</f>
        <v/>
      </c>
      <c r="E14" s="16">
        <f>IF(OR(Indicadores!A14="",Indicadores!D14=""),"",Indicadores!D14)</f>
        <v/>
      </c>
      <c r="F14" s="17">
        <f>IF(OR(B14="",E14="",E14=0),"",(B14-E14)/ABS(E14))</f>
        <v/>
      </c>
      <c r="G14" s="18">
        <f>IF(OR(B14="",E14=""),"",IF(Indicadores!E14="Não",IF(B14&lt;=E14,"No alvo","Acima da meta"),IF(B14&gt;=E14,"No alvo","Abaixo da meta")))</f>
        <v/>
      </c>
      <c r="H14" s="18">
        <f>IF(Indicadores!A14="","",Indicadores!B14)</f>
        <v/>
      </c>
      <c r="N14" s="19">
        <f>IF(Indicadores!C14="",2,Indicadores!C14)</f>
        <v/>
      </c>
      <c r="O14" s="19">
        <f>IF(OR(F14="",G14="",G14="No alvo"),"",IF(Indicadores!E14="Não",F14,-F14))</f>
        <v/>
      </c>
      <c r="P14" s="19">
        <f>IF(D14="","",IF(Indicadores!E14="Não",-D14,D14))</f>
        <v/>
      </c>
    </row>
    <row r="15">
      <c r="A15" s="15">
        <f>IF(Indicadores!A15="","",Indicadores!A15)</f>
        <v/>
      </c>
      <c r="B15" s="16">
        <f>IF(OR(Indicadores!A15="",Indicadores!G15=""),"",Indicadores!G15)</f>
        <v/>
      </c>
      <c r="C15" s="16">
        <f>IF(OR(Indicadores!A15="",Indicadores!F15=""),"",Indicadores!F15)</f>
        <v/>
      </c>
      <c r="D15" s="17">
        <f>IF(OR(B15="",C15="",C15=0),"",(B15-C15)/ABS(C15))</f>
        <v/>
      </c>
      <c r="E15" s="16">
        <f>IF(OR(Indicadores!A15="",Indicadores!D15=""),"",Indicadores!D15)</f>
        <v/>
      </c>
      <c r="F15" s="17">
        <f>IF(OR(B15="",E15="",E15=0),"",(B15-E15)/ABS(E15))</f>
        <v/>
      </c>
      <c r="G15" s="18">
        <f>IF(OR(B15="",E15=""),"",IF(Indicadores!E15="Não",IF(B15&lt;=E15,"No alvo","Acima da meta"),IF(B15&gt;=E15,"No alvo","Abaixo da meta")))</f>
        <v/>
      </c>
      <c r="H15" s="18">
        <f>IF(Indicadores!A15="","",Indicadores!B15)</f>
        <v/>
      </c>
      <c r="N15" s="19">
        <f>IF(Indicadores!C15="",2,Indicadores!C15)</f>
        <v/>
      </c>
      <c r="O15" s="19">
        <f>IF(OR(F15="",G15="",G15="No alvo"),"",IF(Indicadores!E15="Não",F15,-F15))</f>
        <v/>
      </c>
      <c r="P15" s="19">
        <f>IF(D15="","",IF(Indicadores!E15="Não",-D15,D15))</f>
        <v/>
      </c>
    </row>
    <row r="16">
      <c r="A16" s="15">
        <f>IF(Indicadores!A16="","",Indicadores!A16)</f>
        <v/>
      </c>
      <c r="B16" s="16">
        <f>IF(OR(Indicadores!A16="",Indicadores!G16=""),"",Indicadores!G16)</f>
        <v/>
      </c>
      <c r="C16" s="16">
        <f>IF(OR(Indicadores!A16="",Indicadores!F16=""),"",Indicadores!F16)</f>
        <v/>
      </c>
      <c r="D16" s="17">
        <f>IF(OR(B16="",C16="",C16=0),"",(B16-C16)/ABS(C16))</f>
        <v/>
      </c>
      <c r="E16" s="16">
        <f>IF(OR(Indicadores!A16="",Indicadores!D16=""),"",Indicadores!D16)</f>
        <v/>
      </c>
      <c r="F16" s="17">
        <f>IF(OR(B16="",E16="",E16=0),"",(B16-E16)/ABS(E16))</f>
        <v/>
      </c>
      <c r="G16" s="18">
        <f>IF(OR(B16="",E16=""),"",IF(Indicadores!E16="Não",IF(B16&lt;=E16,"No alvo","Acima da meta"),IF(B16&gt;=E16,"No alvo","Abaixo da meta")))</f>
        <v/>
      </c>
      <c r="H16" s="18">
        <f>IF(Indicadores!A16="","",Indicadores!B16)</f>
        <v/>
      </c>
      <c r="N16" s="19">
        <f>IF(Indicadores!C16="",2,Indicadores!C16)</f>
        <v/>
      </c>
      <c r="O16" s="19">
        <f>IF(OR(F16="",G16="",G16="No alvo"),"",IF(Indicadores!E16="Não",F16,-F16))</f>
        <v/>
      </c>
      <c r="P16" s="19">
        <f>IF(D16="","",IF(Indicadores!E16="Não",-D16,D16))</f>
        <v/>
      </c>
    </row>
    <row r="18">
      <c r="A18" s="6" t="inlineStr">
        <is>
          <t>Verde: no alvo. Vermelho: fora da meta. As colunas N, O e P (ocultas) guardam casas decimais, a distância da meta e a variação com sinal de melhora, usadas nos destaques.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conditionalFormatting sqref="B5:C16 E5:E16">
    <cfRule type="expression" priority="3" dxfId="2">
      <formula>$N5=0</formula>
    </cfRule>
    <cfRule type="expression" priority="4" dxfId="3">
      <formula>$N5=1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>
      <c r="A1" s="5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Escritório</t>
        </is>
      </c>
      <c r="B4" s="22" t="inlineStr">
        <is>
          <t>Ferraz &amp; Lima Advocacia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Setembro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18">
        <f>MATCH(B6,$D$5:$D$16,0)</f>
        <v/>
      </c>
      <c r="D7" s="23" t="inlineStr">
        <is>
          <t>Março</t>
        </is>
      </c>
    </row>
    <row r="8">
      <c r="A8" s="21" t="inlineStr">
        <is>
          <t>Mês anterior</t>
        </is>
      </c>
      <c r="B8" s="18">
        <f>IF(B7&gt;1,INDEX($D$5:$D$16,B7-1),INDEX($D$5:$D$16,12))</f>
        <v/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E2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34" customWidth="1" min="8" max="8"/>
  </cols>
  <sheetData>
    <row r="1">
      <c r="A1" s="5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do escritório (17) e do Resultado mensal (18).</t>
        </is>
      </c>
    </row>
    <row r="4" ht="30" customHeight="1">
      <c r="A4" s="14" t="inlineStr">
        <is>
          <t>Indicador</t>
        </is>
      </c>
      <c r="B4" s="14" t="inlineStr">
        <is>
          <t>Unidade</t>
        </is>
      </c>
      <c r="C4" s="14" t="inlineStr">
        <is>
          <t>Casas decimais</t>
        </is>
      </c>
      <c r="D4" s="14" t="inlineStr">
        <is>
          <t>Meta do mês</t>
        </is>
      </c>
      <c r="E4" s="14" t="inlineStr">
        <is>
          <t>Maior é melhor?</t>
        </is>
      </c>
      <c r="F4" s="14" t="inlineStr">
        <is>
          <t>Mês anterior</t>
        </is>
      </c>
      <c r="G4" s="14" t="inlineStr">
        <is>
          <t>Mês atual</t>
        </is>
      </c>
      <c r="H4" s="14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30000</v>
      </c>
      <c r="E5" s="25" t="inlineStr">
        <is>
          <t>Sim</t>
        </is>
      </c>
      <c r="F5" s="26" t="n">
        <v>26660</v>
      </c>
      <c r="G5" s="26" t="n">
        <v>29400</v>
      </c>
      <c r="H5" s="27" t="inlineStr">
        <is>
          <t>09 · Caixa ou 17 · Painel</t>
        </is>
      </c>
    </row>
    <row r="6">
      <c r="A6" s="24" t="inlineStr">
        <is>
          <t>Saiu no mês (custos, pró-labore e impostos provisionados)</t>
        </is>
      </c>
      <c r="B6" s="25" t="inlineStr">
        <is>
          <t>R$</t>
        </is>
      </c>
      <c r="C6" s="25" t="n">
        <v>0</v>
      </c>
      <c r="D6" s="26" t="n">
        <v>20500</v>
      </c>
      <c r="E6" s="25" t="inlineStr">
        <is>
          <t>Não</t>
        </is>
      </c>
      <c r="F6" s="26" t="n">
        <v>20100</v>
      </c>
      <c r="G6" s="26" t="n">
        <v>20264</v>
      </c>
      <c r="H6" s="27" t="inlineStr">
        <is>
          <t>18 · Resultado mensal</t>
        </is>
      </c>
    </row>
    <row r="7">
      <c r="A7" s="24" t="inlineStr">
        <is>
          <t>Sobrou no mês (resultado)</t>
        </is>
      </c>
      <c r="B7" s="25" t="inlineStr">
        <is>
          <t>R$</t>
        </is>
      </c>
      <c r="C7" s="25" t="n">
        <v>0</v>
      </c>
      <c r="D7" s="26" t="n">
        <v>9500</v>
      </c>
      <c r="E7" s="25" t="inlineStr">
        <is>
          <t>Sim</t>
        </is>
      </c>
      <c r="F7" s="26" t="n">
        <v>6560</v>
      </c>
      <c r="G7" s="26" t="n">
        <v>9136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30</v>
      </c>
      <c r="E8" s="25" t="inlineStr">
        <is>
          <t>Sim</t>
        </is>
      </c>
      <c r="F8" s="26" t="n">
        <v>24.6</v>
      </c>
      <c r="G8" s="26" t="n">
        <v>31.1</v>
      </c>
      <c r="H8" s="27" t="inlineStr">
        <is>
          <t>18 · Resultado mensal</t>
        </is>
      </c>
    </row>
    <row r="9">
      <c r="A9" s="24" t="inlineStr">
        <is>
          <t>Horas registradas no mês</t>
        </is>
      </c>
      <c r="B9" s="25" t="inlineStr">
        <is>
          <t>h</t>
        </is>
      </c>
      <c r="C9" s="25" t="n">
        <v>0</v>
      </c>
      <c r="D9" s="26" t="n">
        <v>300</v>
      </c>
      <c r="E9" s="25" t="inlineStr">
        <is>
          <t>Sim</t>
        </is>
      </c>
      <c r="F9" s="26" t="n">
        <v>298</v>
      </c>
      <c r="G9" s="26" t="n">
        <v>318</v>
      </c>
      <c r="H9" s="27" t="inlineStr">
        <is>
          <t>16 · Horas por caso e por pessoa</t>
        </is>
      </c>
    </row>
    <row r="10">
      <c r="A10" s="24" t="inlineStr">
        <is>
          <t>Horas faturáveis</t>
        </is>
      </c>
      <c r="B10" s="25" t="inlineStr">
        <is>
          <t>%</t>
        </is>
      </c>
      <c r="C10" s="25" t="n">
        <v>1</v>
      </c>
      <c r="D10" s="26" t="n">
        <v>70</v>
      </c>
      <c r="E10" s="25" t="inlineStr">
        <is>
          <t>Sim</t>
        </is>
      </c>
      <c r="F10" s="26" t="n">
        <v>77.90000000000001</v>
      </c>
      <c r="G10" s="26" t="n">
        <v>71.09999999999999</v>
      </c>
      <c r="H10" s="27" t="inlineStr">
        <is>
          <t>16 · Horas por caso e por pessoa</t>
        </is>
      </c>
    </row>
    <row r="11">
      <c r="A11" s="24" t="inlineStr">
        <is>
          <t>Prazos atrasados na última sexta</t>
        </is>
      </c>
      <c r="B11" s="25" t="inlineStr">
        <is>
          <t>un</t>
        </is>
      </c>
      <c r="C11" s="25" t="n">
        <v>0</v>
      </c>
      <c r="D11" s="26" t="n">
        <v>0</v>
      </c>
      <c r="E11" s="25" t="inlineStr">
        <is>
          <t>Não</t>
        </is>
      </c>
      <c r="F11" s="26" t="n">
        <v>5</v>
      </c>
      <c r="G11" s="26" t="n">
        <v>7</v>
      </c>
      <c r="H11" s="27" t="inlineStr">
        <is>
          <t>01 · Agenda de prazos</t>
        </is>
      </c>
    </row>
    <row r="12">
      <c r="A12" s="24" t="inlineStr">
        <is>
          <t>A receber (carteira)</t>
        </is>
      </c>
      <c r="B12" s="25" t="inlineStr">
        <is>
          <t>R$</t>
        </is>
      </c>
      <c r="C12" s="25" t="n">
        <v>0</v>
      </c>
      <c r="D12" s="26" t="n">
        <v>120000</v>
      </c>
      <c r="E12" s="25" t="inlineStr">
        <is>
          <t>Não</t>
        </is>
      </c>
      <c r="F12" s="26" t="n">
        <v>124500</v>
      </c>
      <c r="G12" s="26" t="n">
        <v>128280</v>
      </c>
      <c r="H12" s="27" t="inlineStr">
        <is>
          <t>13 · Carteira de clientes e casos</t>
        </is>
      </c>
    </row>
    <row r="13">
      <c r="A13" s="24" t="inlineStr">
        <is>
          <t>Vencido (parcelas em atraso)</t>
        </is>
      </c>
      <c r="B13" s="25" t="inlineStr">
        <is>
          <t>R$</t>
        </is>
      </c>
      <c r="C13" s="25" t="n">
        <v>0</v>
      </c>
      <c r="D13" s="26" t="n">
        <v>15000</v>
      </c>
      <c r="E13" s="25" t="inlineStr">
        <is>
          <t>Não</t>
        </is>
      </c>
      <c r="F13" s="26" t="n">
        <v>24900</v>
      </c>
      <c r="G13" s="26" t="n">
        <v>26590</v>
      </c>
      <c r="H13" s="27" t="inlineStr">
        <is>
          <t>14 · Parcelas e inadimplência</t>
        </is>
      </c>
    </row>
    <row r="14">
      <c r="A14" s="24" t="inlineStr">
        <is>
          <t>Inadimplência (vencido ÷ parcelas em aberto)</t>
        </is>
      </c>
      <c r="B14" s="25" t="inlineStr">
        <is>
          <t>%</t>
        </is>
      </c>
      <c r="C14" s="25" t="n">
        <v>1</v>
      </c>
      <c r="D14" s="26" t="n">
        <v>10</v>
      </c>
      <c r="E14" s="25" t="inlineStr">
        <is>
          <t>Não</t>
        </is>
      </c>
      <c r="F14" s="26" t="n">
        <v>17.1</v>
      </c>
      <c r="G14" s="26" t="n">
        <v>17.4</v>
      </c>
      <c r="H14" s="27" t="inlineStr">
        <is>
          <t>14 · Parcelas e inadimplência</t>
        </is>
      </c>
    </row>
    <row r="15">
      <c r="A15" s="24" t="inlineStr">
        <is>
          <t>Propostas abertas (valor)</t>
        </is>
      </c>
      <c r="B15" s="25" t="inlineStr">
        <is>
          <t>R$</t>
        </is>
      </c>
      <c r="C15" s="25" t="n">
        <v>0</v>
      </c>
      <c r="D15" s="26" t="n">
        <v>40000</v>
      </c>
      <c r="E15" s="25" t="inlineStr">
        <is>
          <t>Sim</t>
        </is>
      </c>
      <c r="F15" s="26" t="n">
        <v>51300</v>
      </c>
      <c r="G15" s="26" t="n">
        <v>68400</v>
      </c>
      <c r="H15" s="27" t="inlineStr">
        <is>
          <t>15 · Propostas enviadas × fechadas</t>
        </is>
      </c>
    </row>
    <row r="16">
      <c r="A16" s="24" t="inlineStr">
        <is>
          <t>Casos ativos</t>
        </is>
      </c>
      <c r="B16" s="25" t="inlineStr">
        <is>
          <t>un</t>
        </is>
      </c>
      <c r="C16" s="25" t="n">
        <v>0</v>
      </c>
      <c r="D16" s="26" t="n">
        <v>32</v>
      </c>
      <c r="E16" s="25" t="inlineStr">
        <is>
          <t>Sim</t>
        </is>
      </c>
      <c r="F16" s="26" t="n">
        <v>30</v>
      </c>
      <c r="G16" s="26" t="n">
        <v>30</v>
      </c>
      <c r="H16" s="27" t="inlineStr">
        <is>
          <t>13 · Carteira de clientes e casos</t>
        </is>
      </c>
    </row>
    <row r="18">
      <c r="A18" s="6" t="inlineStr">
        <is>
          <t>Para indicadores em %, digite 16,8 (não 0,168). "Maior é melhor?" = Não para saídas, vencido, inadimplência e prazos atrasados. Meta 0 (ex.: prazos atrasados)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8:H18"/>
    <mergeCell ref="A2:H2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Advogados</dc:title>
  <dcterms:created xmlns:dcterms="http://purl.org/dc/terms/" xmlns:xsi="http://www.w3.org/2001/XMLSchema-instance" xsi:type="dcterms:W3CDTF">2026-09-14T09:36:14Z</dcterms:created>
  <dcterms:modified xmlns:dcterms="http://purl.org/dc/terms/" xmlns:xsi="http://www.w3.org/2001/XMLSchema-instance" xsi:type="dcterms:W3CDTF">2026-09-14T09:36:14Z</dcterms:modified>
</cp:coreProperties>
</file>