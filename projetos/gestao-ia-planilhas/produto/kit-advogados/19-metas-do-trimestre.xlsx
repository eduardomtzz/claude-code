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IFERROR(AVERAGEIFS(Metas!$H$5:$H$13,Metas!$B$5:$B$13,"&lt;&gt;"),0)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IF(OR(Metas!$A$5="",B9=0),"",AVERAGEIFS(Metas!$H$5:$H$7,Metas!$B$5:$B$7,"&lt;&gt;"))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IF(C9="","",REPT("█",ROUND(C9*30,0)))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IF(OR(Metas!$A$8="",B10=0),"",AVERAGEIFS(Metas!$H$8:$H$10,Metas!$B$8:$B$10,"&lt;&gt;"))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IF(C10="","",REPT("█",ROUND(C10*30,0)))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IF(Metas!B5="","",Metas!C5)</f>
        <v>Rafael Lima</v>
      </c>
      <c r="C15" s="28">
        <f>IF(Metas!B5="","",Metas!G5)</f>
        <v>4.6</v>
      </c>
      <c r="D15" s="28">
        <f>IF(Metas!B5="","",Metas!F5)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IF(Metas!B6="","",Metas!C6)</f>
        <v>Marina Ferraz</v>
      </c>
      <c r="C16" s="28">
        <f>IF(Metas!B6="","",Metas!G6)</f>
        <v>12000</v>
      </c>
      <c r="D16" s="28">
        <f>IF(Metas!B6="","",Metas!F6)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IF(Metas!B7="","",Metas!C7)</f>
        <v>Marina Ferraz</v>
      </c>
      <c r="C17" s="28">
        <f>IF(Metas!B7="","",Metas!G7)</f>
        <v>9400</v>
      </c>
      <c r="D17" s="28">
        <f>IF(Metas!B7="","",Metas!F7)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IF(Metas!B8="","",Metas!C8)</f>
        <v>Rafael Lima</v>
      </c>
      <c r="C18" s="28">
        <f>IF(Metas!B8="","",Metas!G8)</f>
        <v>79.5</v>
      </c>
      <c r="D18" s="28">
        <f>IF(Metas!B8="","",Metas!F8)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IF(Metas!B9="","",Metas!C9)</f>
        <v>Marina Ferraz</v>
      </c>
      <c r="C19" s="28">
        <f>IF(Metas!B9="","",Metas!G9)</f>
        <v>514.5</v>
      </c>
      <c r="D19" s="28">
        <f>IF(Metas!B9="","",Metas!F9)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IF(Metas!B11="","",Metas!C11)</f>
        <v>Marina Ferraz</v>
      </c>
      <c r="C21" s="28">
        <f>IF(Metas!B11="","",Metas!G11)</f>
        <v>6</v>
      </c>
      <c r="D21" s="28">
        <f>IF(Metas!B11="","",Metas!F11)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IF(Metas!B12="","",Metas!C12)</f>
        <v>Marina Ferraz</v>
      </c>
      <c r="C22" s="28">
        <f>IF(Metas!B12="","",Metas!G12)</f>
        <v>53000</v>
      </c>
      <c r="D22" s="28">
        <f>IF(Metas!B12="","",Metas!F12)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IF(Metas!B13="","",Metas!C13)</f>
        <v>Rafael Lima</v>
      </c>
      <c r="C23" s="28">
        <f>IF(Metas!B13="","",Metas!G13)</f>
        <v>1</v>
      </c>
      <c r="D23" s="28">
        <f>IF(Metas!B13="","",Metas!F13)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IF(B6="","",IF(F6=E6,"",IF(K6="Menor é melhor",MAX(0,MIN(1,(E6-G6)/(E6-F6))),MAX(0,MIN(1,(G6-E6)/(F6-E6))))))</f>
        <v>0.48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IF(B7="","",IF(F7=E7,"",IF(K7="Menor é melhor",MAX(0,MIN(1,(E7-G7)/(E7-F7))),MAX(0,MIN(1,(G7-E7)/(F7-E7))))))</f>
        <v>0.625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IF(B8="","",IF(F8=E8,"",IF(K8="Menor é melhor",MAX(0,MIN(1,(E8-G8)/(E8-F8))),MAX(0,MIN(1,(G8-E8)/(F8-E8))))))</f>
        <v>0.838709677419355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IF(B9="","",IF(F9=E9,"",IF(K9="Menor é melhor",MAX(0,MIN(1,(E9-G9)/(E9-F9))),MAX(0,MIN(1,(G9-E9)/(F9-E9))))))</f>
        <v>0.735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IF(B10="","",IF(F10=E10,"",IF(K10="Menor é melhor",MAX(0,MIN(1,(E10-G10)/(E10-F10))),MAX(0,MIN(1,(G10-E10)/(F10-E10))))))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IF(B11="","",IF(F11=E11,"",IF(K11="Menor é melhor",MAX(0,MIN(1,(E11-G11)/(E11-F11))),MAX(0,MIN(1,(G11-E11)/(F11-E11))))))</f>
        <v>0.75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IF(B12="","",IF(F12=E12,"",IF(K12="Menor é melhor",MAX(0,MIN(1,(E12-G12)/(E12-F12))),MAX(0,MIN(1,(G12-E12)/(F12-E12))))))</f>
        <v>0.883333333333333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IF(B13="","",IF(F13=E13,"",IF(K13="Menor é melhor",MAX(0,MIN(1,(E13-G13)/(E13-F13))),MAX(0,MIN(1,(G13-E13)/(F13-E13))))))</f>
        <v>0.5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IF(Metas!B5="","",Metas!F5)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IF(Metas!B6="","",Metas!F6)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IF(Metas!B7="","",Metas!F7)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IF(Metas!B8="","",Metas!F8)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IF(Metas!B9="","",Metas!F9)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IF(Metas!B10="","",Metas!F10)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IF(Metas!B11="","",Metas!F11)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IF(Metas!B12="","",Metas!F12)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IF(Metas!B13="","",Metas!F13)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2026-09-17T15:51:27Z</dcterms:created>
  <dcterms:modified xmlns:dcterms="http://purl.org/dc/terms/" xmlns:xsi="http://www.w3.org/2001/XMLSchema-instance" xsi:type="dcterms:W3CDTF">2026-09-17T15:51:27Z</dcterms:modified>
</cp:coreProperties>
</file>