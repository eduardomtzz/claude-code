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do escritório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deixe a data de referência em =HOJE() e liste as pessoas do escritório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Exemplos do escritório: receita recorrente do consultivo, inadimplência abaixo de 10%, prazos sem atraso.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do escritório, planilha 17) e copie para a coluna da semana em Semanas. O Painel mostra o resumo por objetivo e a lista completa com semáforo.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"Meta realista para o trimestre" ou "Explicar o mês"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2019 ou mais novo, Microsoft 365 ou Google Sheets.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>
        <f>Config!B4&amp;" · Metas do trimestre · "&amp;Config!B5</f>
        <v/>
      </c>
    </row>
    <row r="2">
      <c r="A2" s="6">
        <f>"Semana "&amp;Config!B9&amp;" de 13 · "&amp;TEXT(Config!B10,"0%")&amp;" do trimestre decorrido. Nada para preencher aqui."</f>
        <v/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/>
      </c>
      <c r="B5" s="8" t="n"/>
      <c r="C5" s="16">
        <f>COUNTIFS(Metas!$J$5:$J$13,"Atingido")</f>
        <v/>
      </c>
      <c r="D5" s="10" t="n"/>
      <c r="E5" s="17">
        <f>COUNTIFS(Metas!$J$5:$J$13,"Em risco")</f>
        <v/>
      </c>
      <c r="F5" s="12" t="n"/>
      <c r="G5" s="18">
        <f>IFERROR(AVERAGEIFS(Metas!$H$5:$H$13,Metas!$B$5:$B$13,"&lt;&gt;"),0)</f>
        <v/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>
        <f>IF(Metas!$A$5="","",Metas!$A$5)</f>
        <v/>
      </c>
      <c r="B9" s="24">
        <f>IF(Metas!$A$5="","",COUNTIFS(Metas!$B$5:$B$7,"&lt;&gt;"))</f>
        <v/>
      </c>
      <c r="C9" s="25">
        <f>IF(OR(Metas!$A$5="",B9=0),"",AVERAGEIFS(Metas!$H$5:$H$7,Metas!$B$5:$B$7,"&lt;&gt;"))</f>
        <v/>
      </c>
      <c r="D9" s="24">
        <f>IF(Metas!$A$5="","",COUNTIFS(Metas!$J$5:$J$7,"Atingido"))</f>
        <v/>
      </c>
      <c r="E9" s="24">
        <f>IF(Metas!$A$5="","",COUNTIFS(Metas!$J$5:$J$7,"Em risco"))</f>
        <v/>
      </c>
      <c r="F9" s="26">
        <f>IF(C9="","",REPT("█",ROUND(C9*30,0)))</f>
        <v/>
      </c>
      <c r="G9" s="21" t="n"/>
      <c r="H9" s="22" t="n"/>
    </row>
    <row r="10" ht="30" customHeight="1">
      <c r="A10" s="23">
        <f>IF(Metas!$A$8="","",Metas!$A$8)</f>
        <v/>
      </c>
      <c r="B10" s="24">
        <f>IF(Metas!$A$8="","",COUNTIFS(Metas!$B$8:$B$10,"&lt;&gt;"))</f>
        <v/>
      </c>
      <c r="C10" s="25">
        <f>IF(OR(Metas!$A$8="",B10=0),"",AVERAGEIFS(Metas!$H$8:$H$10,Metas!$B$8:$B$10,"&lt;&gt;"))</f>
        <v/>
      </c>
      <c r="D10" s="24">
        <f>IF(Metas!$A$8="","",COUNTIFS(Metas!$J$8:$J$10,"Atingido"))</f>
        <v/>
      </c>
      <c r="E10" s="24">
        <f>IF(Metas!$A$8="","",COUNTIFS(Metas!$J$8:$J$10,"Em risco"))</f>
        <v/>
      </c>
      <c r="F10" s="26">
        <f>IF(C10="","",REPT("█",ROUND(C10*30,0)))</f>
        <v/>
      </c>
      <c r="G10" s="21" t="n"/>
      <c r="H10" s="22" t="n"/>
    </row>
    <row r="11" ht="30" customHeight="1">
      <c r="A11" s="23">
        <f>IF(Metas!$A$11="","",Metas!$A$11)</f>
        <v/>
      </c>
      <c r="B11" s="24">
        <f>IF(Metas!$A$11="","",COUNTIFS(Metas!$B$11:$B$13,"&lt;&gt;"))</f>
        <v/>
      </c>
      <c r="C11" s="25">
        <f>IF(OR(Metas!$A$11="",B11=0),"",AVERAGEIFS(Metas!$H$11:$H$13,Metas!$B$11:$B$13,"&lt;&gt;"))</f>
        <v/>
      </c>
      <c r="D11" s="24">
        <f>IF(Metas!$A$11="","",COUNTIFS(Metas!$J$11:$J$13,"Atingido"))</f>
        <v/>
      </c>
      <c r="E11" s="24">
        <f>IF(Metas!$A$11="","",COUNTIFS(Metas!$J$11:$J$13,"Em risco"))</f>
        <v/>
      </c>
      <c r="F11" s="26">
        <f>IF(C11="","",REPT("█",ROUND(C11*30,0)))</f>
        <v/>
      </c>
      <c r="G11" s="21" t="n"/>
      <c r="H11" s="22" t="n"/>
    </row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>
        <f>IF(Metas!B5="","",Metas!B5)</f>
        <v/>
      </c>
      <c r="B15" s="24">
        <f>IF(Metas!B5="","",Metas!C5)</f>
        <v/>
      </c>
      <c r="C15" s="28">
        <f>IF(Metas!B5="","",Metas!G5)</f>
        <v/>
      </c>
      <c r="D15" s="28">
        <f>IF(Metas!B5="","",Metas!F5)</f>
        <v/>
      </c>
      <c r="E15" s="25">
        <f>IF(Metas!B5="","",Metas!H5)</f>
        <v/>
      </c>
      <c r="F15" s="25">
        <f>IF(Metas!B5="","",Metas!I5)</f>
        <v/>
      </c>
      <c r="G15" s="24">
        <f>IF(Metas!B5="","",Metas!J5)</f>
        <v/>
      </c>
      <c r="H15" s="26">
        <f>IF(E15="","",REPT("█",ROUND(E15*20,0)))</f>
        <v/>
      </c>
    </row>
    <row r="16">
      <c r="A16" s="27">
        <f>IF(Metas!B6="","",Metas!B6)</f>
        <v/>
      </c>
      <c r="B16" s="24">
        <f>IF(Metas!B6="","",Metas!C6)</f>
        <v/>
      </c>
      <c r="C16" s="28">
        <f>IF(Metas!B6="","",Metas!G6)</f>
        <v/>
      </c>
      <c r="D16" s="28">
        <f>IF(Metas!B6="","",Metas!F6)</f>
        <v/>
      </c>
      <c r="E16" s="25">
        <f>IF(Metas!B6="","",Metas!H6)</f>
        <v/>
      </c>
      <c r="F16" s="25">
        <f>IF(Metas!B6="","",Metas!I6)</f>
        <v/>
      </c>
      <c r="G16" s="24">
        <f>IF(Metas!B6="","",Metas!J6)</f>
        <v/>
      </c>
      <c r="H16" s="26">
        <f>IF(E16="","",REPT("█",ROUND(E16*20,0)))</f>
        <v/>
      </c>
    </row>
    <row r="17">
      <c r="A17" s="27">
        <f>IF(Metas!B7="","",Metas!B7)</f>
        <v/>
      </c>
      <c r="B17" s="24">
        <f>IF(Metas!B7="","",Metas!C7)</f>
        <v/>
      </c>
      <c r="C17" s="28">
        <f>IF(Metas!B7="","",Metas!G7)</f>
        <v/>
      </c>
      <c r="D17" s="28">
        <f>IF(Metas!B7="","",Metas!F7)</f>
        <v/>
      </c>
      <c r="E17" s="25">
        <f>IF(Metas!B7="","",Metas!H7)</f>
        <v/>
      </c>
      <c r="F17" s="25">
        <f>IF(Metas!B7="","",Metas!I7)</f>
        <v/>
      </c>
      <c r="G17" s="24">
        <f>IF(Metas!B7="","",Metas!J7)</f>
        <v/>
      </c>
      <c r="H17" s="26">
        <f>IF(E17="","",REPT("█",ROUND(E17*20,0)))</f>
        <v/>
      </c>
    </row>
    <row r="18">
      <c r="A18" s="27">
        <f>IF(Metas!B8="","",Metas!B8)</f>
        <v/>
      </c>
      <c r="B18" s="24">
        <f>IF(Metas!B8="","",Metas!C8)</f>
        <v/>
      </c>
      <c r="C18" s="28">
        <f>IF(Metas!B8="","",Metas!G8)</f>
        <v/>
      </c>
      <c r="D18" s="28">
        <f>IF(Metas!B8="","",Metas!F8)</f>
        <v/>
      </c>
      <c r="E18" s="25">
        <f>IF(Metas!B8="","",Metas!H8)</f>
        <v/>
      </c>
      <c r="F18" s="25">
        <f>IF(Metas!B8="","",Metas!I8)</f>
        <v/>
      </c>
      <c r="G18" s="24">
        <f>IF(Metas!B8="","",Metas!J8)</f>
        <v/>
      </c>
      <c r="H18" s="26">
        <f>IF(E18="","",REPT("█",ROUND(E18*20,0)))</f>
        <v/>
      </c>
    </row>
    <row r="19">
      <c r="A19" s="27">
        <f>IF(Metas!B9="","",Metas!B9)</f>
        <v/>
      </c>
      <c r="B19" s="24">
        <f>IF(Metas!B9="","",Metas!C9)</f>
        <v/>
      </c>
      <c r="C19" s="28">
        <f>IF(Metas!B9="","",Metas!G9)</f>
        <v/>
      </c>
      <c r="D19" s="28">
        <f>IF(Metas!B9="","",Metas!F9)</f>
        <v/>
      </c>
      <c r="E19" s="25">
        <f>IF(Metas!B9="","",Metas!H9)</f>
        <v/>
      </c>
      <c r="F19" s="25">
        <f>IF(Metas!B9="","",Metas!I9)</f>
        <v/>
      </c>
      <c r="G19" s="24">
        <f>IF(Metas!B9="","",Metas!J9)</f>
        <v/>
      </c>
      <c r="H19" s="26">
        <f>IF(E19="","",REPT("█",ROUND(E19*20,0)))</f>
        <v/>
      </c>
    </row>
    <row r="20">
      <c r="A20" s="27">
        <f>IF(Metas!B10="","",Metas!B10)</f>
        <v/>
      </c>
      <c r="B20" s="24">
        <f>IF(Metas!B10="","",Metas!C10)</f>
        <v/>
      </c>
      <c r="C20" s="28">
        <f>IF(Metas!B10="","",Metas!G10)</f>
        <v/>
      </c>
      <c r="D20" s="28">
        <f>IF(Metas!B10="","",Metas!F10)</f>
        <v/>
      </c>
      <c r="E20" s="25">
        <f>IF(Metas!B10="","",Metas!H10)</f>
        <v/>
      </c>
      <c r="F20" s="25">
        <f>IF(Metas!B10="","",Metas!I10)</f>
        <v/>
      </c>
      <c r="G20" s="24">
        <f>IF(Metas!B10="","",Metas!J10)</f>
        <v/>
      </c>
      <c r="H20" s="26">
        <f>IF(E20="","",REPT("█",ROUND(E20*20,0)))</f>
        <v/>
      </c>
    </row>
    <row r="21">
      <c r="A21" s="27">
        <f>IF(Metas!B11="","",Metas!B11)</f>
        <v/>
      </c>
      <c r="B21" s="24">
        <f>IF(Metas!B11="","",Metas!C11)</f>
        <v/>
      </c>
      <c r="C21" s="28">
        <f>IF(Metas!B11="","",Metas!G11)</f>
        <v/>
      </c>
      <c r="D21" s="28">
        <f>IF(Metas!B11="","",Metas!F11)</f>
        <v/>
      </c>
      <c r="E21" s="25">
        <f>IF(Metas!B11="","",Metas!H11)</f>
        <v/>
      </c>
      <c r="F21" s="25">
        <f>IF(Metas!B11="","",Metas!I11)</f>
        <v/>
      </c>
      <c r="G21" s="24">
        <f>IF(Metas!B11="","",Metas!J11)</f>
        <v/>
      </c>
      <c r="H21" s="26">
        <f>IF(E21="","",REPT("█",ROUND(E21*20,0)))</f>
        <v/>
      </c>
    </row>
    <row r="22">
      <c r="A22" s="27">
        <f>IF(Metas!B12="","",Metas!B12)</f>
        <v/>
      </c>
      <c r="B22" s="24">
        <f>IF(Metas!B12="","",Metas!C12)</f>
        <v/>
      </c>
      <c r="C22" s="28">
        <f>IF(Metas!B12="","",Metas!G12)</f>
        <v/>
      </c>
      <c r="D22" s="28">
        <f>IF(Metas!B12="","",Metas!F12)</f>
        <v/>
      </c>
      <c r="E22" s="25">
        <f>IF(Metas!B12="","",Metas!H12)</f>
        <v/>
      </c>
      <c r="F22" s="25">
        <f>IF(Metas!B12="","",Metas!I12)</f>
        <v/>
      </c>
      <c r="G22" s="24">
        <f>IF(Metas!B12="","",Metas!J12)</f>
        <v/>
      </c>
      <c r="H22" s="26">
        <f>IF(E22="","",REPT("█",ROUND(E22*20,0)))</f>
        <v/>
      </c>
    </row>
    <row r="23">
      <c r="A23" s="27">
        <f>IF(Metas!B13="","",Metas!B13)</f>
        <v/>
      </c>
      <c r="B23" s="24">
        <f>IF(Metas!B13="","",Metas!C13)</f>
        <v/>
      </c>
      <c r="C23" s="28">
        <f>IF(Metas!B13="","",Metas!G13)</f>
        <v/>
      </c>
      <c r="D23" s="28">
        <f>IF(Metas!B13="","",Metas!F13)</f>
        <v/>
      </c>
      <c r="E23" s="25">
        <f>IF(Metas!B13="","",Metas!H13)</f>
        <v/>
      </c>
      <c r="F23" s="25">
        <f>IF(Metas!B13="","",Metas!I13)</f>
        <v/>
      </c>
      <c r="G23" s="24">
        <f>IF(Metas!B13="","",Metas!J13)</f>
        <v/>
      </c>
      <c r="H23" s="26">
        <f>IF(E23="","",REPT("█",ROUND(E23*20,0)))</f>
        <v/>
      </c>
    </row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F9:H9"/>
    <mergeCell ref="A1:H1"/>
    <mergeCell ref="F11:H11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29" t="inlineStr">
        <is>
          <t>Células amarelas: você preenche.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Trimestre</t>
        </is>
      </c>
      <c r="B5" s="31" t="inlineStr">
        <is>
          <t>3º trimestre de 2026</t>
        </is>
      </c>
    </row>
    <row r="6">
      <c r="A6" s="30" t="inlineStr">
        <is>
          <t>Início do trimestre</t>
        </is>
      </c>
      <c r="B6" s="32" t="n">
        <v>46204</v>
      </c>
    </row>
    <row r="7">
      <c r="A7" s="30" t="inlineStr">
        <is>
          <t>Fim do trimestre</t>
        </is>
      </c>
      <c r="B7" s="32" t="n">
        <v>46295</v>
      </c>
    </row>
    <row r="8">
      <c r="A8" s="30" t="inlineStr">
        <is>
          <t>Data de referência (hoje)</t>
        </is>
      </c>
      <c r="B8" s="32">
        <f>TODAY()</f>
        <v/>
      </c>
      <c r="C8" s="6" t="inlineStr">
        <is>
          <t>Para simular o fim do trimestre, troque por uma data.</t>
        </is>
      </c>
    </row>
    <row r="9">
      <c r="A9" s="30" t="inlineStr">
        <is>
          <t>Semana atual do trimestre</t>
        </is>
      </c>
      <c r="B9" s="24">
        <f>IF(B8&lt;B6,0,MIN(13,INT((B8-B6)/7)+1))</f>
        <v/>
      </c>
    </row>
    <row r="10">
      <c r="A10" s="30" t="inlineStr">
        <is>
          <t>% do trimestre decorrido</t>
        </is>
      </c>
      <c r="B10" s="25">
        <f>MAX(0,MIN(1,(B8-B6)/(B7-B6)))</f>
        <v/>
      </c>
    </row>
    <row r="12">
      <c r="A12" s="30" t="inlineStr">
        <is>
          <t>Pessoas do escritório (donos dos resultados-chave)</t>
        </is>
      </c>
      <c r="C12" s="6" t="inlineStr">
        <is>
          <t>Preencha de cima para baixo, sem pular linha.</t>
        </is>
      </c>
    </row>
    <row r="13">
      <c r="A13" s="33" t="inlineStr">
        <is>
          <t>Nomes</t>
        </is>
      </c>
      <c r="B13" s="31" t="inlineStr">
        <is>
          <t>Marina Ferraz</t>
        </is>
      </c>
    </row>
    <row r="14">
      <c r="B14" s="31" t="inlineStr">
        <is>
          <t>Rafael Lima</t>
        </is>
      </c>
    </row>
    <row r="15">
      <c r="B15" s="31" t="inlineStr">
        <is>
          <t>Júlia Prado</t>
        </is>
      </c>
    </row>
    <row r="16">
      <c r="B16" s="31" t="n"/>
    </row>
    <row r="17">
      <c r="B17" s="31" t="n"/>
    </row>
    <row r="18">
      <c r="B18" s="31" t="n"/>
    </row>
    <row r="19">
      <c r="B19" s="31" t="n"/>
    </row>
    <row r="20">
      <c r="B20" s="31" t="n"/>
    </row>
    <row r="21">
      <c r="B21" s="31" t="n"/>
    </row>
    <row r="22">
      <c r="B22" s="31" t="n"/>
    </row>
    <row r="23">
      <c r="B23" s="31" t="n"/>
    </row>
    <row r="24">
      <c r="B24" s="3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4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>
      <c r="A1" s="5" t="inlineStr">
        <is>
          <t>Metas do trimestre do escritório</t>
        </is>
      </c>
    </row>
    <row r="2">
      <c r="A2" s="29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4" t="inlineStr">
        <is>
          <t>Receita recorrente do consultivo</t>
        </is>
      </c>
      <c r="B5" s="31" t="inlineStr">
        <is>
          <t>Contratos de consultivo mensal ativos</t>
        </is>
      </c>
      <c r="C5" s="35" t="inlineStr">
        <is>
          <t>Marina Ferraz</t>
        </is>
      </c>
      <c r="D5" s="35" t="inlineStr">
        <is>
          <t>contratos</t>
        </is>
      </c>
      <c r="E5" s="35" t="n">
        <v>3</v>
      </c>
      <c r="F5" s="35" t="n">
        <v>6</v>
      </c>
      <c r="G5" s="35" t="n">
        <v>5</v>
      </c>
      <c r="H5" s="25">
        <f>IF(B5="","",IF(F5=E5,"",IF(K5="Menor é melhor",MAX(0,MIN(1,(E5-G5)/(E5-F5))),MAX(0,MIN(1,(G5-E5)/(F5-E5))))))</f>
        <v/>
      </c>
      <c r="I5" s="25">
        <f>IF(B5="","",Config!$B$10)</f>
        <v/>
      </c>
      <c r="J5" s="24">
        <f>IF(OR(B5="",H5=""),"",IF(H5&gt;=1,"Atingido",IF(H5&gt;=I5-0.1,"No ritmo",IF(H5&gt;=I5-0.25,"Atenção","Em risco"))))</f>
        <v/>
      </c>
      <c r="K5" s="35" t="inlineStr">
        <is>
          <t>Maior é melhor</t>
        </is>
      </c>
      <c r="L5" s="36" t="inlineStr">
        <is>
          <t>Clínica Bem-Estar e Agência Prisma fecharam em agosto e setembro.</t>
        </is>
      </c>
    </row>
    <row r="6">
      <c r="A6" s="37" t="n"/>
      <c r="B6" s="31" t="inlineStr">
        <is>
          <t>Receita recorrente mensal do consultivo (R$)</t>
        </is>
      </c>
      <c r="C6" s="35" t="inlineStr">
        <is>
          <t>Marina Ferraz</t>
        </is>
      </c>
      <c r="D6" s="35" t="inlineStr">
        <is>
          <t>R$</t>
        </is>
      </c>
      <c r="E6" s="35" t="n">
        <v>4500</v>
      </c>
      <c r="F6" s="35" t="n">
        <v>9000</v>
      </c>
      <c r="G6" s="35" t="n">
        <v>7200</v>
      </c>
      <c r="H6" s="25">
        <f>IF(B6="","",IF(F6=E6,"",IF(K6="Menor é melhor",MAX(0,MIN(1,(E6-G6)/(E6-F6))),MAX(0,MIN(1,(G6-E6)/(F6-E6))))))</f>
        <v/>
      </c>
      <c r="I6" s="25">
        <f>IF(B6="","",Config!$B$10)</f>
        <v/>
      </c>
      <c r="J6" s="24">
        <f>IF(OR(B6="",H6=""),"",IF(H6&gt;=1,"Atingido",IF(H6&gt;=I6-0.1,"No ritmo",IF(H6&gt;=I6-0.25,"Atenção","Em risco"))))</f>
        <v/>
      </c>
      <c r="K6" s="35" t="inlineStr">
        <is>
          <t>Maior é melhor</t>
        </is>
      </c>
      <c r="L6" s="36" t="inlineStr">
        <is>
          <t>Mesmo valor da linha "Consultivo mensal" da planilha 18.</t>
        </is>
      </c>
    </row>
    <row r="7">
      <c r="A7" s="38" t="n"/>
      <c r="B7" s="31" t="inlineStr">
        <is>
          <t>Propostas de consultivo enviadas no trimestre</t>
        </is>
      </c>
      <c r="C7" s="35" t="inlineStr">
        <is>
          <t>Rafael Lima</t>
        </is>
      </c>
      <c r="D7" s="35" t="inlineStr">
        <is>
          <t>propostas</t>
        </is>
      </c>
      <c r="E7" s="35" t="n">
        <v>0</v>
      </c>
      <c r="F7" s="35" t="n">
        <v>12</v>
      </c>
      <c r="G7" s="35" t="n">
        <v>10</v>
      </c>
      <c r="H7" s="25">
        <f>IF(B7="","",IF(F7=E7,"",IF(K7="Menor é melhor",MAX(0,MIN(1,(E7-G7)/(E7-F7))),MAX(0,MIN(1,(G7-E7)/(F7-E7))))))</f>
        <v/>
      </c>
      <c r="I7" s="25">
        <f>IF(B7="","",Config!$B$10)</f>
        <v/>
      </c>
      <c r="J7" s="24">
        <f>IF(OR(B7="",H7=""),"",IF(H7&gt;=1,"Atingido",IF(H7&gt;=I7-0.1,"No ritmo",IF(H7&gt;=I7-0.25,"Atenção","Em risco"))))</f>
        <v/>
      </c>
      <c r="K7" s="35" t="inlineStr">
        <is>
          <t>Maior é melhor</t>
        </is>
      </c>
      <c r="L7" s="36" t="inlineStr"/>
    </row>
    <row r="8" ht="18" customHeight="1">
      <c r="A8" s="34" t="inlineStr">
        <is>
          <t>Inadimplência abaixo de 10% do a receber</t>
        </is>
      </c>
      <c r="B8" s="31" t="inlineStr">
        <is>
          <t>Inadimplência: vencido ÷ parcelas em aberto (%)</t>
        </is>
      </c>
      <c r="C8" s="35" t="inlineStr">
        <is>
          <t>Rafael Lima</t>
        </is>
      </c>
      <c r="D8" s="35" t="inlineStr">
        <is>
          <t>%</t>
        </is>
      </c>
      <c r="E8" s="35" t="n">
        <v>18.6</v>
      </c>
      <c r="F8" s="35" t="n">
        <v>10</v>
      </c>
      <c r="G8" s="35" t="n">
        <v>17.4</v>
      </c>
      <c r="H8" s="25">
        <f>IF(B8="","",IF(F8=E8,"",IF(K8="Menor é melhor",MAX(0,MIN(1,(E8-G8)/(E8-F8))),MAX(0,MIN(1,(G8-E8)/(F8-E8))))))</f>
        <v/>
      </c>
      <c r="I8" s="25">
        <f>IF(B8="","",Config!$B$10)</f>
        <v/>
      </c>
      <c r="J8" s="24">
        <f>IF(OR(B8="",H8=""),"",IF(H8&gt;=1,"Atingido",IF(H8&gt;=I8-0.1,"No ritmo",IF(H8&gt;=I8-0.25,"Atenção","Em risco"))))</f>
        <v/>
      </c>
      <c r="K8" s="35" t="inlineStr">
        <is>
          <t>Menor é melhor</t>
        </is>
      </c>
      <c r="L8" s="36" t="inlineStr">
        <is>
          <t>Painel da planilha 14: R$ 26.590 vencidos.</t>
        </is>
      </c>
    </row>
    <row r="9">
      <c r="A9" s="37" t="n"/>
      <c r="B9" s="31" t="inlineStr">
        <is>
          <t>Parcelas vencidas</t>
        </is>
      </c>
      <c r="C9" s="35" t="inlineStr">
        <is>
          <t>Júlia Prado</t>
        </is>
      </c>
      <c r="D9" s="35" t="inlineStr">
        <is>
          <t>parcelas</t>
        </is>
      </c>
      <c r="E9" s="35" t="n">
        <v>10</v>
      </c>
      <c r="F9" s="35" t="n">
        <v>3</v>
      </c>
      <c r="G9" s="35" t="n">
        <v>8</v>
      </c>
      <c r="H9" s="25">
        <f>IF(B9="","",IF(F9=E9,"",IF(K9="Menor é melhor",MAX(0,MIN(1,(E9-G9)/(E9-F9))),MAX(0,MIN(1,(G9-E9)/(F9-E9))))))</f>
        <v/>
      </c>
      <c r="I9" s="25">
        <f>IF(B9="","",Config!$B$10)</f>
        <v/>
      </c>
      <c r="J9" s="24">
        <f>IF(OR(B9="",H9=""),"",IF(H9&gt;=1,"Atingido",IF(H9&gt;=I9-0.1,"No ritmo",IF(H9&gt;=I9-0.25,"Atenção","Em risco"))))</f>
        <v/>
      </c>
      <c r="K9" s="35" t="inlineStr">
        <is>
          <t>Menor é melhor</t>
        </is>
      </c>
      <c r="L9" s="36" t="inlineStr">
        <is>
          <t>Régua de cobrança da planilha 14.</t>
        </is>
      </c>
    </row>
    <row r="10">
      <c r="A10" s="38" t="n"/>
      <c r="B10" s="31" t="inlineStr">
        <is>
          <t>Cobranças enviadas na data da régua (%)</t>
        </is>
      </c>
      <c r="C10" s="35" t="inlineStr">
        <is>
          <t>Júlia Prado</t>
        </is>
      </c>
      <c r="D10" s="35" t="inlineStr">
        <is>
          <t>%</t>
        </is>
      </c>
      <c r="E10" s="35" t="n">
        <v>40</v>
      </c>
      <c r="F10" s="35" t="n">
        <v>100</v>
      </c>
      <c r="G10" s="35" t="n">
        <v>90</v>
      </c>
      <c r="H10" s="25">
        <f>IF(B10="","",IF(F10=E10,"",IF(K10="Menor é melhor",MAX(0,MIN(1,(E10-G10)/(E10-F10))),MAX(0,MIN(1,(G10-E10)/(F10-E10))))))</f>
        <v/>
      </c>
      <c r="I10" s="25">
        <f>IF(B10="","",Config!$B$10)</f>
        <v/>
      </c>
      <c r="J10" s="24">
        <f>IF(OR(B10="",H10=""),"",IF(H10&gt;=1,"Atingido",IF(H10&gt;=I10-0.1,"No ritmo",IF(H10&gt;=I10-0.25,"Atenção","Em risco"))))</f>
        <v/>
      </c>
      <c r="K10" s="35" t="inlineStr">
        <is>
          <t>Maior é melhor</t>
        </is>
      </c>
      <c r="L10" s="36" t="inlineStr"/>
    </row>
    <row r="11" ht="18" customHeight="1">
      <c r="A11" s="34" t="inlineStr">
        <is>
          <t>Prazos sem atraso</t>
        </is>
      </c>
      <c r="B11" s="31" t="inlineStr">
        <is>
          <t>Prazos atrasados na sexta-feira</t>
        </is>
      </c>
      <c r="C11" s="35" t="inlineStr">
        <is>
          <t>Marina Ferraz</t>
        </is>
      </c>
      <c r="D11" s="35" t="inlineStr">
        <is>
          <t>prazos</t>
        </is>
      </c>
      <c r="E11" s="35" t="n">
        <v>5</v>
      </c>
      <c r="F11" s="35" t="n">
        <v>0</v>
      </c>
      <c r="G11" s="35" t="n">
        <v>7</v>
      </c>
      <c r="H11" s="25">
        <f>IF(B11="","",IF(F11=E11,"",IF(K11="Menor é melhor",MAX(0,MIN(1,(E11-G11)/(E11-F11))),MAX(0,MIN(1,(G11-E11)/(F11-E11))))))</f>
        <v/>
      </c>
      <c r="I11" s="25">
        <f>IF(B11="","",Config!$B$10)</f>
        <v/>
      </c>
      <c r="J11" s="24">
        <f>IF(OR(B11="",H11=""),"",IF(H11&gt;=1,"Atingido",IF(H11&gt;=I11-0.1,"No ritmo",IF(H11&gt;=I11-0.25,"Atenção","Em risco"))))</f>
        <v/>
      </c>
      <c r="K11" s="35" t="inlineStr">
        <is>
          <t>Menor é melhor</t>
        </is>
      </c>
      <c r="L11" s="36" t="inlineStr">
        <is>
          <t>Piorou em setembro: 7 atrasados na planilha 01. Prioridade da segunda-feira.</t>
        </is>
      </c>
    </row>
    <row r="12">
      <c r="A12" s="37" t="n"/>
      <c r="B12" s="31" t="inlineStr">
        <is>
          <t>Prazos lançados na agenda no mesmo dia (%)</t>
        </is>
      </c>
      <c r="C12" s="35" t="inlineStr">
        <is>
          <t>Júlia Prado</t>
        </is>
      </c>
      <c r="D12" s="35" t="inlineStr">
        <is>
          <t>%</t>
        </is>
      </c>
      <c r="E12" s="35" t="n">
        <v>60</v>
      </c>
      <c r="F12" s="35" t="n">
        <v>100</v>
      </c>
      <c r="G12" s="35" t="n">
        <v>85</v>
      </c>
      <c r="H12" s="25">
        <f>IF(B12="","",IF(F12=E12,"",IF(K12="Menor é melhor",MAX(0,MIN(1,(E12-G12)/(E12-F12))),MAX(0,MIN(1,(G12-E12)/(F12-E12))))))</f>
        <v/>
      </c>
      <c r="I12" s="25">
        <f>IF(B12="","",Config!$B$10)</f>
        <v/>
      </c>
      <c r="J12" s="24">
        <f>IF(OR(B12="",H12=""),"",IF(H12&gt;=1,"Atingido",IF(H12&gt;=I12-0.1,"No ritmo",IF(H12&gt;=I12-0.25,"Atenção","Em risco"))))</f>
        <v/>
      </c>
      <c r="K12" s="35" t="inlineStr">
        <is>
          <t>Maior é melhor</t>
        </is>
      </c>
      <c r="L12" s="36" t="inlineStr"/>
    </row>
    <row r="13">
      <c r="A13" s="38" t="n"/>
      <c r="B13" s="31" t="inlineStr">
        <is>
          <t>Rotinas de segunda-feira feitas (semanas)</t>
        </is>
      </c>
      <c r="C13" s="35" t="inlineStr">
        <is>
          <t>Rafael Lima</t>
        </is>
      </c>
      <c r="D13" s="35" t="inlineStr">
        <is>
          <t>semanas</t>
        </is>
      </c>
      <c r="E13" s="35" t="n">
        <v>0</v>
      </c>
      <c r="F13" s="35" t="n">
        <v>13</v>
      </c>
      <c r="G13" s="35" t="n">
        <v>10</v>
      </c>
      <c r="H13" s="25">
        <f>IF(B13="","",IF(F13=E13,"",IF(K13="Menor é melhor",MAX(0,MIN(1,(E13-G13)/(E13-F13))),MAX(0,MIN(1,(G13-E13)/(F13-E13))))))</f>
        <v/>
      </c>
      <c r="I13" s="25">
        <f>IF(B13="","",Config!$B$10)</f>
        <v/>
      </c>
      <c r="J13" s="24">
        <f>IF(OR(B13="",H13=""),"",IF(H13&gt;=1,"Atingido",IF(H13&gt;=I13-0.1,"No ritmo",IF(H13&gt;=I13-0.25,"Atenção","Em risco"))))</f>
        <v/>
      </c>
      <c r="K13" s="35" t="inlineStr">
        <is>
          <t>Maior é melhor</t>
        </is>
      </c>
      <c r="L13" s="36" t="inlineStr">
        <is>
          <t>Planilha 03 · Rotina da semana.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15:L15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0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>
      <c r="A1" s="5" t="inlineStr">
        <is>
          <t>Acompanhamento semanal</t>
        </is>
      </c>
    </row>
    <row r="2">
      <c r="A2" s="29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>
        <f>IF(Metas!B5="","",Metas!B5)</f>
        <v/>
      </c>
      <c r="B5" s="24">
        <f>IF(Metas!B5="","",Metas!F5)</f>
        <v/>
      </c>
      <c r="C5" s="35" t="n">
        <v>3</v>
      </c>
      <c r="D5" s="35" t="n">
        <v>3</v>
      </c>
      <c r="E5" s="35" t="n">
        <v>3</v>
      </c>
      <c r="F5" s="35" t="n">
        <v>4</v>
      </c>
      <c r="G5" s="35" t="n">
        <v>4</v>
      </c>
      <c r="H5" s="35" t="n">
        <v>4</v>
      </c>
      <c r="I5" s="35" t="n">
        <v>4</v>
      </c>
      <c r="J5" s="35" t="n">
        <v>5</v>
      </c>
      <c r="K5" s="35" t="n">
        <v>5</v>
      </c>
      <c r="L5" s="35" t="n">
        <v>5</v>
      </c>
      <c r="M5" s="35" t="n">
        <v>5</v>
      </c>
      <c r="N5" s="35" t="n"/>
      <c r="O5" s="35" t="n"/>
    </row>
    <row r="6">
      <c r="A6" s="27">
        <f>IF(Metas!B6="","",Metas!B6)</f>
        <v/>
      </c>
      <c r="B6" s="24">
        <f>IF(Metas!B6="","",Metas!F6)</f>
        <v/>
      </c>
      <c r="C6" s="35" t="n">
        <v>4500</v>
      </c>
      <c r="D6" s="35" t="n">
        <v>4500</v>
      </c>
      <c r="E6" s="35" t="n">
        <v>4500</v>
      </c>
      <c r="F6" s="35" t="n">
        <v>4500</v>
      </c>
      <c r="G6" s="35" t="n">
        <v>6000</v>
      </c>
      <c r="H6" s="35" t="n">
        <v>6000</v>
      </c>
      <c r="I6" s="35" t="n">
        <v>6000</v>
      </c>
      <c r="J6" s="35" t="n">
        <v>6000</v>
      </c>
      <c r="K6" s="35" t="n">
        <v>6000</v>
      </c>
      <c r="L6" s="35" t="n">
        <v>7200</v>
      </c>
      <c r="M6" s="35" t="n">
        <v>7200</v>
      </c>
      <c r="N6" s="35" t="n"/>
      <c r="O6" s="35" t="n"/>
    </row>
    <row r="7">
      <c r="A7" s="27">
        <f>IF(Metas!B7="","",Metas!B7)</f>
        <v/>
      </c>
      <c r="B7" s="24">
        <f>IF(Metas!B7="","",Metas!F7)</f>
        <v/>
      </c>
      <c r="C7" s="35" t="n">
        <v>1</v>
      </c>
      <c r="D7" s="35" t="n">
        <v>2</v>
      </c>
      <c r="E7" s="35" t="n">
        <v>3</v>
      </c>
      <c r="F7" s="35" t="n">
        <v>4</v>
      </c>
      <c r="G7" s="35" t="n">
        <v>5</v>
      </c>
      <c r="H7" s="35" t="n">
        <v>5</v>
      </c>
      <c r="I7" s="35" t="n">
        <v>6</v>
      </c>
      <c r="J7" s="35" t="n">
        <v>7</v>
      </c>
      <c r="K7" s="35" t="n">
        <v>8</v>
      </c>
      <c r="L7" s="35" t="n">
        <v>9</v>
      </c>
      <c r="M7" s="35" t="n">
        <v>10</v>
      </c>
      <c r="N7" s="35" t="n"/>
      <c r="O7" s="35" t="n"/>
    </row>
    <row r="8">
      <c r="A8" s="27">
        <f>IF(Metas!B8="","",Metas!B8)</f>
        <v/>
      </c>
      <c r="B8" s="24">
        <f>IF(Metas!B8="","",Metas!F8)</f>
        <v/>
      </c>
      <c r="C8" s="35" t="n">
        <v>18.6</v>
      </c>
      <c r="D8" s="35" t="n">
        <v>18.4</v>
      </c>
      <c r="E8" s="35" t="n">
        <v>18.9</v>
      </c>
      <c r="F8" s="35" t="n">
        <v>19.7</v>
      </c>
      <c r="G8" s="35" t="n">
        <v>19.2</v>
      </c>
      <c r="H8" s="35" t="n">
        <v>18.3</v>
      </c>
      <c r="I8" s="35" t="n">
        <v>17.8</v>
      </c>
      <c r="J8" s="35" t="n">
        <v>17.1</v>
      </c>
      <c r="K8" s="35" t="n">
        <v>17.1</v>
      </c>
      <c r="L8" s="35" t="n">
        <v>17.6</v>
      </c>
      <c r="M8" s="35" t="n">
        <v>17.4</v>
      </c>
      <c r="N8" s="35" t="n"/>
      <c r="O8" s="35" t="n"/>
    </row>
    <row r="9">
      <c r="A9" s="27">
        <f>IF(Metas!B9="","",Metas!B9)</f>
        <v/>
      </c>
      <c r="B9" s="24">
        <f>IF(Metas!B9="","",Metas!F9)</f>
        <v/>
      </c>
      <c r="C9" s="35" t="n">
        <v>10</v>
      </c>
      <c r="D9" s="35" t="n">
        <v>10</v>
      </c>
      <c r="E9" s="35" t="n">
        <v>9</v>
      </c>
      <c r="F9" s="35" t="n">
        <v>9</v>
      </c>
      <c r="G9" s="35" t="n">
        <v>9</v>
      </c>
      <c r="H9" s="35" t="n">
        <v>8</v>
      </c>
      <c r="I9" s="35" t="n">
        <v>8</v>
      </c>
      <c r="J9" s="35" t="n">
        <v>7</v>
      </c>
      <c r="K9" s="35" t="n">
        <v>8</v>
      </c>
      <c r="L9" s="35" t="n">
        <v>8</v>
      </c>
      <c r="M9" s="35" t="n">
        <v>8</v>
      </c>
      <c r="N9" s="35" t="n"/>
      <c r="O9" s="35" t="n"/>
    </row>
    <row r="10">
      <c r="A10" s="27">
        <f>IF(Metas!B10="","",Metas!B10)</f>
        <v/>
      </c>
      <c r="B10" s="24">
        <f>IF(Metas!B10="","",Metas!F10)</f>
        <v/>
      </c>
      <c r="C10" s="35" t="n">
        <v>40</v>
      </c>
      <c r="D10" s="35" t="n">
        <v>50</v>
      </c>
      <c r="E10" s="35" t="n">
        <v>50</v>
      </c>
      <c r="F10" s="35" t="n">
        <v>60</v>
      </c>
      <c r="G10" s="35" t="n">
        <v>60</v>
      </c>
      <c r="H10" s="35" t="n">
        <v>70</v>
      </c>
      <c r="I10" s="35" t="n">
        <v>70</v>
      </c>
      <c r="J10" s="35" t="n">
        <v>75</v>
      </c>
      <c r="K10" s="35" t="n">
        <v>80</v>
      </c>
      <c r="L10" s="35" t="n">
        <v>90</v>
      </c>
      <c r="M10" s="35" t="n">
        <v>90</v>
      </c>
      <c r="N10" s="35" t="n"/>
      <c r="O10" s="35" t="n"/>
    </row>
    <row r="11">
      <c r="A11" s="27">
        <f>IF(Metas!B11="","",Metas!B11)</f>
        <v/>
      </c>
      <c r="B11" s="24">
        <f>IF(Metas!B11="","",Metas!F11)</f>
        <v/>
      </c>
      <c r="C11" s="35" t="n">
        <v>6</v>
      </c>
      <c r="D11" s="35" t="n">
        <v>5</v>
      </c>
      <c r="E11" s="35" t="n">
        <v>6</v>
      </c>
      <c r="F11" s="35" t="n">
        <v>4</v>
      </c>
      <c r="G11" s="35" t="n">
        <v>5</v>
      </c>
      <c r="H11" s="35" t="n">
        <v>4</v>
      </c>
      <c r="I11" s="35" t="n">
        <v>4</v>
      </c>
      <c r="J11" s="35" t="n">
        <v>3</v>
      </c>
      <c r="K11" s="35" t="n">
        <v>5</v>
      </c>
      <c r="L11" s="35" t="n">
        <v>6</v>
      </c>
      <c r="M11" s="35" t="n">
        <v>7</v>
      </c>
      <c r="N11" s="35" t="n"/>
      <c r="O11" s="35" t="n"/>
    </row>
    <row r="12">
      <c r="A12" s="27">
        <f>IF(Metas!B12="","",Metas!B12)</f>
        <v/>
      </c>
      <c r="B12" s="24">
        <f>IF(Metas!B12="","",Metas!F12)</f>
        <v/>
      </c>
      <c r="C12" s="35" t="n">
        <v>60</v>
      </c>
      <c r="D12" s="35" t="n">
        <v>65</v>
      </c>
      <c r="E12" s="35" t="n">
        <v>70</v>
      </c>
      <c r="F12" s="35" t="n">
        <v>70</v>
      </c>
      <c r="G12" s="35" t="n">
        <v>75</v>
      </c>
      <c r="H12" s="35" t="n">
        <v>80</v>
      </c>
      <c r="I12" s="35" t="n">
        <v>80</v>
      </c>
      <c r="J12" s="35" t="n">
        <v>85</v>
      </c>
      <c r="K12" s="35" t="n">
        <v>85</v>
      </c>
      <c r="L12" s="35" t="n">
        <v>85</v>
      </c>
      <c r="M12" s="35" t="n">
        <v>85</v>
      </c>
      <c r="N12" s="35" t="n"/>
      <c r="O12" s="35" t="n"/>
    </row>
    <row r="13">
      <c r="A13" s="27">
        <f>IF(Metas!B13="","",Metas!B13)</f>
        <v/>
      </c>
      <c r="B13" s="24">
        <f>IF(Metas!B13="","",Metas!F13)</f>
        <v/>
      </c>
      <c r="C13" s="35" t="n">
        <v>1</v>
      </c>
      <c r="D13" s="35" t="n">
        <v>2</v>
      </c>
      <c r="E13" s="35" t="n">
        <v>3</v>
      </c>
      <c r="F13" s="35" t="n">
        <v>4</v>
      </c>
      <c r="G13" s="35" t="n">
        <v>4</v>
      </c>
      <c r="H13" s="35" t="n">
        <v>5</v>
      </c>
      <c r="I13" s="35" t="n">
        <v>6</v>
      </c>
      <c r="J13" s="35" t="n">
        <v>7</v>
      </c>
      <c r="K13" s="35" t="n">
        <v>8</v>
      </c>
      <c r="L13" s="35" t="n">
        <v>9</v>
      </c>
      <c r="M13" s="35" t="n">
        <v>10</v>
      </c>
      <c r="N13" s="35" t="n"/>
      <c r="O13" s="35" t="n"/>
    </row>
    <row r="15">
      <c r="A15" s="6" t="inlineStr">
        <is>
          <t>A coluna da semana atual fica destacada. Valores em % são digitados como 16,8 (não 0,168).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Advogados</dc:title>
  <dcterms:created xmlns:dcterms="http://purl.org/dc/terms/" xmlns:xsi="http://www.w3.org/2001/XMLSchema-instance" xsi:type="dcterms:W3CDTF">2026-09-14T09:36:50Z</dcterms:created>
  <dcterms:modified xmlns:dcterms="http://purl.org/dc/terms/" xmlns:xsi="http://www.w3.org/2001/XMLSchema-instance" xsi:type="dcterms:W3CDTF">2026-09-14T09:36:50Z</dcterms:modified>
</cp:coreProperties>
</file>