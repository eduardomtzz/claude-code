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IF(COUNT(Metas!$H$5:$H$13)=0,"Faltam dados",AVERAGEIFS(Metas!$H$5:$H$13,Metas!$B$5:$B$13,"&lt;&gt;"))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IF(ISNUMBER(C9),REPT("█",ROUND(C9*30,0)),"")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IF(OR(Metas!$A$8="",B10=0),"",IF(COUNT(Metas!$H$8:$H$10)=0,"Faltam dados",AVERAGEIFS(Metas!$H$8:$H$10,Metas!$B$8:$B$10,"&lt;&gt;")))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IF(ISNUMBER(C10),REPT("█",ROUND(C10*30,0)),"")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IF(OR(Metas!B5="",Metas!C5=""),"",Metas!C5)</f>
        <v>Rafael Lima</v>
      </c>
      <c r="C15" s="28">
        <f>IF(OR(Metas!B5="",NOT(ISNUMBER(Metas!G5))),"",Metas!G5)</f>
        <v>4.6</v>
      </c>
      <c r="D15" s="28">
        <f>IF(OR(Metas!B5="",NOT(ISNUMBER(Metas!F5))),"",Metas!F5)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IF(OR(Metas!B6="",Metas!C6=""),"",Metas!C6)</f>
        <v>Marina Ferraz</v>
      </c>
      <c r="C16" s="28">
        <f>IF(OR(Metas!B6="",NOT(ISNUMBER(Metas!G6))),"",Metas!G6)</f>
        <v>12000</v>
      </c>
      <c r="D16" s="28">
        <f>IF(OR(Metas!B6="",NOT(ISNUMBER(Metas!F6))),"",Metas!F6)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IF(OR(Metas!B7="",Metas!C7=""),"",Metas!C7)</f>
        <v>Marina Ferraz</v>
      </c>
      <c r="C17" s="28">
        <f>IF(OR(Metas!B7="",NOT(ISNUMBER(Metas!G7))),"",Metas!G7)</f>
        <v>9400</v>
      </c>
      <c r="D17" s="28">
        <f>IF(OR(Metas!B7="",NOT(ISNUMBER(Metas!F7))),"",Metas!F7)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IF(OR(Metas!B8="",Metas!C8=""),"",Metas!C8)</f>
        <v>Rafael Lima</v>
      </c>
      <c r="C18" s="28">
        <f>IF(OR(Metas!B8="",NOT(ISNUMBER(Metas!G8))),"",Metas!G8)</f>
        <v>79.5</v>
      </c>
      <c r="D18" s="28">
        <f>IF(OR(Metas!B8="",NOT(ISNUMBER(Metas!F8))),"",Metas!F8)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IF(OR(Metas!B9="",Metas!C9=""),"",Metas!C9)</f>
        <v>Marina Ferraz</v>
      </c>
      <c r="C19" s="28">
        <f>IF(OR(Metas!B9="",NOT(ISNUMBER(Metas!G9))),"",Metas!G9)</f>
        <v>514.5</v>
      </c>
      <c r="D19" s="28">
        <f>IF(OR(Metas!B9="",NOT(ISNUMBER(Metas!F9))),"",Metas!F9)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IF(OR(Metas!B10="",Metas!C10=""),"",Metas!C10)</f>
        <v/>
      </c>
      <c r="C20" s="28">
        <f>IF(OR(Metas!B10="",NOT(ISNUMBER(Metas!G10))),"",Metas!G10)</f>
        <v/>
      </c>
      <c r="D20" s="28">
        <f>IF(OR(Metas!B10="",NOT(ISNUMBER(Metas!F10))),"",Metas!F10)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IF(OR(Metas!B11="",Metas!C11=""),"",Metas!C11)</f>
        <v>Marina Ferraz</v>
      </c>
      <c r="C21" s="28">
        <f>IF(OR(Metas!B11="",NOT(ISNUMBER(Metas!G11))),"",Metas!G11)</f>
        <v>6</v>
      </c>
      <c r="D21" s="28">
        <f>IF(OR(Metas!B11="",NOT(ISNUMBER(Metas!F11))),"",Metas!F11)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IF(OR(Metas!B12="",Metas!C12=""),"",Metas!C12)</f>
        <v>Marina Ferraz</v>
      </c>
      <c r="C22" s="28">
        <f>IF(OR(Metas!B12="",NOT(ISNUMBER(Metas!G12))),"",Metas!G12)</f>
        <v>53000</v>
      </c>
      <c r="D22" s="28">
        <f>IF(OR(Metas!B12="",NOT(ISNUMBER(Metas!F12))),"",Metas!F12)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IF(OR(Metas!B13="",Metas!C13=""),"",Metas!C13)</f>
        <v>Rafael Lima</v>
      </c>
      <c r="C23" s="28">
        <f>IF(OR(Metas!B13="",NOT(ISNUMBER(Metas!G13))),"",Metas!G13)</f>
        <v>1</v>
      </c>
      <c r="D23" s="28">
        <f>IF(OR(Metas!B13="",NOT(ISNUMBER(Metas!F13))),"",Metas!F13)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0.48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0.625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0.838709677419355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0.735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/>
      </c>
      <c r="I10" s="25">
        <f>IF(B10="","",Config!$B$10)</f>
        <v/>
      </c>
      <c r="J10" s="24">
        <f>IF(B10="","",IF(H10="","Faltam dados",IF(H10&gt;=1,"Atingido",IF(H10&gt;=I10-0.1,"No ritmo",IF(H10&gt;=I10-0.25,"Atenção","Em risco")))))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0.75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0.883333333333333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0.5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IF(OR(Metas!B5="",NOT(ISNUMBER(Metas!F5))),"",Metas!F5)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IF(OR(Metas!B6="",NOT(ISNUMBER(Metas!F6))),"",Metas!F6)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IF(OR(Metas!B7="",NOT(ISNUMBER(Metas!F7))),"",Metas!F7)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IF(OR(Metas!B8="",NOT(ISNUMBER(Metas!F8))),"",Metas!F8)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IF(OR(Metas!B9="",NOT(ISNUMBER(Metas!F9))),"",Metas!F9)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IF(OR(Metas!B10="",NOT(ISNUMBER(Metas!F10))),"",Metas!F10)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IF(OR(Metas!B11="",NOT(ISNUMBER(Metas!F11))),"",Metas!F11)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IF(OR(Metas!B12="",NOT(ISNUMBER(Metas!F12))),"",Metas!F12)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IF(OR(Metas!B13="",NOT(ISNUMBER(Metas!F13))),"",Metas!F13)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2026-09-19T12:01:23Z</dcterms:created>
  <dcterms:modified xmlns:dcterms="http://purl.org/dc/terms/" xmlns:xsi="http://www.w3.org/2001/XMLSchema-instance" xsi:type="dcterms:W3CDTF">2026-09-19T12:01:23Z</dcterms:modified>
</cp:coreProperties>
</file>