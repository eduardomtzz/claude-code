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Tabela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dd/mm/yyyy"/>
    <numFmt numFmtId="166" formatCode="&quot;R$&quot; #,##0.00;[Red]-&quot;R$&quot; #,##0.00"/>
    <numFmt numFmtId="167" formatCode="&quot;R$&quot; #,##0;[Red]-&quot;R$&quot; #,##0"/>
    <numFmt numFmtId="168" formatCode="+0%;-0%;0%"/>
    <numFmt numFmtId="169" formatCode="0.0"/>
  </numFmts>
  <fonts count="18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color rgb="007A5AA8"/>
      <sz val="9"/>
    </font>
    <font>
      <name val="Arial"/>
      <color rgb="003B1F5E"/>
      <sz val="10"/>
    </font>
    <font>
      <name val="Arial"/>
      <b val="1"/>
      <color rgb="00FFFFFF"/>
      <sz val="10"/>
    </font>
    <font>
      <name val="Arial"/>
      <b val="1"/>
      <color rgb="003B1F5E"/>
      <sz val="9"/>
    </font>
    <font>
      <name val="Arial"/>
      <b val="1"/>
      <color rgb="007A1F1F"/>
      <sz val="9"/>
    </font>
    <font>
      <name val="Arial"/>
      <b val="1"/>
      <color rgb="007A1F1F"/>
      <sz val="16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3B1F5E"/>
      <sz val="13"/>
    </font>
    <font>
      <name val="Arial"/>
      <b val="1"/>
      <color rgb="003B1F5E"/>
      <sz val="20"/>
    </font>
    <font>
      <name val="Arial"/>
      <color rgb="007A5AA8"/>
      <sz val="10"/>
    </font>
    <font>
      <name val="Arial"/>
      <b val="1"/>
      <color rgb="003B1F5E"/>
    </font>
    <font>
      <name val="Arial"/>
      <color rgb="001F1235"/>
    </font>
  </fonts>
  <fills count="8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3EEFB"/>
      </patternFill>
    </fill>
    <fill>
      <patternFill patternType="solid">
        <fgColor rgb="00FBE4E4"/>
      </patternFill>
    </fill>
    <fill>
      <patternFill patternType="solid">
        <fgColor rgb="00DDF3E7"/>
      </patternFill>
    </fill>
    <fill>
      <patternFill patternType="solid">
        <fgColor rgb="00FFC83D"/>
      </patternFill>
    </fill>
  </fills>
  <borders count="2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0">
      <alignment vertical="top"/>
    </xf>
    <xf numFmtId="0" fontId="17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8" fillId="4" borderId="0" applyAlignment="1" pivotButton="0" quotePrefix="0" xfId="0">
      <alignment horizontal="center"/>
    </xf>
    <xf numFmtId="0" fontId="0" fillId="4" borderId="0" pivotButton="0" quotePrefix="0" xfId="0"/>
    <xf numFmtId="0" fontId="9" fillId="5" borderId="0" applyAlignment="1" pivotButton="0" quotePrefix="0" xfId="0">
      <alignment horizontal="center"/>
    </xf>
    <xf numFmtId="0" fontId="0" fillId="5" borderId="0" pivotButton="0" quotePrefix="0" xfId="0"/>
    <xf numFmtId="0" fontId="11" fillId="6" borderId="0" applyAlignment="1" pivotButton="0" quotePrefix="0" xfId="0">
      <alignment horizontal="center"/>
    </xf>
    <xf numFmtId="0" fontId="0" fillId="6" borderId="0" pivotButton="0" quotePrefix="0" xfId="0"/>
    <xf numFmtId="0" fontId="8" fillId="7" borderId="0" applyAlignment="1" pivotButton="0" quotePrefix="0" xfId="0">
      <alignment horizontal="center"/>
    </xf>
    <xf numFmtId="0" fontId="0" fillId="7" borderId="0" pivotButton="0" quotePrefix="0" xfId="0"/>
    <xf numFmtId="166" fontId="1" fillId="4" borderId="0" applyAlignment="1" pivotButton="0" quotePrefix="0" xfId="0">
      <alignment horizontal="center"/>
    </xf>
    <xf numFmtId="49" fontId="10" fillId="5" borderId="0" applyAlignment="1" pivotButton="0" quotePrefix="0" xfId="0">
      <alignment horizontal="center"/>
    </xf>
    <xf numFmtId="1" fontId="10" fillId="5" borderId="0" applyAlignment="1" pivotButton="0" quotePrefix="0" xfId="0">
      <alignment horizontal="center"/>
    </xf>
    <xf numFmtId="167" fontId="12" fillId="6" borderId="0" applyAlignment="1" pivotButton="0" quotePrefix="0" xfId="0">
      <alignment horizontal="center"/>
    </xf>
    <xf numFmtId="166" fontId="1" fillId="7" borderId="0" applyAlignment="1" pivotButton="0" quotePrefix="0" xfId="0">
      <alignment horizontal="center"/>
    </xf>
    <xf numFmtId="168" fontId="1" fillId="4" borderId="0" applyAlignment="1" pivotButton="0" quotePrefix="0" xfId="0">
      <alignment horizontal="center"/>
    </xf>
    <xf numFmtId="0" fontId="7" fillId="3" borderId="1" applyAlignment="1" pivotButton="0" quotePrefix="0" xfId="0">
      <alignment horizontal="center" vertical="center" wrapText="1"/>
    </xf>
    <xf numFmtId="0" fontId="4" fillId="2" borderId="1" applyProtection="1" pivotButton="0" quotePrefix="0" xfId="0">
      <protection locked="0" hidden="0"/>
    </xf>
    <xf numFmtId="1" fontId="4" fillId="2" borderId="1" applyAlignment="1" applyProtection="1" pivotButton="0" quotePrefix="0" xfId="0">
      <alignment horizontal="center"/>
      <protection locked="0" hidden="0"/>
    </xf>
    <xf numFmtId="0" fontId="4" fillId="2" borderId="1" applyAlignment="1" applyProtection="1" pivotButton="0" quotePrefix="0" xfId="0">
      <alignment horizontal="center"/>
      <protection locked="0" hidden="0"/>
    </xf>
    <xf numFmtId="166" fontId="4" fillId="2" borderId="1" applyAlignment="1" applyProtection="1" pivotButton="0" quotePrefix="0" xfId="0">
      <alignment horizontal="center"/>
      <protection locked="0" hidden="0"/>
    </xf>
    <xf numFmtId="166" fontId="4" fillId="0" borderId="1" applyAlignment="1" pivotButton="0" quotePrefix="0" xfId="0">
      <alignment horizontal="center"/>
    </xf>
    <xf numFmtId="166" fontId="3" fillId="0" borderId="1" applyAlignment="1" pivotButton="0" quotePrefix="0" xfId="0">
      <alignment horizontal="center"/>
    </xf>
    <xf numFmtId="167" fontId="4" fillId="2" borderId="1" applyAlignment="1" applyProtection="1" pivotButton="0" quotePrefix="0" xfId="0">
      <alignment horizontal="center"/>
      <protection locked="0" hidden="0"/>
    </xf>
    <xf numFmtId="0" fontId="4" fillId="0" borderId="1" applyAlignment="1" pivotButton="0" quotePrefix="0" xfId="0">
      <alignment horizontal="center"/>
    </xf>
    <xf numFmtId="1" fontId="4" fillId="0" borderId="1" applyAlignment="1" pivotButton="0" quotePrefix="0" xfId="0">
      <alignment horizontal="center"/>
    </xf>
    <xf numFmtId="168" fontId="4" fillId="0" borderId="1" applyAlignment="1" pivotButton="0" quotePrefix="0" xfId="0">
      <alignment horizontal="center"/>
    </xf>
    <xf numFmtId="0" fontId="5" fillId="0" borderId="0" applyAlignment="1" pivotButton="0" quotePrefix="0" xfId="0">
      <alignment vertical="top" wrapText="1"/>
    </xf>
    <xf numFmtId="0" fontId="13" fillId="0" borderId="0" applyAlignment="1" pivotButton="0" quotePrefix="0" xfId="0">
      <alignment horizontal="left" vertical="top"/>
    </xf>
    <xf numFmtId="0" fontId="4" fillId="0" borderId="1" pivotButton="0" quotePrefix="0" xfId="0"/>
    <xf numFmtId="169" fontId="4" fillId="0" borderId="1" applyAlignment="1" pivotButton="0" quotePrefix="0" xfId="0">
      <alignment horizontal="center"/>
    </xf>
    <xf numFmtId="167" fontId="4" fillId="0" borderId="1" applyAlignment="1" pivotButton="0" quotePrefix="0" xfId="0">
      <alignment horizontal="center"/>
    </xf>
    <xf numFmtId="0" fontId="5" fillId="0" borderId="0" pivotButton="0" quotePrefix="0" xfId="0"/>
    <xf numFmtId="0" fontId="3" fillId="0" borderId="0" pivotButton="0" quotePrefix="0" xfId="0"/>
    <xf numFmtId="165" fontId="4" fillId="0" borderId="1" applyAlignment="1" pivotButton="0" quotePrefix="0" xfId="0">
      <alignment horizontal="center"/>
    </xf>
    <xf numFmtId="9" fontId="4" fillId="2" borderId="1" applyAlignment="1" applyProtection="1" pivotButton="0" quotePrefix="0" xfId="0">
      <alignment horizontal="center"/>
      <protection locked="0" hidden="0"/>
    </xf>
    <xf numFmtId="2" fontId="4" fillId="2" borderId="1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 hidden="0"/>
  </cellStyles>
  <dxfs count="6">
    <dxf>
      <font>
        <name val="Arial"/>
        <b val="1"/>
        <color rgb="007A1F1F"/>
        <sz val="10"/>
      </font>
      <fill>
        <patternFill patternType="solid">
          <fgColor rgb="00FBE4E4"/>
        </patternFill>
      </fill>
    </dxf>
    <dxf>
      <fill>
        <patternFill patternType="solid">
          <fgColor rgb="00FFF4CC"/>
        </patternFill>
      </fill>
    </dxf>
    <dxf>
      <font>
        <name val="Arial"/>
        <color rgb="00155E3C"/>
        <sz val="10"/>
      </font>
      <fill>
        <patternFill patternType="solid">
          <fgColor rgb="00DDF3E7"/>
        </patternFill>
      </fill>
    </dxf>
    <dxf>
      <font>
        <name val="Arial"/>
        <color rgb="008A86A0"/>
        <sz val="10"/>
      </font>
    </dxf>
    <dxf>
      <font>
        <name val="Arial"/>
        <color rgb="007A1F1F"/>
        <sz val="10"/>
      </font>
      <fill>
        <patternFill patternType="solid">
          <fgColor rgb="00FBE4E4"/>
        </patternFill>
      </fill>
    </dxf>
    <dxf>
      <font>
        <name val="Arial"/>
        <b val="1"/>
        <color rgb="00C8402E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Valor por hora: particular × convênios (R$)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'Tabela'!C26</f>
            </strRef>
          </tx>
          <spPr>
            <a:solidFill xmlns:a="http://schemas.openxmlformats.org/drawingml/2006/main">
              <a:srgbClr val="3B1F5E"/>
            </a:solidFill>
            <a:ln xmlns:a="http://schemas.openxmlformats.org/drawingml/2006/main">
              <a:prstDash val="solid"/>
            </a:ln>
          </spPr>
          <cat>
            <numRef>
              <f>'Tabela'!$A$27:$A$33</f>
            </numRef>
          </cat>
          <val>
            <numRef>
              <f>'Tabela'!$C$27:$C$33</f>
            </numRef>
          </val>
        </ser>
        <ser>
          <idx val="1"/>
          <order val="1"/>
          <tx>
            <strRef>
              <f>'Tabela'!D26</f>
            </strRef>
          </tx>
          <spPr>
            <a:solidFill xmlns:a="http://schemas.openxmlformats.org/drawingml/2006/main">
              <a:srgbClr val="B89BE0"/>
            </a:solidFill>
            <a:ln xmlns:a="http://schemas.openxmlformats.org/drawingml/2006/main">
              <a:prstDash val="solid"/>
            </a:ln>
          </spPr>
          <cat>
            <numRef>
              <f>'Tabela'!$A$27:$A$33</f>
            </numRef>
          </cat>
          <val>
            <numRef>
              <f>'Tabela'!$D$27:$D$33</f>
            </numRef>
          </val>
        </ser>
        <ser>
          <idx val="2"/>
          <order val="2"/>
          <tx>
            <strRef>
              <f>'Tabela'!E26</f>
            </strRef>
          </tx>
          <spPr>
            <a:solidFill xmlns:a="http://schemas.openxmlformats.org/drawingml/2006/main">
              <a:srgbClr val="7A5AA8"/>
            </a:solidFill>
            <a:ln xmlns:a="http://schemas.openxmlformats.org/drawingml/2006/main">
              <a:prstDash val="solid"/>
            </a:ln>
          </spPr>
          <cat>
            <numRef>
              <f>'Tabela'!$A$27:$A$33</f>
            </numRef>
          </cat>
          <val>
            <numRef>
              <f>'Tabela'!$E$27:$E$33</f>
            </numRef>
          </val>
        </ser>
        <ser>
          <idx val="3"/>
          <order val="3"/>
          <tx>
            <strRef>
              <f>'Tabela'!F26</f>
            </strRef>
          </tx>
          <spPr>
            <a:solidFill xmlns:a="http://schemas.openxmlformats.org/drawingml/2006/main">
              <a:srgbClr val="FFC83D"/>
            </a:solidFill>
            <a:ln xmlns:a="http://schemas.openxmlformats.org/drawingml/2006/main">
              <a:prstDash val="solid"/>
            </a:ln>
          </spPr>
          <cat>
            <numRef>
              <f>'Tabela'!$A$27:$A$33</f>
            </numRef>
          </cat>
          <val>
            <numRef>
              <f>'Tabela'!$F$27:$F$33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24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Tabela de preços e referência por procedimento</t>
        </is>
      </c>
    </row>
    <row r="2">
      <c r="A2" s="2" t="inlineStr">
        <is>
          <t>Kit de Gestão para Médicos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É a tabela interna da clínica: para cada procedimento, o preço particular e a tabela de cada convênio ao lado do custo cheio, do preço mínimo e do preço alvo (a mesma conta da 06), mais o valor por hora que cada pagador paga e o valor médio praticado no mês fechado.</t>
        </is>
      </c>
    </row>
    <row r="5" ht="46" customHeight="1">
      <c r="A5" s="3" t="inlineStr">
        <is>
          <t>Passo 1</t>
        </is>
      </c>
      <c r="B5" s="4" t="inlineStr">
        <is>
          <t>Em Config, copie o custo-hora da planilha 05, a alíquota, as margens e os pagadores (o primeiro é o particular).</t>
        </is>
      </c>
    </row>
    <row r="6" ht="46" customHeight="1">
      <c r="A6" s="3" t="inlineStr">
        <is>
          <t>Passo 2</t>
        </is>
      </c>
      <c r="B6" s="4" t="inlineStr">
        <is>
          <t>Em Tabela, uma linha por procedimento: minutos, se gera retorno, material e o valor de cada pagador. Esta é a tabela oficial da clínica: a Config da planilha 01 (agenda), a 06 e a 07 copiam daqui.</t>
        </is>
      </c>
    </row>
    <row r="7" ht="46" customHeight="1">
      <c r="A7" s="3" t="inlineStr">
        <is>
          <t>Passo 3</t>
        </is>
      </c>
      <c r="B7" s="4" t="inlineStr">
        <is>
          <t>Copie de "Por procedimento" no Painel da 01 (mês fechado) os realizados e a produção do mês: a planilha mostra o valor médio praticado e quanto ele fica acima ou abaixo do mínimo.</t>
        </is>
      </c>
    </row>
    <row r="8" ht="46" customHeight="1">
      <c r="A8" s="3" t="inlineStr">
        <is>
          <t>Passo 4</t>
        </is>
      </c>
      <c r="B8" s="4" t="inlineStr">
        <is>
          <t>Leia as cores: particular abaixo do mínimo (vermelho) é preço a revisar; tabela de convênio vermelha não cobre o custo cheio (leve para a planilha 07 antes de decidir). O quadro "Valor por hora" é o argumento para negociar tabela.</t>
        </is>
      </c>
    </row>
    <row r="9" ht="46" customHeight="1">
      <c r="A9" s="3" t="inlineStr">
        <is>
          <t>Ordem de atualização</t>
        </is>
      </c>
      <c r="B9" s="4" t="inlineStr">
        <is>
          <t>Mudou um preço? Atualize sempre nesta ordem: 08 (aqui) → 06 · Precificação → 07 · Simulador → 01 · Config (a tabela que a Agenda busca). Procedimento novo: 01 e 02 (Config), 08, 06 e 07. Convênio novo: 01, 02, 06, 07, 08, 09 (categorias de entrada) e 13 (Config, com prazo e dia de envio).</t>
        </is>
      </c>
    </row>
    <row r="10" ht="46" customHeight="1">
      <c r="A10" s="3" t="inlineStr">
        <is>
          <t>Rotina</t>
        </is>
      </c>
      <c r="B10" s="4" t="inlineStr">
        <is>
          <t>Revise quando o custo-hora mudar (05) ou ao renegociar um convênio. Se pesquisar preços da região, anote na coluna "Referência de mercado"; a divulgação de preços segue as regras do CFM.</t>
        </is>
      </c>
    </row>
    <row r="11" ht="46" customHeight="1">
      <c r="A11" s="3" t="inlineStr">
        <is>
          <t>Com a IA</t>
        </is>
      </c>
      <c r="B11" s="4" t="inlineStr">
        <is>
          <t>Copie a Tabela e use o prompt "Preço 04 · Revisar a tabela de preços" da biblioteca do kit, ou "Preço 03 · Vale a pena este convênio?" para um convênio específico.</t>
        </is>
      </c>
    </row>
    <row r="12" ht="46" customHeight="1">
      <c r="A12" s="3" t="inlineStr">
        <is>
          <t>Legenda</t>
        </is>
      </c>
      <c r="B12" s="4" t="inlineStr">
        <is>
          <t>Células amarelas: você preenche. Brancas: calculadas. Não é preciso mexer em nada fora do amarelo.</t>
        </is>
      </c>
    </row>
    <row r="13" ht="46" customHeight="1">
      <c r="A13" s="3" t="inlineStr">
        <is>
          <t>Proteção</t>
        </is>
      </c>
      <c r="B13" s="4" t="inlineStr">
        <is>
          <t>Fórmulas protegidas sem senha. Para editar: Revisar &gt; Desproteger planilha (Excel) ou Dados &gt; Proteger intervalos (Google Sheets).</t>
        </is>
      </c>
    </row>
    <row r="14" ht="46" customHeight="1">
      <c r="A14" s="3" t="inlineStr">
        <is>
          <t>Requisitos</t>
        </is>
      </c>
      <c r="B14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5" ht="46" customHeight="1">
      <c r="A15" s="3" t="inlineStr">
        <is>
          <t>Dados de pacientes</t>
        </is>
      </c>
      <c r="B15" s="4" t="inlineStr">
        <is>
          <t>Guarde só o que a gestão precisa (nome, contato, valor, data). Nada de diagnóstico, prontuário ou exame nestas planilhas: o kit é gestão, não é prontuário. Veja o guia LGPD do kit antes de colar qualquer tabela em uma IA.</t>
        </is>
      </c>
    </row>
    <row r="16" ht="46" customHeight="1">
      <c r="A16" s="3" t="inlineStr">
        <is>
          <t>Google Sheets</t>
        </is>
      </c>
      <c r="B16" s="4" t="inlineStr">
        <is>
          <t>Faça upload no Google Drive e abra com o Google Sheets. Fórmulas, listas, cores, semáforos e gráficos funcionam: as regras de cor que dependem do mês escolhido em Config usam INDIRECT, que é a forma que o Sheets aceita para regra condicional apontar para outra aba.</t>
        </is>
      </c>
    </row>
    <row r="17" ht="46" customHeight="1">
      <c r="A17" s="3" t="inlineStr">
        <is>
          <t>Exemplos</t>
        </is>
      </c>
      <c r="B17" s="4" t="inlineStr">
        <is>
          <t>Clínica Vida Plena é uma clínica fictícia. Pacientes, convênios, nomes, contatos e valores são inventados; não há nenhum dado clínico. Apague o exemplo antes de começar.</t>
        </is>
      </c>
    </row>
    <row r="18" ht="46" customHeight="1">
      <c r="A18" s="3" t="inlineStr">
        <is>
          <t>Data de referência</t>
        </is>
      </c>
      <c r="B18" s="4" t="inlineStr">
        <is>
          <t>O exemplo está congelado em 14/09/2026, para todos os arquivos do kit mostrarem a mesma foto e os números fecharem entre eles. Ao começar a usar com os SEUS dados, troque em Config: a data de referência por =HOJE(), o ano, o mês do painel, o trimestre (onde houver) e a lista de feriados. Trocar só a data de referência deixa o resto apontando para 2026.</t>
        </is>
      </c>
    </row>
    <row r="19" ht="46" customHeight="1">
      <c r="A19" s="3" t="inlineStr">
        <is>
          <t>Suporte</t>
        </is>
      </c>
      <c r="B19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9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9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9" customWidth="1" min="12" max="12"/>
    <col width="9" customWidth="1" min="13" max="13"/>
    <col width="18" customWidth="1" min="14" max="14"/>
    <col width="11" customWidth="1" min="15" max="15"/>
    <col width="10" customWidth="1" min="16" max="16"/>
    <col width="13" customWidth="1" min="17" max="17"/>
    <col width="12" customWidth="1" min="18" max="18"/>
    <col width="11" customWidth="1" min="19" max="19"/>
    <col width="22" customWidth="1" min="20" max="20"/>
  </cols>
  <sheetData>
    <row r="1" ht="28" customHeight="1">
      <c r="A1" s="5" t="str">
        <f>Config!$B$4&amp;" · Tabela de preços e referência · volume de "&amp;Config!$B$5</f>
        <v>Clínica Vida Plena (exemplo fictício) · Tabela de preços e referência · volume de Agosto de 2026</v>
      </c>
    </row>
    <row r="2">
      <c r="A2" s="6" t="inlineStr">
        <is>
          <t>Amarelo: procedimento, minutos, retorno, material, valor de cada pagador e o volume do mês (Painel da 01, por procedimento). Branco: custo cheio, mínimo, alvo, situação e valor médio praticado.</t>
        </is>
      </c>
    </row>
    <row r="3"/>
    <row r="4">
      <c r="A4" s="7" t="inlineStr">
        <is>
          <t>Hora mínima (05)</t>
        </is>
      </c>
      <c r="B4" s="8" t="n"/>
      <c r="C4" s="9" t="inlineStr">
        <is>
          <t>Particular abaixo do mínimo</t>
        </is>
      </c>
      <c r="D4" s="10" t="n"/>
      <c r="E4" s="9" t="inlineStr">
        <is>
          <t>Tabelas de convênio abaixo do custo cheio + imposto</t>
        </is>
      </c>
      <c r="F4" s="10" t="n"/>
      <c r="G4" s="11" t="inlineStr">
        <is>
          <t>Produção no mês (R$)</t>
        </is>
      </c>
      <c r="H4" s="12" t="n"/>
      <c r="I4" s="13" t="inlineStr">
        <is>
          <t>Valor médio por hora no mês</t>
        </is>
      </c>
      <c r="J4" s="14" t="n"/>
      <c r="K4" s="7" t="inlineStr">
        <is>
          <t>Contra a hora mínima</t>
        </is>
      </c>
      <c r="L4" s="8" t="n"/>
    </row>
    <row r="5" ht="30" customHeight="1">
      <c r="A5" s="15">
        <f>Config!$B$13</f>
        <v>338.983050847458</v>
      </c>
      <c r="B5" s="8" t="n"/>
      <c r="C5" s="16" t="str">
        <f>IF(NOT(ISNUMBER(Config!$B$13)),Config!$B$13,IF((SUMPRODUCT(($A$8:$A$19&lt;&gt;"")*(ISNUMBER($F$8:$F$19)=FALSE))+SUMPRODUCT(($A$8:$A$19&lt;&gt;"")*($H$8:$H$19=""))+SUMPRODUCT(ISTEXT($H$8:$M$19)+ISNUMBER($H$8:$M$19)*($H$8:$M$19&lt;0))+SUMPRODUCT(($A$8:$A$19="")*(($B$8:$B$19&lt;&gt;"")+($C$8:$C$19&lt;&gt;"")+($D$8:$D$19&lt;&gt;"")+($H$8:$H$19&lt;&gt;"")+($I$8:$I$19&lt;&gt;"")+($J$8:$J$19&lt;&gt;"")+($K$8:$K$19&lt;&gt;"")+($L$8:$L$19&lt;&gt;"")+($M$8:$M$19&lt;&gt;"")+($P$8:$P$19&lt;&gt;"")+($Q$8:$Q$19&lt;&gt;"")&gt;0)))&gt;0,(SUMPRODUCT(($A$8:$A$19&lt;&gt;"")*(ISNUMBER($F$8:$F$19)=FALSE))+SUMPRODUCT(($A$8:$A$19&lt;&gt;"")*($H$8:$H$19=""))+SUMPRODUCT(ISTEXT($H$8:$M$19)+ISNUMBER($H$8:$M$19)*($H$8:$M$19&lt;0))+SUMPRODUCT(($A$8:$A$19="")*(($B$8:$B$19&lt;&gt;"")+($C$8:$C$19&lt;&gt;"")+($D$8:$D$19&lt;&gt;"")+($H$8:$H$19&lt;&gt;"")+($I$8:$I$19&lt;&gt;"")+($J$8:$J$19&lt;&gt;"")+($K$8:$K$19&lt;&gt;"")+($L$8:$L$19&lt;&gt;"")+($M$8:$M$19&lt;&gt;"")+($P$8:$P$19&lt;&gt;"")+($Q$8:$Q$19&lt;&gt;"")&gt;0)))&amp;" linha(s) ou preço(s) incompletos",COUNTIF($N$8:$N$19,"Abaixo do mínimo")&amp;" de "&amp;COUNTA($A$8:$A$19)))</f>
        <v>0 de 7</v>
      </c>
      <c r="D5" s="10" t="n"/>
      <c r="E5" s="17">
        <f>IF(NOT(ISNUMBER(Config!$B$13)),Config!$B$13,IF((SUMPRODUCT(($A$8:$A$19&lt;&gt;"")*(ISNUMBER($F$8:$F$19)=FALSE))+SUMPRODUCT(($A$8:$A$19&lt;&gt;"")*($H$8:$H$19=""))+SUMPRODUCT(ISTEXT($H$8:$M$19)+ISNUMBER($H$8:$M$19)*($H$8:$M$19&lt;0))+SUMPRODUCT(($A$8:$A$19="")*(($B$8:$B$19&lt;&gt;"")+($C$8:$C$19&lt;&gt;"")+($D$8:$D$19&lt;&gt;"")+($H$8:$H$19&lt;&gt;"")+($I$8:$I$19&lt;&gt;"")+($J$8:$J$19&lt;&gt;"")+($K$8:$K$19&lt;&gt;"")+($L$8:$L$19&lt;&gt;"")+($M$8:$M$19&lt;&gt;"")+($P$8:$P$19&lt;&gt;"")+($Q$8:$Q$19&lt;&gt;"")&gt;0)))&gt;0,(SUMPRODUCT(($A$8:$A$19&lt;&gt;"")*(ISNUMBER($F$8:$F$19)=FALSE))+SUMPRODUCT(($A$8:$A$19&lt;&gt;"")*($H$8:$H$19=""))+SUMPRODUCT(ISTEXT($H$8:$M$19)+ISNUMBER($H$8:$M$19)*($H$8:$M$19&lt;0))+SUMPRODUCT(($A$8:$A$19="")*(($B$8:$B$19&lt;&gt;"")+($C$8:$C$19&lt;&gt;"")+($D$8:$D$19&lt;&gt;"")+($H$8:$H$19&lt;&gt;"")+($I$8:$I$19&lt;&gt;"")+($J$8:$J$19&lt;&gt;"")+($K$8:$K$19&lt;&gt;"")+($L$8:$L$19&lt;&gt;"")+($M$8:$M$19&lt;&gt;"")+($P$8:$P$19&lt;&gt;"")+($Q$8:$Q$19&lt;&gt;"")&gt;0)))&amp;" linha(s) ou preço(s) incompletos",SUM($O$8:$O$19)))</f>
        <v>14</v>
      </c>
      <c r="F5" s="10" t="n"/>
      <c r="G5" s="18">
        <f>IF((SUMPRODUCT((($P$8:$P$19&lt;&gt;"")+($Q$8:$Q$19&lt;&gt;"")&gt;0)*((ISNUMBER($P$8:$P$19)=FALSE)+ISNUMBER($P$8:$P$19)*($P$8:$P$19&lt;0)+(ISNUMBER($Q$8:$Q$19)=FALSE)+ISNUMBER($Q$8:$Q$19)*($Q$8:$Q$19&lt;0)&gt;0))+SUMPRODUCT(($A$8:$A$19="")*(($B$8:$B$19&lt;&gt;"")+($C$8:$C$19&lt;&gt;"")+($D$8:$D$19&lt;&gt;"")+($H$8:$H$19&lt;&gt;"")+($I$8:$I$19&lt;&gt;"")+($J$8:$J$19&lt;&gt;"")+($K$8:$K$19&lt;&gt;"")+($L$8:$L$19&lt;&gt;"")+($M$8:$M$19&lt;&gt;"")+($P$8:$P$19&lt;&gt;"")+($Q$8:$Q$19&lt;&gt;"")&gt;0)))&gt;0,"produção incompleta em "&amp;(SUMPRODUCT((($P$8:$P$19&lt;&gt;"")+($Q$8:$Q$19&lt;&gt;"")&gt;0)*((ISNUMBER($P$8:$P$19)=FALSE)+ISNUMBER($P$8:$P$19)*($P$8:$P$19&lt;0)+(ISNUMBER($Q$8:$Q$19)=FALSE)+ISNUMBER($Q$8:$Q$19)*($Q$8:$Q$19&lt;0)&gt;0))+SUMPRODUCT(($A$8:$A$19="")*(($B$8:$B$19&lt;&gt;"")+($C$8:$C$19&lt;&gt;"")+($D$8:$D$19&lt;&gt;"")+($H$8:$H$19&lt;&gt;"")+($I$8:$I$19&lt;&gt;"")+($J$8:$J$19&lt;&gt;"")+($K$8:$K$19&lt;&gt;"")+($L$8:$L$19&lt;&gt;"")+($M$8:$M$19&lt;&gt;"")+($P$8:$P$19&lt;&gt;"")+($Q$8:$Q$19&lt;&gt;"")&gt;0)))&amp;" linha(s)",SUM($Q$8:$Q$19))</f>
        <v>48631</v>
      </c>
      <c r="H5" s="12" t="n"/>
      <c r="I5" s="19">
        <f>IF((SUMPRODUCT((($P$8:$P$19&lt;&gt;"")+($Q$8:$Q$19&lt;&gt;"")&gt;0)*((ISNUMBER($P$8:$P$19)=FALSE)+ISNUMBER($P$8:$P$19)*($P$8:$P$19&lt;0)+(ISNUMBER($Q$8:$Q$19)=FALSE)+ISNUMBER($Q$8:$Q$19)*($Q$8:$Q$19&lt;0)+(ISNUMBER($B$8:$B$19)=FALSE)+ISNUMBER($B$8:$B$19)*($B$8:$B$19&lt;0)&gt;0))+SUMPRODUCT(($A$8:$A$19="")*(($B$8:$B$19&lt;&gt;"")+($C$8:$C$19&lt;&gt;"")+($D$8:$D$19&lt;&gt;"")+($H$8:$H$19&lt;&gt;"")+($I$8:$I$19&lt;&gt;"")+($J$8:$J$19&lt;&gt;"")+($K$8:$K$19&lt;&gt;"")+($L$8:$L$19&lt;&gt;"")+($M$8:$M$19&lt;&gt;"")+($P$8:$P$19&lt;&gt;"")+($Q$8:$Q$19&lt;&gt;"")&gt;0)))&gt;0,"volume incompleto em "&amp;(SUMPRODUCT((($P$8:$P$19&lt;&gt;"")+($Q$8:$Q$19&lt;&gt;"")&gt;0)*((ISNUMBER($P$8:$P$19)=FALSE)+ISNUMBER($P$8:$P$19)*($P$8:$P$19&lt;0)+(ISNUMBER($Q$8:$Q$19)=FALSE)+ISNUMBER($Q$8:$Q$19)*($Q$8:$Q$19&lt;0)+(ISNUMBER($B$8:$B$19)=FALSE)+ISNUMBER($B$8:$B$19)*($B$8:$B$19&lt;0)&gt;0))+SUMPRODUCT(($A$8:$A$19="")*(($B$8:$B$19&lt;&gt;"")+($C$8:$C$19&lt;&gt;"")+($D$8:$D$19&lt;&gt;"")+($H$8:$H$19&lt;&gt;"")+($I$8:$I$19&lt;&gt;"")+($J$8:$J$19&lt;&gt;"")+($K$8:$K$19&lt;&gt;"")+($L$8:$L$19&lt;&gt;"")+($M$8:$M$19&lt;&gt;"")+($P$8:$P$19&lt;&gt;"")+($Q$8:$Q$19&lt;&gt;"")&gt;0)))&amp;" linha(s)",IFERROR(SUM($Q$8:$Q$19)/(SUMPRODUCT($P$8:$P$19,$B$8:$B$19)/60),""))</f>
        <v>410.966197183099</v>
      </c>
      <c r="J5" s="14" t="n"/>
      <c r="K5" s="20">
        <f>IF(NOT(ISNUMBER(Config!$B$13)),"",IF(Config!$B$13=0,"sem base (mínimo zero)",IFERROR(I5/Config!$B$13-1,"")))</f>
        <v>0.212350281690141</v>
      </c>
      <c r="L5" s="8" t="n"/>
    </row>
    <row r="6"/>
    <row r="7" ht="44" customHeight="1">
      <c r="A7" s="21" t="inlineStr">
        <is>
          <t>Procedimento</t>
        </is>
      </c>
      <c r="B7" s="21" t="inlineStr">
        <is>
          <t>Minutos</t>
        </is>
      </c>
      <c r="C7" s="21" t="inlineStr">
        <is>
          <t>Gera retorno?</t>
        </is>
      </c>
      <c r="D7" s="21" t="inlineStr">
        <is>
          <t>Material (R$)</t>
        </is>
      </c>
      <c r="E7" s="21" t="inlineStr">
        <is>
          <t>Custo cheio (R$)</t>
        </is>
      </c>
      <c r="F7" s="21" t="inlineStr">
        <is>
          <t>Preço mínimo (R$)</t>
        </is>
      </c>
      <c r="G7" s="21" t="inlineStr">
        <is>
          <t>Preço alvo (R$)</t>
        </is>
      </c>
      <c r="H7" s="21" t="str">
        <f>IF(Config!$B$17="","",Config!$B$17)</f>
        <v>Particular</v>
      </c>
      <c r="I7" s="21" t="str">
        <f>IF(Config!$B$18="","",Config!$B$18)</f>
        <v>Saúde Total</v>
      </c>
      <c r="J7" s="21" t="str">
        <f>IF(Config!$B$19="","",Config!$B$19)</f>
        <v>MediPlan</v>
      </c>
      <c r="K7" s="21" t="str">
        <f>IF(Config!$B$20="","",Config!$B$20)</f>
        <v>Vida Care</v>
      </c>
      <c r="L7" s="21">
        <f>IF(Config!$B$21="","",Config!$B$21)</f>
        <v/>
      </c>
      <c r="M7" s="21">
        <f>IF(Config!$B$22="","",Config!$B$22)</f>
        <v/>
      </c>
      <c r="N7" s="21" t="inlineStr">
        <is>
          <t>Situação do particular</t>
        </is>
      </c>
      <c r="O7" s="21" t="inlineStr">
        <is>
          <t>Tabelas abaixo do custo cheio + imposto</t>
        </is>
      </c>
      <c r="P7" s="21" t="inlineStr">
        <is>
          <t>Realizados no mês</t>
        </is>
      </c>
      <c r="Q7" s="21" t="inlineStr">
        <is>
          <t>Produção no mês (R$)</t>
        </is>
      </c>
      <c r="R7" s="21" t="inlineStr">
        <is>
          <t>Valor médio praticado (R$)</t>
        </is>
      </c>
      <c r="S7" s="21" t="inlineStr">
        <is>
          <t>Valor médio contra o mínimo</t>
        </is>
      </c>
      <c r="T7" s="21" t="inlineStr">
        <is>
          <t>Referência de mercado (opcional)</t>
        </is>
      </c>
    </row>
    <row r="8">
      <c r="A8" s="22" t="inlineStr">
        <is>
          <t>Consulta</t>
        </is>
      </c>
      <c r="B8" s="23" t="n">
        <v>30</v>
      </c>
      <c r="C8" s="24" t="inlineStr">
        <is>
          <t>Sim</t>
        </is>
      </c>
      <c r="D8" s="25" t="n">
        <v>4</v>
      </c>
      <c r="E8" s="26">
        <f>IF(A8="","",IF(NOT(ISNUMBER((IF(NOT(IF(ISNUMBER(B8),AND(B8&gt;=0),FALSE)),"faltam os minutos",IF(AND(C8&lt;&gt;"Sim",C8&lt;&gt;"Não"),"falta: gera retorno?",IF(AND(C8="Sim",NOT(AND(IF(ISNUMBER(Config!$B$11),AND(Config!$B$11&gt;=0),FALSE),IF(ISNUMBER(Config!$B$12),AND(Config!$B$12&gt;=0),FALSE)))),"falta o retorno em Config",B8+IF(C8="Sim",Config!$B$11*Config!$B$12,0))))))),(IF(NOT(IF(ISNUMBER(B8),AND(B8&gt;=0),FALSE)),"faltam os minutos",IF(AND(C8&lt;&gt;"Sim",C8&lt;&gt;"Não"),"falta: gera retorno?",IF(AND(C8="Sim",NOT(AND(IF(ISNUMBER(Config!$B$11),AND(Config!$B$11&gt;=0),FALSE),IF(ISNUMBER(Config!$B$12),AND(Config!$B$12&gt;=0),FALSE)))),"falta o retorno em Config",B8+IF(C8="Sim",Config!$B$11*Config!$B$12,0))))),IF(NOT(IF(ISNUMBER(Config!$B$7),AND(Config!$B$7&gt;=0),FALSE)),"falta o custo-hora em Config",IF(NOT(IF(ISNUMBER(D8),AND(D8&gt;=0),FALSE)),"falta o material",(IF(NOT(IF(ISNUMBER(B8),AND(B8&gt;=0),FALSE)),"faltam os minutos",IF(AND(C8&lt;&gt;"Sim",C8&lt;&gt;"Não"),"falta: gera retorno?",IF(AND(C8="Sim",NOT(AND(IF(ISNUMBER(Config!$B$11),AND(Config!$B$11&gt;=0),FALSE),IF(ISNUMBER(Config!$B$12),AND(Config!$B$12&gt;=0),FALSE)))),"falta o retorno em Config",B8+IF(C8="Sim",Config!$B$11*Config!$B$12,0)))))/60*Config!$B$7+D8))))</f>
        <v>130.666666666667</v>
      </c>
      <c r="F8" s="27">
        <f>IF(A8="","",IF(NOT(ISNUMBER(E8)),E8,IF((Config!$B$15&lt;&gt;"Sim"),"margens inválidas (Config)",E8/(1-Config!$B$8-Config!$B$9))))</f>
        <v>221.468926553672</v>
      </c>
      <c r="G8" s="26">
        <f>IF(A8="","",IF(NOT(ISNUMBER(E8)),E8,IF((Config!$B$15&lt;&gt;"Sim"),"margens inválidas (Config)",E8/(1-Config!$B$8-Config!$B$10))))</f>
        <v>296.969696969697</v>
      </c>
      <c r="H8" s="28" t="n">
        <v>380</v>
      </c>
      <c r="I8" s="28" t="n">
        <v>120</v>
      </c>
      <c r="J8" s="28" t="n">
        <v>100</v>
      </c>
      <c r="K8" s="28" t="n">
        <v>90</v>
      </c>
      <c r="L8" s="28" t="n"/>
      <c r="M8" s="28" t="n"/>
      <c r="N8" s="29" t="str">
        <f>IF(A8="","",IF(H8="","Falta o preço particular",IF(NOT(IF(ISNUMBER(H8),AND(H8&gt;=0),FALSE)),"Preço inválido",IF(NOT(ISNUMBER(E8)),IF(IF(ISNUMBER(Config!$B$7),Config!$B$7&gt;=0,FALSE),"Faltam dados da linha","Falta o custo-hora"),IF(OR(NOT(ISNUMBER(F8)),NOT(ISNUMBER(G8))),"Margens inválidas",IF(H8=0,"Sem cobrança",IF(H8&lt;F8,"Abaixo do mínimo",IF(H8&lt;G8,"Entre mínimo e alvo","No alvo ou acima"))))))))</f>
        <v>No alvo ou acima</v>
      </c>
      <c r="O8" s="30">
        <f>IF(OR(A8="",NOT(ISNUMBER(F8))),"",IF(SUMPRODUCT(ISTEXT(I8:M8)+ISNUMBER(I8:M8)*(I8:M8&lt;0))&gt;0,"tabela inválida (texto ou negativo)",SUMPRODUCT((I8:M8&lt;&gt;"")*ISNUMBER(I8:M8)*(((I8:M8)&gt;0)+(N(H8)&gt;0)&gt;0)*(I8:M8*(1-Config!$B$8)&lt;E8))))</f>
        <v>3</v>
      </c>
      <c r="P8" s="23" t="n">
        <v>130</v>
      </c>
      <c r="Q8" s="28" t="n">
        <v>30730</v>
      </c>
      <c r="R8" s="26">
        <f>IF(OR(A8="",AND(P8="",Q8="")),"",IF(OR(NOT(IF(ISNUMBER(P8),AND(P8&gt;=0),FALSE)),NOT(IF(ISNUMBER(Q8),AND(Q8&gt;=0),FALSE))),"volume ou produção faltando ou negativos",IF(P8=0,"",Q8/P8)))</f>
        <v>236.384615384615</v>
      </c>
      <c r="S8" s="31">
        <f>IF(OR(NOT(ISNUMBER(R8)),NOT(ISNUMBER(F8)),NOT(IF(ISNUMBER(H8),H8&gt;0,FALSE))),"",IF(F8=0,"sem base (mínimo zero)",R8/F8-1))</f>
        <v>0.0673489010989012</v>
      </c>
      <c r="T8" s="22" t="n"/>
    </row>
    <row r="9">
      <c r="A9" s="22" t="inlineStr">
        <is>
          <t>Retorno</t>
        </is>
      </c>
      <c r="B9" s="23" t="n">
        <v>20</v>
      </c>
      <c r="C9" s="24" t="inlineStr">
        <is>
          <t>Não</t>
        </is>
      </c>
      <c r="D9" s="25" t="n">
        <v>2</v>
      </c>
      <c r="E9" s="26">
        <f>IF(A9="","",IF(NOT(ISNUMBER((IF(NOT(IF(ISNUMBER(B9),AND(B9&gt;=0),FALSE)),"faltam os minutos",IF(AND(C9&lt;&gt;"Sim",C9&lt;&gt;"Não"),"falta: gera retorno?",IF(AND(C9="Sim",NOT(AND(IF(ISNUMBER(Config!$B$11),AND(Config!$B$11&gt;=0),FALSE),IF(ISNUMBER(Config!$B$12),AND(Config!$B$12&gt;=0),FALSE)))),"falta o retorno em Config",B9+IF(C9="Sim",Config!$B$11*Config!$B$12,0))))))),(IF(NOT(IF(ISNUMBER(B9),AND(B9&gt;=0),FALSE)),"faltam os minutos",IF(AND(C9&lt;&gt;"Sim",C9&lt;&gt;"Não"),"falta: gera retorno?",IF(AND(C9="Sim",NOT(AND(IF(ISNUMBER(Config!$B$11),AND(Config!$B$11&gt;=0),FALSE),IF(ISNUMBER(Config!$B$12),AND(Config!$B$12&gt;=0),FALSE)))),"falta o retorno em Config",B9+IF(C9="Sim",Config!$B$11*Config!$B$12,0))))),IF(NOT(IF(ISNUMBER(Config!$B$7),AND(Config!$B$7&gt;=0),FALSE)),"falta o custo-hora em Config",IF(NOT(IF(ISNUMBER(D9),AND(D9&gt;=0),FALSE)),"falta o material",(IF(NOT(IF(ISNUMBER(B9),AND(B9&gt;=0),FALSE)),"faltam os minutos",IF(AND(C9&lt;&gt;"Sim",C9&lt;&gt;"Não"),"falta: gera retorno?",IF(AND(C9="Sim",NOT(AND(IF(ISNUMBER(Config!$B$11),AND(Config!$B$11&gt;=0),FALSE),IF(ISNUMBER(Config!$B$12),AND(Config!$B$12&gt;=0),FALSE)))),"falta o retorno em Config",B9+IF(C9="Sim",Config!$B$11*Config!$B$12,0)))))/60*Config!$B$7+D9))))</f>
        <v>68.6666666666667</v>
      </c>
      <c r="F9" s="27">
        <f>IF(A9="","",IF(NOT(ISNUMBER(E9)),E9,IF((Config!$B$15&lt;&gt;"Sim"),"margens inválidas (Config)",E9/(1-Config!$B$8-Config!$B$9))))</f>
        <v>116.38418079096</v>
      </c>
      <c r="G9" s="26">
        <f>IF(A9="","",IF(NOT(ISNUMBER(E9)),E9,IF((Config!$B$15&lt;&gt;"Sim"),"margens inválidas (Config)",E9/(1-Config!$B$8-Config!$B$10))))</f>
        <v>156.060606060606</v>
      </c>
      <c r="H9" s="28" t="n">
        <v>0</v>
      </c>
      <c r="I9" s="28" t="n">
        <v>0</v>
      </c>
      <c r="J9" s="28" t="n">
        <v>0</v>
      </c>
      <c r="K9" s="28" t="n">
        <v>0</v>
      </c>
      <c r="L9" s="28" t="n"/>
      <c r="M9" s="28" t="n"/>
      <c r="N9" s="29" t="str">
        <f>IF(A9="","",IF(H9="","Falta o preço particular",IF(NOT(IF(ISNUMBER(H9),AND(H9&gt;=0),FALSE)),"Preço inválido",IF(NOT(ISNUMBER(E9)),IF(IF(ISNUMBER(Config!$B$7),Config!$B$7&gt;=0,FALSE),"Faltam dados da linha","Falta o custo-hora"),IF(OR(NOT(ISNUMBER(F9)),NOT(ISNUMBER(G9))),"Margens inválidas",IF(H9=0,"Sem cobrança",IF(H9&lt;F9,"Abaixo do mínimo",IF(H9&lt;G9,"Entre mínimo e alvo","No alvo ou acima"))))))))</f>
        <v>Sem cobrança</v>
      </c>
      <c r="O9" s="30">
        <f>IF(OR(A9="",NOT(ISNUMBER(F9))),"",IF(SUMPRODUCT(ISTEXT(I9:M9)+ISNUMBER(I9:M9)*(I9:M9&lt;0))&gt;0,"tabela inválida (texto ou negativo)",SUMPRODUCT((I9:M9&lt;&gt;"")*ISNUMBER(I9:M9)*(((I9:M9)&gt;0)+(N(H9)&gt;0)&gt;0)*(I9:M9*(1-Config!$B$8)&lt;E9))))</f>
        <v>0</v>
      </c>
      <c r="P9" s="23" t="n">
        <v>48</v>
      </c>
      <c r="Q9" s="28" t="n">
        <v>0</v>
      </c>
      <c r="R9" s="26">
        <f>IF(OR(A9="",AND(P9="",Q9="")),"",IF(OR(NOT(IF(ISNUMBER(P9),AND(P9&gt;=0),FALSE)),NOT(IF(ISNUMBER(Q9),AND(Q9&gt;=0),FALSE))),"volume ou produção faltando ou negativos",IF(P9=0,"",Q9/P9)))</f>
        <v>0</v>
      </c>
      <c r="S9" s="31">
        <f>IF(OR(NOT(ISNUMBER(R9)),NOT(ISNUMBER(F9)),NOT(IF(ISNUMBER(H9),H9&gt;0,FALSE))),"",IF(F9=0,"sem base (mínimo zero)",R9/F9-1))</f>
        <v/>
      </c>
      <c r="T9" s="22" t="n"/>
    </row>
    <row r="10">
      <c r="A10" s="22" t="inlineStr">
        <is>
          <t>ECG</t>
        </is>
      </c>
      <c r="B10" s="23" t="n">
        <v>20</v>
      </c>
      <c r="C10" s="24" t="inlineStr">
        <is>
          <t>Não</t>
        </is>
      </c>
      <c r="D10" s="25" t="n">
        <v>8</v>
      </c>
      <c r="E10" s="26">
        <f>IF(A10="","",IF(NOT(ISNUMBER((IF(NOT(IF(ISNUMBER(B10),AND(B10&gt;=0),FALSE)),"faltam os minutos",IF(AND(C10&lt;&gt;"Sim",C10&lt;&gt;"Não"),"falta: gera retorno?",IF(AND(C10="Sim",NOT(AND(IF(ISNUMBER(Config!$B$11),AND(Config!$B$11&gt;=0),FALSE),IF(ISNUMBER(Config!$B$12),AND(Config!$B$12&gt;=0),FALSE)))),"falta o retorno em Config",B10+IF(C10="Sim",Config!$B$11*Config!$B$12,0))))))),(IF(NOT(IF(ISNUMBER(B10),AND(B10&gt;=0),FALSE)),"faltam os minutos",IF(AND(C10&lt;&gt;"Sim",C10&lt;&gt;"Não"),"falta: gera retorno?",IF(AND(C10="Sim",NOT(AND(IF(ISNUMBER(Config!$B$11),AND(Config!$B$11&gt;=0),FALSE),IF(ISNUMBER(Config!$B$12),AND(Config!$B$12&gt;=0),FALSE)))),"falta o retorno em Config",B10+IF(C10="Sim",Config!$B$11*Config!$B$12,0))))),IF(NOT(IF(ISNUMBER(Config!$B$7),AND(Config!$B$7&gt;=0),FALSE)),"falta o custo-hora em Config",IF(NOT(IF(ISNUMBER(D10),AND(D10&gt;=0),FALSE)),"falta o material",(IF(NOT(IF(ISNUMBER(B10),AND(B10&gt;=0),FALSE)),"faltam os minutos",IF(AND(C10&lt;&gt;"Sim",C10&lt;&gt;"Não"),"falta: gera retorno?",IF(AND(C10="Sim",NOT(AND(IF(ISNUMBER(Config!$B$11),AND(Config!$B$11&gt;=0),FALSE),IF(ISNUMBER(Config!$B$12),AND(Config!$B$12&gt;=0),FALSE)))),"falta o retorno em Config",B10+IF(C10="Sim",Config!$B$11*Config!$B$12,0)))))/60*Config!$B$7+D10))))</f>
        <v>74.6666666666667</v>
      </c>
      <c r="F10" s="27">
        <f>IF(A10="","",IF(NOT(ISNUMBER(E10)),E10,IF((Config!$B$15&lt;&gt;"Sim"),"margens inválidas (Config)",E10/(1-Config!$B$8-Config!$B$9))))</f>
        <v>126.553672316384</v>
      </c>
      <c r="G10" s="26">
        <f>IF(A10="","",IF(NOT(ISNUMBER(E10)),E10,IF((Config!$B$15&lt;&gt;"Sim"),"margens inválidas (Config)",E10/(1-Config!$B$8-Config!$B$10))))</f>
        <v>169.69696969697</v>
      </c>
      <c r="H10" s="28" t="n">
        <v>130</v>
      </c>
      <c r="I10" s="28" t="n">
        <v>40</v>
      </c>
      <c r="J10" s="28" t="n">
        <v>35</v>
      </c>
      <c r="K10" s="28" t="n">
        <v>32</v>
      </c>
      <c r="L10" s="28" t="n"/>
      <c r="M10" s="28" t="n"/>
      <c r="N10" s="29" t="str">
        <f>IF(A10="","",IF(H10="","Falta o preço particular",IF(NOT(IF(ISNUMBER(H10),AND(H10&gt;=0),FALSE)),"Preço inválido",IF(NOT(ISNUMBER(E10)),IF(IF(ISNUMBER(Config!$B$7),Config!$B$7&gt;=0,FALSE),"Faltam dados da linha","Falta o custo-hora"),IF(OR(NOT(ISNUMBER(F10)),NOT(ISNUMBER(G10))),"Margens inválidas",IF(H10=0,"Sem cobrança",IF(H10&lt;F10,"Abaixo do mínimo",IF(H10&lt;G10,"Entre mínimo e alvo","No alvo ou acima"))))))))</f>
        <v>Entre mínimo e alvo</v>
      </c>
      <c r="O10" s="30">
        <f>IF(OR(A10="",NOT(ISNUMBER(F10))),"",IF(SUMPRODUCT(ISTEXT(I10:M10)+ISNUMBER(I10:M10)*(I10:M10&lt;0))&gt;0,"tabela inválida (texto ou negativo)",SUMPRODUCT((I10:M10&lt;&gt;"")*ISNUMBER(I10:M10)*(((I10:M10)&gt;0)+(N(H10)&gt;0)&gt;0)*(I10:M10*(1-Config!$B$8)&lt;E10))))</f>
        <v>3</v>
      </c>
      <c r="P10" s="23" t="n">
        <v>18</v>
      </c>
      <c r="Q10" s="28" t="n">
        <v>1416</v>
      </c>
      <c r="R10" s="26">
        <f>IF(OR(A10="",AND(P10="",Q10="")),"",IF(OR(NOT(IF(ISNUMBER(P10),AND(P10&gt;=0),FALSE)),NOT(IF(ISNUMBER(Q10),AND(Q10&gt;=0),FALSE))),"volume ou produção faltando ou negativos",IF(P10=0,"",Q10/P10)))</f>
        <v>78.6666666666667</v>
      </c>
      <c r="S10" s="31">
        <f>IF(OR(NOT(ISNUMBER(R10)),NOT(ISNUMBER(F10)),NOT(IF(ISNUMBER(H10),H10&gt;0,FALSE))),"",IF(F10=0,"sem base (mínimo zero)",R10/F10-1))</f>
        <v>-0.378392857142857</v>
      </c>
      <c r="T10" s="22" t="n"/>
    </row>
    <row r="11">
      <c r="A11" s="22" t="inlineStr">
        <is>
          <t>MAPA</t>
        </is>
      </c>
      <c r="B11" s="23" t="n">
        <v>20</v>
      </c>
      <c r="C11" s="24" t="inlineStr">
        <is>
          <t>Não</t>
        </is>
      </c>
      <c r="D11" s="25" t="n">
        <v>15</v>
      </c>
      <c r="E11" s="26">
        <f>IF(A11="","",IF(NOT(ISNUMBER((IF(NOT(IF(ISNUMBER(B11),AND(B11&gt;=0),FALSE)),"faltam os minutos",IF(AND(C11&lt;&gt;"Sim",C11&lt;&gt;"Não"),"falta: gera retorno?",IF(AND(C11="Sim",NOT(AND(IF(ISNUMBER(Config!$B$11),AND(Config!$B$11&gt;=0),FALSE),IF(ISNUMBER(Config!$B$12),AND(Config!$B$12&gt;=0),FALSE)))),"falta o retorno em Config",B11+IF(C11="Sim",Config!$B$11*Config!$B$12,0))))))),(IF(NOT(IF(ISNUMBER(B11),AND(B11&gt;=0),FALSE)),"faltam os minutos",IF(AND(C11&lt;&gt;"Sim",C11&lt;&gt;"Não"),"falta: gera retorno?",IF(AND(C11="Sim",NOT(AND(IF(ISNUMBER(Config!$B$11),AND(Config!$B$11&gt;=0),FALSE),IF(ISNUMBER(Config!$B$12),AND(Config!$B$12&gt;=0),FALSE)))),"falta o retorno em Config",B11+IF(C11="Sim",Config!$B$11*Config!$B$12,0))))),IF(NOT(IF(ISNUMBER(Config!$B$7),AND(Config!$B$7&gt;=0),FALSE)),"falta o custo-hora em Config",IF(NOT(IF(ISNUMBER(D11),AND(D11&gt;=0),FALSE)),"falta o material",(IF(NOT(IF(ISNUMBER(B11),AND(B11&gt;=0),FALSE)),"faltam os minutos",IF(AND(C11&lt;&gt;"Sim",C11&lt;&gt;"Não"),"falta: gera retorno?",IF(AND(C11="Sim",NOT(AND(IF(ISNUMBER(Config!$B$11),AND(Config!$B$11&gt;=0),FALSE),IF(ISNUMBER(Config!$B$12),AND(Config!$B$12&gt;=0),FALSE)))),"falta o retorno em Config",B11+IF(C11="Sim",Config!$B$11*Config!$B$12,0)))))/60*Config!$B$7+D11))))</f>
        <v>81.6666666666667</v>
      </c>
      <c r="F11" s="27">
        <f>IF(A11="","",IF(NOT(ISNUMBER(E11)),E11,IF((Config!$B$15&lt;&gt;"Sim"),"margens inválidas (Config)",E11/(1-Config!$B$8-Config!$B$9))))</f>
        <v>138.418079096045</v>
      </c>
      <c r="G11" s="26">
        <f>IF(A11="","",IF(NOT(ISNUMBER(E11)),E11,IF((Config!$B$15&lt;&gt;"Sim"),"margens inválidas (Config)",E11/(1-Config!$B$8-Config!$B$10))))</f>
        <v>185.606060606061</v>
      </c>
      <c r="H11" s="28" t="n">
        <v>300</v>
      </c>
      <c r="I11" s="28" t="n">
        <v>95</v>
      </c>
      <c r="J11" s="28" t="n">
        <v>85</v>
      </c>
      <c r="K11" s="28" t="n">
        <v>75</v>
      </c>
      <c r="L11" s="28" t="n"/>
      <c r="M11" s="28" t="n"/>
      <c r="N11" s="29" t="str">
        <f>IF(A11="","",IF(H11="","Falta o preço particular",IF(NOT(IF(ISNUMBER(H11),AND(H11&gt;=0),FALSE)),"Preço inválido",IF(NOT(ISNUMBER(E11)),IF(IF(ISNUMBER(Config!$B$7),Config!$B$7&gt;=0,FALSE),"Faltam dados da linha","Falta o custo-hora"),IF(OR(NOT(ISNUMBER(F11)),NOT(ISNUMBER(G11))),"Margens inválidas",IF(H11=0,"Sem cobrança",IF(H11&lt;F11,"Abaixo do mínimo",IF(H11&lt;G11,"Entre mínimo e alvo","No alvo ou acima"))))))))</f>
        <v>No alvo ou acima</v>
      </c>
      <c r="O11" s="30">
        <f>IF(OR(A11="",NOT(ISNUMBER(F11))),"",IF(SUMPRODUCT(ISTEXT(I11:M11)+ISNUMBER(I11:M11)*(I11:M11&lt;0))&gt;0,"tabela inválida (texto ou negativo)",SUMPRODUCT((I11:M11&lt;&gt;"")*ISNUMBER(I11:M11)*(((I11:M11)&gt;0)+(N(H11)&gt;0)&gt;0)*(I11:M11*(1-Config!$B$8)&lt;E11))))</f>
        <v>2</v>
      </c>
      <c r="P11" s="23" t="n">
        <v>8</v>
      </c>
      <c r="Q11" s="28" t="n">
        <v>1345</v>
      </c>
      <c r="R11" s="26">
        <f>IF(OR(A11="",AND(P11="",Q11="")),"",IF(OR(NOT(IF(ISNUMBER(P11),AND(P11&gt;=0),FALSE)),NOT(IF(ISNUMBER(Q11),AND(Q11&gt;=0),FALSE))),"volume ou produção faltando ou negativos",IF(P11=0,"",Q11/P11)))</f>
        <v>168.125</v>
      </c>
      <c r="S11" s="31">
        <f>IF(OR(NOT(ISNUMBER(R11)),NOT(ISNUMBER(F11)),NOT(IF(ISNUMBER(H11),H11&gt;0,FALSE))),"",IF(F11=0,"sem base (mínimo zero)",R11/F11-1))</f>
        <v>0.214617346938776</v>
      </c>
      <c r="T11" s="22" t="n"/>
    </row>
    <row r="12">
      <c r="A12" s="22" t="inlineStr">
        <is>
          <t>Holter</t>
        </is>
      </c>
      <c r="B12" s="23" t="n">
        <v>20</v>
      </c>
      <c r="C12" s="24" t="inlineStr">
        <is>
          <t>Não</t>
        </is>
      </c>
      <c r="D12" s="25" t="n">
        <v>18</v>
      </c>
      <c r="E12" s="26">
        <f>IF(A12="","",IF(NOT(ISNUMBER((IF(NOT(IF(ISNUMBER(B12),AND(B12&gt;=0),FALSE)),"faltam os minutos",IF(AND(C12&lt;&gt;"Sim",C12&lt;&gt;"Não"),"falta: gera retorno?",IF(AND(C12="Sim",NOT(AND(IF(ISNUMBER(Config!$B$11),AND(Config!$B$11&gt;=0),FALSE),IF(ISNUMBER(Config!$B$12),AND(Config!$B$12&gt;=0),FALSE)))),"falta o retorno em Config",B12+IF(C12="Sim",Config!$B$11*Config!$B$12,0))))))),(IF(NOT(IF(ISNUMBER(B12),AND(B12&gt;=0),FALSE)),"faltam os minutos",IF(AND(C12&lt;&gt;"Sim",C12&lt;&gt;"Não"),"falta: gera retorno?",IF(AND(C12="Sim",NOT(AND(IF(ISNUMBER(Config!$B$11),AND(Config!$B$11&gt;=0),FALSE),IF(ISNUMBER(Config!$B$12),AND(Config!$B$12&gt;=0),FALSE)))),"falta o retorno em Config",B12+IF(C12="Sim",Config!$B$11*Config!$B$12,0))))),IF(NOT(IF(ISNUMBER(Config!$B$7),AND(Config!$B$7&gt;=0),FALSE)),"falta o custo-hora em Config",IF(NOT(IF(ISNUMBER(D12),AND(D12&gt;=0),FALSE)),"falta o material",(IF(NOT(IF(ISNUMBER(B12),AND(B12&gt;=0),FALSE)),"faltam os minutos",IF(AND(C12&lt;&gt;"Sim",C12&lt;&gt;"Não"),"falta: gera retorno?",IF(AND(C12="Sim",NOT(AND(IF(ISNUMBER(Config!$B$11),AND(Config!$B$11&gt;=0),FALSE),IF(ISNUMBER(Config!$B$12),AND(Config!$B$12&gt;=0),FALSE)))),"falta o retorno em Config",B12+IF(C12="Sim",Config!$B$11*Config!$B$12,0)))))/60*Config!$B$7+D12))))</f>
        <v>84.6666666666667</v>
      </c>
      <c r="F12" s="27">
        <f>IF(A12="","",IF(NOT(ISNUMBER(E12)),E12,IF((Config!$B$15&lt;&gt;"Sim"),"margens inválidas (Config)",E12/(1-Config!$B$8-Config!$B$9))))</f>
        <v>143.502824858757</v>
      </c>
      <c r="G12" s="26">
        <f>IF(A12="","",IF(NOT(ISNUMBER(E12)),E12,IF((Config!$B$15&lt;&gt;"Sim"),"margens inválidas (Config)",E12/(1-Config!$B$8-Config!$B$10))))</f>
        <v>192.424242424242</v>
      </c>
      <c r="H12" s="28" t="n">
        <v>350</v>
      </c>
      <c r="I12" s="28" t="n">
        <v>105</v>
      </c>
      <c r="J12" s="28" t="n">
        <v>95</v>
      </c>
      <c r="K12" s="28" t="n">
        <v>85</v>
      </c>
      <c r="L12" s="28" t="n"/>
      <c r="M12" s="28" t="n"/>
      <c r="N12" s="29" t="str">
        <f>IF(A12="","",IF(H12="","Falta o preço particular",IF(NOT(IF(ISNUMBER(H12),AND(H12&gt;=0),FALSE)),"Preço inválido",IF(NOT(ISNUMBER(E12)),IF(IF(ISNUMBER(Config!$B$7),Config!$B$7&gt;=0,FALSE),"Faltam dados da linha","Falta o custo-hora"),IF(OR(NOT(ISNUMBER(F12)),NOT(ISNUMBER(G12))),"Margens inválidas",IF(H12=0,"Sem cobrança",IF(H12&lt;F12,"Abaixo do mínimo",IF(H12&lt;G12,"Entre mínimo e alvo","No alvo ou acima"))))))))</f>
        <v>No alvo ou acima</v>
      </c>
      <c r="O12" s="30">
        <f>IF(OR(A12="",NOT(ISNUMBER(F12))),"",IF(SUMPRODUCT(ISTEXT(I12:M12)+ISNUMBER(I12:M12)*(I12:M12&lt;0))&gt;0,"tabela inválida (texto ou negativo)",SUMPRODUCT((I12:M12&lt;&gt;"")*ISNUMBER(I12:M12)*(((I12:M12)&gt;0)+(N(H12)&gt;0)&gt;0)*(I12:M12*(1-Config!$B$8)&lt;E12))))</f>
        <v>2</v>
      </c>
      <c r="P12" s="23" t="n">
        <v>10</v>
      </c>
      <c r="Q12" s="28" t="n">
        <v>2490</v>
      </c>
      <c r="R12" s="26">
        <f>IF(OR(A12="",AND(P12="",Q12="")),"",IF(OR(NOT(IF(ISNUMBER(P12),AND(P12&gt;=0),FALSE)),NOT(IF(ISNUMBER(Q12),AND(Q12&gt;=0),FALSE))),"volume ou produção faltando ou negativos",IF(P12=0,"",Q12/P12)))</f>
        <v>249</v>
      </c>
      <c r="S12" s="31">
        <f>IF(OR(NOT(ISNUMBER(R12)),NOT(ISNUMBER(F12)),NOT(IF(ISNUMBER(H12),H12&gt;0,FALSE))),"",IF(F12=0,"sem base (mínimo zero)",R12/F12-1))</f>
        <v>0.735157480314961</v>
      </c>
      <c r="T12" s="22" t="n"/>
    </row>
    <row r="13">
      <c r="A13" s="22" t="inlineStr">
        <is>
          <t>Teste ergométrico</t>
        </is>
      </c>
      <c r="B13" s="23" t="n">
        <v>40</v>
      </c>
      <c r="C13" s="24" t="inlineStr">
        <is>
          <t>Não</t>
        </is>
      </c>
      <c r="D13" s="25" t="n">
        <v>25</v>
      </c>
      <c r="E13" s="26">
        <f>IF(A13="","",IF(NOT(ISNUMBER((IF(NOT(IF(ISNUMBER(B13),AND(B13&gt;=0),FALSE)),"faltam os minutos",IF(AND(C13&lt;&gt;"Sim",C13&lt;&gt;"Não"),"falta: gera retorno?",IF(AND(C13="Sim",NOT(AND(IF(ISNUMBER(Config!$B$11),AND(Config!$B$11&gt;=0),FALSE),IF(ISNUMBER(Config!$B$12),AND(Config!$B$12&gt;=0),FALSE)))),"falta o retorno em Config",B13+IF(C13="Sim",Config!$B$11*Config!$B$12,0))))))),(IF(NOT(IF(ISNUMBER(B13),AND(B13&gt;=0),FALSE)),"faltam os minutos",IF(AND(C13&lt;&gt;"Sim",C13&lt;&gt;"Não"),"falta: gera retorno?",IF(AND(C13="Sim",NOT(AND(IF(ISNUMBER(Config!$B$11),AND(Config!$B$11&gt;=0),FALSE),IF(ISNUMBER(Config!$B$12),AND(Config!$B$12&gt;=0),FALSE)))),"falta o retorno em Config",B13+IF(C13="Sim",Config!$B$11*Config!$B$12,0))))),IF(NOT(IF(ISNUMBER(Config!$B$7),AND(Config!$B$7&gt;=0),FALSE)),"falta o custo-hora em Config",IF(NOT(IF(ISNUMBER(D13),AND(D13&gt;=0),FALSE)),"falta o material",(IF(NOT(IF(ISNUMBER(B13),AND(B13&gt;=0),FALSE)),"faltam os minutos",IF(AND(C13&lt;&gt;"Sim",C13&lt;&gt;"Não"),"falta: gera retorno?",IF(AND(C13="Sim",NOT(AND(IF(ISNUMBER(Config!$B$11),AND(Config!$B$11&gt;=0),FALSE),IF(ISNUMBER(Config!$B$12),AND(Config!$B$12&gt;=0),FALSE)))),"falta o retorno em Config",B13+IF(C13="Sim",Config!$B$11*Config!$B$12,0)))))/60*Config!$B$7+D13))))</f>
        <v>158.333333333333</v>
      </c>
      <c r="F13" s="27">
        <f>IF(A13="","",IF(NOT(ISNUMBER(E13)),E13,IF((Config!$B$15&lt;&gt;"Sim"),"margens inválidas (Config)",E13/(1-Config!$B$8-Config!$B$9))))</f>
        <v>268.361581920904</v>
      </c>
      <c r="G13" s="26">
        <f>IF(A13="","",IF(NOT(ISNUMBER(E13)),E13,IF((Config!$B$15&lt;&gt;"Sim"),"margens inválidas (Config)",E13/(1-Config!$B$8-Config!$B$10))))</f>
        <v>359.848484848485</v>
      </c>
      <c r="H13" s="28" t="n">
        <v>450</v>
      </c>
      <c r="I13" s="28" t="n">
        <v>140</v>
      </c>
      <c r="J13" s="28" t="n">
        <v>125</v>
      </c>
      <c r="K13" s="28" t="n">
        <v>110</v>
      </c>
      <c r="L13" s="28" t="n"/>
      <c r="M13" s="28" t="n"/>
      <c r="N13" s="29" t="str">
        <f>IF(A13="","",IF(H13="","Falta o preço particular",IF(NOT(IF(ISNUMBER(H13),AND(H13&gt;=0),FALSE)),"Preço inválido",IF(NOT(ISNUMBER(E13)),IF(IF(ISNUMBER(Config!$B$7),Config!$B$7&gt;=0,FALSE),"Faltam dados da linha","Falta o custo-hora"),IF(OR(NOT(ISNUMBER(F13)),NOT(ISNUMBER(G13))),"Margens inválidas",IF(H13=0,"Sem cobrança",IF(H13&lt;F13,"Abaixo do mínimo",IF(H13&lt;G13,"Entre mínimo e alvo","No alvo ou acima"))))))))</f>
        <v>No alvo ou acima</v>
      </c>
      <c r="O13" s="30">
        <f>IF(OR(A13="",NOT(ISNUMBER(F13))),"",IF(SUMPRODUCT(ISTEXT(I13:M13)+ISNUMBER(I13:M13)*(I13:M13&lt;0))&gt;0,"tabela inválida (texto ou negativo)",SUMPRODUCT((I13:M13&lt;&gt;"")*ISNUMBER(I13:M13)*(((I13:M13)&gt;0)+(N(H13)&gt;0)&gt;0)*(I13:M13*(1-Config!$B$8)&lt;E13))))</f>
        <v>3</v>
      </c>
      <c r="P13" s="23" t="n">
        <v>8</v>
      </c>
      <c r="Q13" s="28" t="n">
        <v>2270</v>
      </c>
      <c r="R13" s="26">
        <f>IF(OR(A13="",AND(P13="",Q13="")),"",IF(OR(NOT(IF(ISNUMBER(P13),AND(P13&gt;=0),FALSE)),NOT(IF(ISNUMBER(Q13),AND(Q13&gt;=0),FALSE))),"volume ou produção faltando ou negativos",IF(P13=0,"",Q13/P13)))</f>
        <v>283.75</v>
      </c>
      <c r="S13" s="31">
        <f>IF(OR(NOT(ISNUMBER(R13)),NOT(ISNUMBER(F13)),NOT(IF(ISNUMBER(H13),H13&gt;0,FALSE))),"",IF(F13=0,"sem base (mínimo zero)",R13/F13-1))</f>
        <v>0.0573421052631582</v>
      </c>
      <c r="T13" s="22" t="n"/>
    </row>
    <row r="14">
      <c r="A14" s="22" t="inlineStr">
        <is>
          <t>Avaliação endócrina</t>
        </is>
      </c>
      <c r="B14" s="23" t="n">
        <v>40</v>
      </c>
      <c r="C14" s="24" t="inlineStr">
        <is>
          <t>Sim</t>
        </is>
      </c>
      <c r="D14" s="25" t="n">
        <v>4</v>
      </c>
      <c r="E14" s="26">
        <f>IF(A14="","",IF(NOT(ISNUMBER((IF(NOT(IF(ISNUMBER(B14),AND(B14&gt;=0),FALSE)),"faltam os minutos",IF(AND(C14&lt;&gt;"Sim",C14&lt;&gt;"Não"),"falta: gera retorno?",IF(AND(C14="Sim",NOT(AND(IF(ISNUMBER(Config!$B$11),AND(Config!$B$11&gt;=0),FALSE),IF(ISNUMBER(Config!$B$12),AND(Config!$B$12&gt;=0),FALSE)))),"falta o retorno em Config",B14+IF(C14="Sim",Config!$B$11*Config!$B$12,0))))))),(IF(NOT(IF(ISNUMBER(B14),AND(B14&gt;=0),FALSE)),"faltam os minutos",IF(AND(C14&lt;&gt;"Sim",C14&lt;&gt;"Não"),"falta: gera retorno?",IF(AND(C14="Sim",NOT(AND(IF(ISNUMBER(Config!$B$11),AND(Config!$B$11&gt;=0),FALSE),IF(ISNUMBER(Config!$B$12),AND(Config!$B$12&gt;=0),FALSE)))),"falta o retorno em Config",B14+IF(C14="Sim",Config!$B$11*Config!$B$12,0))))),IF(NOT(IF(ISNUMBER(Config!$B$7),AND(Config!$B$7&gt;=0),FALSE)),"falta o custo-hora em Config",IF(NOT(IF(ISNUMBER(D14),AND(D14&gt;=0),FALSE)),"falta o material",(IF(NOT(IF(ISNUMBER(B14),AND(B14&gt;=0),FALSE)),"faltam os minutos",IF(AND(C14&lt;&gt;"Sim",C14&lt;&gt;"Não"),"falta: gera retorno?",IF(AND(C14="Sim",NOT(AND(IF(ISNUMBER(Config!$B$11),AND(Config!$B$11&gt;=0),FALSE),IF(ISNUMBER(Config!$B$12),AND(Config!$B$12&gt;=0),FALSE)))),"falta o retorno em Config",B14+IF(C14="Sim",Config!$B$11*Config!$B$12,0)))))/60*Config!$B$7+D14))))</f>
        <v>164</v>
      </c>
      <c r="F14" s="27">
        <f>IF(A14="","",IF(NOT(ISNUMBER(E14)),E14,IF((Config!$B$15&lt;&gt;"Sim"),"margens inválidas (Config)",E14/(1-Config!$B$8-Config!$B$9))))</f>
        <v>277.966101694915</v>
      </c>
      <c r="G14" s="26">
        <f>IF(A14="","",IF(NOT(ISNUMBER(E14)),E14,IF((Config!$B$15&lt;&gt;"Sim"),"margens inválidas (Config)",E14/(1-Config!$B$8-Config!$B$10))))</f>
        <v>372.727272727273</v>
      </c>
      <c r="H14" s="28" t="n">
        <v>400</v>
      </c>
      <c r="I14" s="28" t="n">
        <v>130</v>
      </c>
      <c r="J14" s="28" t="n"/>
      <c r="K14" s="28" t="n"/>
      <c r="L14" s="28" t="n"/>
      <c r="M14" s="28" t="n"/>
      <c r="N14" s="29" t="str">
        <f>IF(A14="","",IF(H14="","Falta o preço particular",IF(NOT(IF(ISNUMBER(H14),AND(H14&gt;=0),FALSE)),"Preço inválido",IF(NOT(ISNUMBER(E14)),IF(IF(ISNUMBER(Config!$B$7),Config!$B$7&gt;=0,FALSE),"Faltam dados da linha","Falta o custo-hora"),IF(OR(NOT(ISNUMBER(F14)),NOT(ISNUMBER(G14))),"Margens inválidas",IF(H14=0,"Sem cobrança",IF(H14&lt;F14,"Abaixo do mínimo",IF(H14&lt;G14,"Entre mínimo e alvo","No alvo ou acima"))))))))</f>
        <v>No alvo ou acima</v>
      </c>
      <c r="O14" s="30">
        <f>IF(OR(A14="",NOT(ISNUMBER(F14))),"",IF(SUMPRODUCT(ISTEXT(I14:M14)+ISNUMBER(I14:M14)*(I14:M14&lt;0))&gt;0,"tabela inválida (texto ou negativo)",SUMPRODUCT((I14:M14&lt;&gt;"")*ISNUMBER(I14:M14)*(((I14:M14)&gt;0)+(N(H14)&gt;0)&gt;0)*(I14:M14*(1-Config!$B$8)&lt;E14))))</f>
        <v>1</v>
      </c>
      <c r="P14" s="23" t="n">
        <v>30</v>
      </c>
      <c r="Q14" s="28" t="n">
        <v>10380</v>
      </c>
      <c r="R14" s="26">
        <f>IF(OR(A14="",AND(P14="",Q14="")),"",IF(OR(NOT(IF(ISNUMBER(P14),AND(P14&gt;=0),FALSE)),NOT(IF(ISNUMBER(Q14),AND(Q14&gt;=0),FALSE))),"volume ou produção faltando ou negativos",IF(P14=0,"",Q14/P14)))</f>
        <v>346</v>
      </c>
      <c r="S14" s="31">
        <f>IF(OR(NOT(ISNUMBER(R14)),NOT(ISNUMBER(F14)),NOT(IF(ISNUMBER(H14),H14&gt;0,FALSE))),"",IF(F14=0,"sem base (mínimo zero)",R14/F14-1))</f>
        <v>0.244756097560976</v>
      </c>
      <c r="T14" s="22" t="n"/>
    </row>
    <row r="15">
      <c r="A15" s="22" t="n"/>
      <c r="B15" s="23" t="n"/>
      <c r="C15" s="24" t="n"/>
      <c r="D15" s="25" t="n"/>
      <c r="E15" s="26">
        <f>IF(A15="","",IF(NOT(ISNUMBER((IF(NOT(IF(ISNUMBER(B15),AND(B15&gt;=0),FALSE)),"faltam os minutos",IF(AND(C15&lt;&gt;"Sim",C15&lt;&gt;"Não"),"falta: gera retorno?",IF(AND(C15="Sim",NOT(AND(IF(ISNUMBER(Config!$B$11),AND(Config!$B$11&gt;=0),FALSE),IF(ISNUMBER(Config!$B$12),AND(Config!$B$12&gt;=0),FALSE)))),"falta o retorno em Config",B15+IF(C15="Sim",Config!$B$11*Config!$B$12,0))))))),(IF(NOT(IF(ISNUMBER(B15),AND(B15&gt;=0),FALSE)),"faltam os minutos",IF(AND(C15&lt;&gt;"Sim",C15&lt;&gt;"Não"),"falta: gera retorno?",IF(AND(C15="Sim",NOT(AND(IF(ISNUMBER(Config!$B$11),AND(Config!$B$11&gt;=0),FALSE),IF(ISNUMBER(Config!$B$12),AND(Config!$B$12&gt;=0),FALSE)))),"falta o retorno em Config",B15+IF(C15="Sim",Config!$B$11*Config!$B$12,0))))),IF(NOT(IF(ISNUMBER(Config!$B$7),AND(Config!$B$7&gt;=0),FALSE)),"falta o custo-hora em Config",IF(NOT(IF(ISNUMBER(D15),AND(D15&gt;=0),FALSE)),"falta o material",(IF(NOT(IF(ISNUMBER(B15),AND(B15&gt;=0),FALSE)),"faltam os minutos",IF(AND(C15&lt;&gt;"Sim",C15&lt;&gt;"Não"),"falta: gera retorno?",IF(AND(C15="Sim",NOT(AND(IF(ISNUMBER(Config!$B$11),AND(Config!$B$11&gt;=0),FALSE),IF(ISNUMBER(Config!$B$12),AND(Config!$B$12&gt;=0),FALSE)))),"falta o retorno em Config",B15+IF(C15="Sim",Config!$B$11*Config!$B$12,0)))))/60*Config!$B$7+D15))))</f>
        <v/>
      </c>
      <c r="F15" s="27">
        <f>IF(A15="","",IF(NOT(ISNUMBER(E15)),E15,IF((Config!$B$15&lt;&gt;"Sim"),"margens inválidas (Config)",E15/(1-Config!$B$8-Config!$B$9))))</f>
        <v/>
      </c>
      <c r="G15" s="26">
        <f>IF(A15="","",IF(NOT(ISNUMBER(E15)),E15,IF((Config!$B$15&lt;&gt;"Sim"),"margens inválidas (Config)",E15/(1-Config!$B$8-Config!$B$10))))</f>
        <v/>
      </c>
      <c r="H15" s="28" t="n"/>
      <c r="I15" s="28" t="n"/>
      <c r="J15" s="28" t="n"/>
      <c r="K15" s="28" t="n"/>
      <c r="L15" s="28" t="n"/>
      <c r="M15" s="28" t="n"/>
      <c r="N15" s="29">
        <f>IF(A15="","",IF(H15="","Falta o preço particular",IF(NOT(IF(ISNUMBER(H15),AND(H15&gt;=0),FALSE)),"Preço inválido",IF(NOT(ISNUMBER(E15)),IF(IF(ISNUMBER(Config!$B$7),Config!$B$7&gt;=0,FALSE),"Faltam dados da linha","Falta o custo-hora"),IF(OR(NOT(ISNUMBER(F15)),NOT(ISNUMBER(G15))),"Margens inválidas",IF(H15=0,"Sem cobrança",IF(H15&lt;F15,"Abaixo do mínimo",IF(H15&lt;G15,"Entre mínimo e alvo","No alvo ou acima"))))))))</f>
        <v/>
      </c>
      <c r="O15" s="30">
        <f>IF(OR(A15="",NOT(ISNUMBER(F15))),"",IF(SUMPRODUCT(ISTEXT(I15:M15)+ISNUMBER(I15:M15)*(I15:M15&lt;0))&gt;0,"tabela inválida (texto ou negativo)",SUMPRODUCT((I15:M15&lt;&gt;"")*ISNUMBER(I15:M15)*(((I15:M15)&gt;0)+(N(H15)&gt;0)&gt;0)*(I15:M15*(1-Config!$B$8)&lt;E15))))</f>
        <v/>
      </c>
      <c r="P15" s="23" t="n"/>
      <c r="Q15" s="28" t="n"/>
      <c r="R15" s="26">
        <f>IF(OR(A15="",AND(P15="",Q15="")),"",IF(OR(NOT(IF(ISNUMBER(P15),AND(P15&gt;=0),FALSE)),NOT(IF(ISNUMBER(Q15),AND(Q15&gt;=0),FALSE))),"volume ou produção faltando ou negativos",IF(P15=0,"",Q15/P15)))</f>
        <v/>
      </c>
      <c r="S15" s="31">
        <f>IF(OR(NOT(ISNUMBER(R15)),NOT(ISNUMBER(F15)),NOT(IF(ISNUMBER(H15),H15&gt;0,FALSE))),"",IF(F15=0,"sem base (mínimo zero)",R15/F15-1))</f>
        <v/>
      </c>
      <c r="T15" s="22" t="n"/>
    </row>
    <row r="16">
      <c r="A16" s="22" t="n"/>
      <c r="B16" s="23" t="n"/>
      <c r="C16" s="24" t="n"/>
      <c r="D16" s="25" t="n"/>
      <c r="E16" s="26">
        <f>IF(A16="","",IF(NOT(ISNUMBER((IF(NOT(IF(ISNUMBER(B16),AND(B16&gt;=0),FALSE)),"faltam os minutos",IF(AND(C16&lt;&gt;"Sim",C16&lt;&gt;"Não"),"falta: gera retorno?",IF(AND(C16="Sim",NOT(AND(IF(ISNUMBER(Config!$B$11),AND(Config!$B$11&gt;=0),FALSE),IF(ISNUMBER(Config!$B$12),AND(Config!$B$12&gt;=0),FALSE)))),"falta o retorno em Config",B16+IF(C16="Sim",Config!$B$11*Config!$B$12,0))))))),(IF(NOT(IF(ISNUMBER(B16),AND(B16&gt;=0),FALSE)),"faltam os minutos",IF(AND(C16&lt;&gt;"Sim",C16&lt;&gt;"Não"),"falta: gera retorno?",IF(AND(C16="Sim",NOT(AND(IF(ISNUMBER(Config!$B$11),AND(Config!$B$11&gt;=0),FALSE),IF(ISNUMBER(Config!$B$12),AND(Config!$B$12&gt;=0),FALSE)))),"falta o retorno em Config",B16+IF(C16="Sim",Config!$B$11*Config!$B$12,0))))),IF(NOT(IF(ISNUMBER(Config!$B$7),AND(Config!$B$7&gt;=0),FALSE)),"falta o custo-hora em Config",IF(NOT(IF(ISNUMBER(D16),AND(D16&gt;=0),FALSE)),"falta o material",(IF(NOT(IF(ISNUMBER(B16),AND(B16&gt;=0),FALSE)),"faltam os minutos",IF(AND(C16&lt;&gt;"Sim",C16&lt;&gt;"Não"),"falta: gera retorno?",IF(AND(C16="Sim",NOT(AND(IF(ISNUMBER(Config!$B$11),AND(Config!$B$11&gt;=0),FALSE),IF(ISNUMBER(Config!$B$12),AND(Config!$B$12&gt;=0),FALSE)))),"falta o retorno em Config",B16+IF(C16="Sim",Config!$B$11*Config!$B$12,0)))))/60*Config!$B$7+D16))))</f>
        <v/>
      </c>
      <c r="F16" s="27">
        <f>IF(A16="","",IF(NOT(ISNUMBER(E16)),E16,IF((Config!$B$15&lt;&gt;"Sim"),"margens inválidas (Config)",E16/(1-Config!$B$8-Config!$B$9))))</f>
        <v/>
      </c>
      <c r="G16" s="26">
        <f>IF(A16="","",IF(NOT(ISNUMBER(E16)),E16,IF((Config!$B$15&lt;&gt;"Sim"),"margens inválidas (Config)",E16/(1-Config!$B$8-Config!$B$10))))</f>
        <v/>
      </c>
      <c r="H16" s="28" t="n"/>
      <c r="I16" s="28" t="n"/>
      <c r="J16" s="28" t="n"/>
      <c r="K16" s="28" t="n"/>
      <c r="L16" s="28" t="n"/>
      <c r="M16" s="28" t="n"/>
      <c r="N16" s="29">
        <f>IF(A16="","",IF(H16="","Falta o preço particular",IF(NOT(IF(ISNUMBER(H16),AND(H16&gt;=0),FALSE)),"Preço inválido",IF(NOT(ISNUMBER(E16)),IF(IF(ISNUMBER(Config!$B$7),Config!$B$7&gt;=0,FALSE),"Faltam dados da linha","Falta o custo-hora"),IF(OR(NOT(ISNUMBER(F16)),NOT(ISNUMBER(G16))),"Margens inválidas",IF(H16=0,"Sem cobrança",IF(H16&lt;F16,"Abaixo do mínimo",IF(H16&lt;G16,"Entre mínimo e alvo","No alvo ou acima"))))))))</f>
        <v/>
      </c>
      <c r="O16" s="30">
        <f>IF(OR(A16="",NOT(ISNUMBER(F16))),"",IF(SUMPRODUCT(ISTEXT(I16:M16)+ISNUMBER(I16:M16)*(I16:M16&lt;0))&gt;0,"tabela inválida (texto ou negativo)",SUMPRODUCT((I16:M16&lt;&gt;"")*ISNUMBER(I16:M16)*(((I16:M16)&gt;0)+(N(H16)&gt;0)&gt;0)*(I16:M16*(1-Config!$B$8)&lt;E16))))</f>
        <v/>
      </c>
      <c r="P16" s="23" t="n"/>
      <c r="Q16" s="28" t="n"/>
      <c r="R16" s="26">
        <f>IF(OR(A16="",AND(P16="",Q16="")),"",IF(OR(NOT(IF(ISNUMBER(P16),AND(P16&gt;=0),FALSE)),NOT(IF(ISNUMBER(Q16),AND(Q16&gt;=0),FALSE))),"volume ou produção faltando ou negativos",IF(P16=0,"",Q16/P16)))</f>
        <v/>
      </c>
      <c r="S16" s="31">
        <f>IF(OR(NOT(ISNUMBER(R16)),NOT(ISNUMBER(F16)),NOT(IF(ISNUMBER(H16),H16&gt;0,FALSE))),"",IF(F16=0,"sem base (mínimo zero)",R16/F16-1))</f>
        <v/>
      </c>
      <c r="T16" s="22" t="n"/>
    </row>
    <row r="17">
      <c r="A17" s="22" t="n"/>
      <c r="B17" s="23" t="n"/>
      <c r="C17" s="24" t="n"/>
      <c r="D17" s="25" t="n"/>
      <c r="E17" s="26">
        <f>IF(A17="","",IF(NOT(ISNUMBER((IF(NOT(IF(ISNUMBER(B17),AND(B17&gt;=0),FALSE)),"faltam os minutos",IF(AND(C17&lt;&gt;"Sim",C17&lt;&gt;"Não"),"falta: gera retorno?",IF(AND(C17="Sim",NOT(AND(IF(ISNUMBER(Config!$B$11),AND(Config!$B$11&gt;=0),FALSE),IF(ISNUMBER(Config!$B$12),AND(Config!$B$12&gt;=0),FALSE)))),"falta o retorno em Config",B17+IF(C17="Sim",Config!$B$11*Config!$B$12,0))))))),(IF(NOT(IF(ISNUMBER(B17),AND(B17&gt;=0),FALSE)),"faltam os minutos",IF(AND(C17&lt;&gt;"Sim",C17&lt;&gt;"Não"),"falta: gera retorno?",IF(AND(C17="Sim",NOT(AND(IF(ISNUMBER(Config!$B$11),AND(Config!$B$11&gt;=0),FALSE),IF(ISNUMBER(Config!$B$12),AND(Config!$B$12&gt;=0),FALSE)))),"falta o retorno em Config",B17+IF(C17="Sim",Config!$B$11*Config!$B$12,0))))),IF(NOT(IF(ISNUMBER(Config!$B$7),AND(Config!$B$7&gt;=0),FALSE)),"falta o custo-hora em Config",IF(NOT(IF(ISNUMBER(D17),AND(D17&gt;=0),FALSE)),"falta o material",(IF(NOT(IF(ISNUMBER(B17),AND(B17&gt;=0),FALSE)),"faltam os minutos",IF(AND(C17&lt;&gt;"Sim",C17&lt;&gt;"Não"),"falta: gera retorno?",IF(AND(C17="Sim",NOT(AND(IF(ISNUMBER(Config!$B$11),AND(Config!$B$11&gt;=0),FALSE),IF(ISNUMBER(Config!$B$12),AND(Config!$B$12&gt;=0),FALSE)))),"falta o retorno em Config",B17+IF(C17="Sim",Config!$B$11*Config!$B$12,0)))))/60*Config!$B$7+D17))))</f>
        <v/>
      </c>
      <c r="F17" s="27">
        <f>IF(A17="","",IF(NOT(ISNUMBER(E17)),E17,IF((Config!$B$15&lt;&gt;"Sim"),"margens inválidas (Config)",E17/(1-Config!$B$8-Config!$B$9))))</f>
        <v/>
      </c>
      <c r="G17" s="26">
        <f>IF(A17="","",IF(NOT(ISNUMBER(E17)),E17,IF((Config!$B$15&lt;&gt;"Sim"),"margens inválidas (Config)",E17/(1-Config!$B$8-Config!$B$10))))</f>
        <v/>
      </c>
      <c r="H17" s="28" t="n"/>
      <c r="I17" s="28" t="n"/>
      <c r="J17" s="28" t="n"/>
      <c r="K17" s="28" t="n"/>
      <c r="L17" s="28" t="n"/>
      <c r="M17" s="28" t="n"/>
      <c r="N17" s="29">
        <f>IF(A17="","",IF(H17="","Falta o preço particular",IF(NOT(IF(ISNUMBER(H17),AND(H17&gt;=0),FALSE)),"Preço inválido",IF(NOT(ISNUMBER(E17)),IF(IF(ISNUMBER(Config!$B$7),Config!$B$7&gt;=0,FALSE),"Faltam dados da linha","Falta o custo-hora"),IF(OR(NOT(ISNUMBER(F17)),NOT(ISNUMBER(G17))),"Margens inválidas",IF(H17=0,"Sem cobrança",IF(H17&lt;F17,"Abaixo do mínimo",IF(H17&lt;G17,"Entre mínimo e alvo","No alvo ou acima"))))))))</f>
        <v/>
      </c>
      <c r="O17" s="30">
        <f>IF(OR(A17="",NOT(ISNUMBER(F17))),"",IF(SUMPRODUCT(ISTEXT(I17:M17)+ISNUMBER(I17:M17)*(I17:M17&lt;0))&gt;0,"tabela inválida (texto ou negativo)",SUMPRODUCT((I17:M17&lt;&gt;"")*ISNUMBER(I17:M17)*(((I17:M17)&gt;0)+(N(H17)&gt;0)&gt;0)*(I17:M17*(1-Config!$B$8)&lt;E17))))</f>
        <v/>
      </c>
      <c r="P17" s="23" t="n"/>
      <c r="Q17" s="28" t="n"/>
      <c r="R17" s="26">
        <f>IF(OR(A17="",AND(P17="",Q17="")),"",IF(OR(NOT(IF(ISNUMBER(P17),AND(P17&gt;=0),FALSE)),NOT(IF(ISNUMBER(Q17),AND(Q17&gt;=0),FALSE))),"volume ou produção faltando ou negativos",IF(P17=0,"",Q17/P17)))</f>
        <v/>
      </c>
      <c r="S17" s="31">
        <f>IF(OR(NOT(ISNUMBER(R17)),NOT(ISNUMBER(F17)),NOT(IF(ISNUMBER(H17),H17&gt;0,FALSE))),"",IF(F17=0,"sem base (mínimo zero)",R17/F17-1))</f>
        <v/>
      </c>
      <c r="T17" s="22" t="n"/>
    </row>
    <row r="18">
      <c r="A18" s="22" t="n"/>
      <c r="B18" s="23" t="n"/>
      <c r="C18" s="24" t="n"/>
      <c r="D18" s="25" t="n"/>
      <c r="E18" s="26">
        <f>IF(A18="","",IF(NOT(ISNUMBER((IF(NOT(IF(ISNUMBER(B18),AND(B18&gt;=0),FALSE)),"faltam os minutos",IF(AND(C18&lt;&gt;"Sim",C18&lt;&gt;"Não"),"falta: gera retorno?",IF(AND(C18="Sim",NOT(AND(IF(ISNUMBER(Config!$B$11),AND(Config!$B$11&gt;=0),FALSE),IF(ISNUMBER(Config!$B$12),AND(Config!$B$12&gt;=0),FALSE)))),"falta o retorno em Config",B18+IF(C18="Sim",Config!$B$11*Config!$B$12,0))))))),(IF(NOT(IF(ISNUMBER(B18),AND(B18&gt;=0),FALSE)),"faltam os minutos",IF(AND(C18&lt;&gt;"Sim",C18&lt;&gt;"Não"),"falta: gera retorno?",IF(AND(C18="Sim",NOT(AND(IF(ISNUMBER(Config!$B$11),AND(Config!$B$11&gt;=0),FALSE),IF(ISNUMBER(Config!$B$12),AND(Config!$B$12&gt;=0),FALSE)))),"falta o retorno em Config",B18+IF(C18="Sim",Config!$B$11*Config!$B$12,0))))),IF(NOT(IF(ISNUMBER(Config!$B$7),AND(Config!$B$7&gt;=0),FALSE)),"falta o custo-hora em Config",IF(NOT(IF(ISNUMBER(D18),AND(D18&gt;=0),FALSE)),"falta o material",(IF(NOT(IF(ISNUMBER(B18),AND(B18&gt;=0),FALSE)),"faltam os minutos",IF(AND(C18&lt;&gt;"Sim",C18&lt;&gt;"Não"),"falta: gera retorno?",IF(AND(C18="Sim",NOT(AND(IF(ISNUMBER(Config!$B$11),AND(Config!$B$11&gt;=0),FALSE),IF(ISNUMBER(Config!$B$12),AND(Config!$B$12&gt;=0),FALSE)))),"falta o retorno em Config",B18+IF(C18="Sim",Config!$B$11*Config!$B$12,0)))))/60*Config!$B$7+D18))))</f>
        <v/>
      </c>
      <c r="F18" s="27">
        <f>IF(A18="","",IF(NOT(ISNUMBER(E18)),E18,IF((Config!$B$15&lt;&gt;"Sim"),"margens inválidas (Config)",E18/(1-Config!$B$8-Config!$B$9))))</f>
        <v/>
      </c>
      <c r="G18" s="26">
        <f>IF(A18="","",IF(NOT(ISNUMBER(E18)),E18,IF((Config!$B$15&lt;&gt;"Sim"),"margens inválidas (Config)",E18/(1-Config!$B$8-Config!$B$10))))</f>
        <v/>
      </c>
      <c r="H18" s="28" t="n"/>
      <c r="I18" s="28" t="n"/>
      <c r="J18" s="28" t="n"/>
      <c r="K18" s="28" t="n"/>
      <c r="L18" s="28" t="n"/>
      <c r="M18" s="28" t="n"/>
      <c r="N18" s="29">
        <f>IF(A18="","",IF(H18="","Falta o preço particular",IF(NOT(IF(ISNUMBER(H18),AND(H18&gt;=0),FALSE)),"Preço inválido",IF(NOT(ISNUMBER(E18)),IF(IF(ISNUMBER(Config!$B$7),Config!$B$7&gt;=0,FALSE),"Faltam dados da linha","Falta o custo-hora"),IF(OR(NOT(ISNUMBER(F18)),NOT(ISNUMBER(G18))),"Margens inválidas",IF(H18=0,"Sem cobrança",IF(H18&lt;F18,"Abaixo do mínimo",IF(H18&lt;G18,"Entre mínimo e alvo","No alvo ou acima"))))))))</f>
        <v/>
      </c>
      <c r="O18" s="30">
        <f>IF(OR(A18="",NOT(ISNUMBER(F18))),"",IF(SUMPRODUCT(ISTEXT(I18:M18)+ISNUMBER(I18:M18)*(I18:M18&lt;0))&gt;0,"tabela inválida (texto ou negativo)",SUMPRODUCT((I18:M18&lt;&gt;"")*ISNUMBER(I18:M18)*(((I18:M18)&gt;0)+(N(H18)&gt;0)&gt;0)*(I18:M18*(1-Config!$B$8)&lt;E18))))</f>
        <v/>
      </c>
      <c r="P18" s="23" t="n"/>
      <c r="Q18" s="28" t="n"/>
      <c r="R18" s="26">
        <f>IF(OR(A18="",AND(P18="",Q18="")),"",IF(OR(NOT(IF(ISNUMBER(P18),AND(P18&gt;=0),FALSE)),NOT(IF(ISNUMBER(Q18),AND(Q18&gt;=0),FALSE))),"volume ou produção faltando ou negativos",IF(P18=0,"",Q18/P18)))</f>
        <v/>
      </c>
      <c r="S18" s="31">
        <f>IF(OR(NOT(ISNUMBER(R18)),NOT(ISNUMBER(F18)),NOT(IF(ISNUMBER(H18),H18&gt;0,FALSE))),"",IF(F18=0,"sem base (mínimo zero)",R18/F18-1))</f>
        <v/>
      </c>
      <c r="T18" s="22" t="n"/>
    </row>
    <row r="19">
      <c r="A19" s="22" t="n"/>
      <c r="B19" s="23" t="n"/>
      <c r="C19" s="24" t="n"/>
      <c r="D19" s="25" t="n"/>
      <c r="E19" s="26">
        <f>IF(A19="","",IF(NOT(ISNUMBER((IF(NOT(IF(ISNUMBER(B19),AND(B19&gt;=0),FALSE)),"faltam os minutos",IF(AND(C19&lt;&gt;"Sim",C19&lt;&gt;"Não"),"falta: gera retorno?",IF(AND(C19="Sim",NOT(AND(IF(ISNUMBER(Config!$B$11),AND(Config!$B$11&gt;=0),FALSE),IF(ISNUMBER(Config!$B$12),AND(Config!$B$12&gt;=0),FALSE)))),"falta o retorno em Config",B19+IF(C19="Sim",Config!$B$11*Config!$B$12,0))))))),(IF(NOT(IF(ISNUMBER(B19),AND(B19&gt;=0),FALSE)),"faltam os minutos",IF(AND(C19&lt;&gt;"Sim",C19&lt;&gt;"Não"),"falta: gera retorno?",IF(AND(C19="Sim",NOT(AND(IF(ISNUMBER(Config!$B$11),AND(Config!$B$11&gt;=0),FALSE),IF(ISNUMBER(Config!$B$12),AND(Config!$B$12&gt;=0),FALSE)))),"falta o retorno em Config",B19+IF(C19="Sim",Config!$B$11*Config!$B$12,0))))),IF(NOT(IF(ISNUMBER(Config!$B$7),AND(Config!$B$7&gt;=0),FALSE)),"falta o custo-hora em Config",IF(NOT(IF(ISNUMBER(D19),AND(D19&gt;=0),FALSE)),"falta o material",(IF(NOT(IF(ISNUMBER(B19),AND(B19&gt;=0),FALSE)),"faltam os minutos",IF(AND(C19&lt;&gt;"Sim",C19&lt;&gt;"Não"),"falta: gera retorno?",IF(AND(C19="Sim",NOT(AND(IF(ISNUMBER(Config!$B$11),AND(Config!$B$11&gt;=0),FALSE),IF(ISNUMBER(Config!$B$12),AND(Config!$B$12&gt;=0),FALSE)))),"falta o retorno em Config",B19+IF(C19="Sim",Config!$B$11*Config!$B$12,0)))))/60*Config!$B$7+D19))))</f>
        <v/>
      </c>
      <c r="F19" s="27">
        <f>IF(A19="","",IF(NOT(ISNUMBER(E19)),E19,IF((Config!$B$15&lt;&gt;"Sim"),"margens inválidas (Config)",E19/(1-Config!$B$8-Config!$B$9))))</f>
        <v/>
      </c>
      <c r="G19" s="26">
        <f>IF(A19="","",IF(NOT(ISNUMBER(E19)),E19,IF((Config!$B$15&lt;&gt;"Sim"),"margens inválidas (Config)",E19/(1-Config!$B$8-Config!$B$10))))</f>
        <v/>
      </c>
      <c r="H19" s="28" t="n"/>
      <c r="I19" s="28" t="n"/>
      <c r="J19" s="28" t="n"/>
      <c r="K19" s="28" t="n"/>
      <c r="L19" s="28" t="n"/>
      <c r="M19" s="28" t="n"/>
      <c r="N19" s="29">
        <f>IF(A19="","",IF(H19="","Falta o preço particular",IF(NOT(IF(ISNUMBER(H19),AND(H19&gt;=0),FALSE)),"Preço inválido",IF(NOT(ISNUMBER(E19)),IF(IF(ISNUMBER(Config!$B$7),Config!$B$7&gt;=0,FALSE),"Faltam dados da linha","Falta o custo-hora"),IF(OR(NOT(ISNUMBER(F19)),NOT(ISNUMBER(G19))),"Margens inválidas",IF(H19=0,"Sem cobrança",IF(H19&lt;F19,"Abaixo do mínimo",IF(H19&lt;G19,"Entre mínimo e alvo","No alvo ou acima"))))))))</f>
        <v/>
      </c>
      <c r="O19" s="30">
        <f>IF(OR(A19="",NOT(ISNUMBER(F19))),"",IF(SUMPRODUCT(ISTEXT(I19:M19)+ISNUMBER(I19:M19)*(I19:M19&lt;0))&gt;0,"tabela inválida (texto ou negativo)",SUMPRODUCT((I19:M19&lt;&gt;"")*ISNUMBER(I19:M19)*(((I19:M19)&gt;0)+(N(H19)&gt;0)&gt;0)*(I19:M19*(1-Config!$B$8)&lt;E19))))</f>
        <v/>
      </c>
      <c r="P19" s="23" t="n"/>
      <c r="Q19" s="28" t="n"/>
      <c r="R19" s="26">
        <f>IF(OR(A19="",AND(P19="",Q19="")),"",IF(OR(NOT(IF(ISNUMBER(P19),AND(P19&gt;=0),FALSE)),NOT(IF(ISNUMBER(Q19),AND(Q19&gt;=0),FALSE))),"volume ou produção faltando ou negativos",IF(P19=0,"",Q19/P19)))</f>
        <v/>
      </c>
      <c r="S19" s="31">
        <f>IF(OR(NOT(ISNUMBER(R19)),NOT(ISNUMBER(F19)),NOT(IF(ISNUMBER(H19),H19&gt;0,FALSE))),"",IF(F19=0,"sem base (mínimo zero)",R19/F19-1))</f>
        <v/>
      </c>
      <c r="T19" s="22" t="n"/>
    </row>
    <row r="20"/>
    <row r="21" ht="30" customHeight="1">
      <c r="A21" s="32" t="inlineStr">
        <is>
          <t>Custo cheio, preço mínimo e preço alvo: a mesma conta da planilha 06 (tempo com retorno × custo-hora + material; ÷ (1 − impostos − margem)). Tabela de convênio em vermelho: depois dos impostos não cobre o custo cheio (margem negativa) — é a mesma conta e o mesmo número do KPI "Tabelas de convênio abaixo do custo cheio + imposto" e do Resumo da planilha 06. Tabela 0 em procedimento cobrado conta (o convênio não paga o custo); no retorno, com particular 0 também, não conta. Amarela: cobre o custo, mas não a margem mínima.</t>
        </is>
      </c>
    </row>
    <row r="22" ht="30" customHeight="1">
      <c r="A22" s="32" t="inlineStr">
        <is>
          <t>Realizados e Produção no mês: copie de "Por procedimento" no Painel da planilha 01 com o mês fechado escolhido em Config (no exemplo, agosto de 2026). Valor médio praticado = produção ÷ realizados: mistura particular e convênio, por isso fica abaixo do preço particular.</t>
        </is>
      </c>
    </row>
    <row r="23" ht="30" customHeight="1">
      <c r="A23" s="32" t="inlineStr">
        <is>
          <t>Referência de mercado é opcional e sua: pesquise a faixa da sua região e anote; a planilha não afirma preço de mercado. A tabela de preços e a divulgação de valores seguem as regras do CFM: revise antes de publicar.</t>
        </is>
      </c>
    </row>
    <row r="24"/>
    <row r="25">
      <c r="A25" s="33" t="inlineStr">
        <is>
          <t>Valor por hora de atendimento, por pagador (tabela ÷ tempo com retorno)</t>
        </is>
      </c>
    </row>
    <row r="26" ht="32" customHeight="1">
      <c r="A26" s="21" t="inlineStr">
        <is>
          <t>Procedimento</t>
        </is>
      </c>
      <c r="B26" s="21" t="inlineStr">
        <is>
          <t>Minutos com retorno</t>
        </is>
      </c>
      <c r="C26" s="21" t="str">
        <f>IF(Config!$B$17="","",Config!$B$17)</f>
        <v>Particular</v>
      </c>
      <c r="D26" s="21" t="str">
        <f>IF(Config!$B$18="","",Config!$B$18)</f>
        <v>Saúde Total</v>
      </c>
      <c r="E26" s="21" t="str">
        <f>IF(Config!$B$19="","",Config!$B$19)</f>
        <v>MediPlan</v>
      </c>
      <c r="F26" s="21" t="str">
        <f>IF(Config!$B$20="","",Config!$B$20)</f>
        <v>Vida Care</v>
      </c>
      <c r="G26" s="21">
        <f>IF(Config!$B$21="","",Config!$B$21)</f>
        <v/>
      </c>
      <c r="H26" s="21">
        <f>IF(Config!$B$22="","",Config!$B$22)</f>
        <v/>
      </c>
      <c r="I26" s="21" t="inlineStr">
        <is>
          <t>Hora mínima</t>
        </is>
      </c>
      <c r="J26" s="21" t="inlineStr">
        <is>
          <t>Hora alvo</t>
        </is>
      </c>
    </row>
    <row r="27">
      <c r="A27" s="34" t="str">
        <f>IF($A8="","",$A8)</f>
        <v>Consulta</v>
      </c>
      <c r="B27" s="35">
        <f>IF($A8="","",IF(NOT(IF(ISNUMBER(B8),AND(B8&gt;=0),FALSE)),"faltam os minutos",IF(AND(C8&lt;&gt;"Sim",C8&lt;&gt;"Não"),"falta: gera retorno?",IF(AND(C8="Sim",NOT(AND(IF(ISNUMBER(Config!$B$11),AND(Config!$B$11&gt;=0),FALSE),IF(ISNUMBER(Config!$B$12),AND(Config!$B$12&gt;=0),FALSE)))),"falta o retorno em Config",B8+IF(C8="Sim",Config!$B$11*Config!$B$12,0)))))</f>
        <v>38</v>
      </c>
      <c r="C27" s="36">
        <f>IF(OR($A8="",H8="",NOT(IF(ISNUMBER(H8),AND(H8&gt;=0),FALSE)),NOT(ISNUMBER($B27)),N($B27)=0),"",H8/($B27/60))</f>
        <v>600</v>
      </c>
      <c r="D27" s="36">
        <f>IF(OR($A8="",I8="",NOT(IF(ISNUMBER(I8),AND(I8&gt;=0),FALSE)),NOT(ISNUMBER($B27)),N($B27)=0),"",I8/($B27/60))</f>
        <v>189.473684210526</v>
      </c>
      <c r="E27" s="36">
        <f>IF(OR($A8="",J8="",NOT(IF(ISNUMBER(J8),AND(J8&gt;=0),FALSE)),NOT(ISNUMBER($B27)),N($B27)=0),"",J8/($B27/60))</f>
        <v>157.894736842105</v>
      </c>
      <c r="F27" s="36">
        <f>IF(OR($A8="",K8="",NOT(IF(ISNUMBER(K8),AND(K8&gt;=0),FALSE)),NOT(ISNUMBER($B27)),N($B27)=0),"",K8/($B27/60))</f>
        <v>142.105263157895</v>
      </c>
      <c r="G27" s="36">
        <f>IF(OR($A8="",L8="",NOT(IF(ISNUMBER(L8),AND(L8&gt;=0),FALSE)),NOT(ISNUMBER($B27)),N($B27)=0),"",L8/($B27/60))</f>
        <v/>
      </c>
      <c r="H27" s="36">
        <f>IF(OR($A8="",M8="",NOT(IF(ISNUMBER(M8),AND(M8&gt;=0),FALSE)),NOT(ISNUMBER($B27)),N($B27)=0),"",M8/($B27/60))</f>
        <v/>
      </c>
      <c r="I27" s="36">
        <f>IF($A8="","",Config!$B$13)</f>
        <v>338.983050847458</v>
      </c>
      <c r="J27" s="36">
        <f>IF($A8="","",Config!$B$14)</f>
        <v>454.545454545455</v>
      </c>
    </row>
    <row r="28">
      <c r="A28" s="34" t="str">
        <f>IF($A9="","",$A9)</f>
        <v>Retorno</v>
      </c>
      <c r="B28" s="35">
        <f>IF($A9="","",IF(NOT(IF(ISNUMBER(B9),AND(B9&gt;=0),FALSE)),"faltam os minutos",IF(AND(C9&lt;&gt;"Sim",C9&lt;&gt;"Não"),"falta: gera retorno?",IF(AND(C9="Sim",NOT(AND(IF(ISNUMBER(Config!$B$11),AND(Config!$B$11&gt;=0),FALSE),IF(ISNUMBER(Config!$B$12),AND(Config!$B$12&gt;=0),FALSE)))),"falta o retorno em Config",B9+IF(C9="Sim",Config!$B$11*Config!$B$12,0)))))</f>
        <v>20</v>
      </c>
      <c r="C28" s="36">
        <f>IF(OR($A9="",H9="",NOT(IF(ISNUMBER(H9),AND(H9&gt;=0),FALSE)),NOT(ISNUMBER($B28)),N($B28)=0),"",H9/($B28/60))</f>
        <v>0</v>
      </c>
      <c r="D28" s="36">
        <f>IF(OR($A9="",I9="",NOT(IF(ISNUMBER(I9),AND(I9&gt;=0),FALSE)),NOT(ISNUMBER($B28)),N($B28)=0),"",I9/($B28/60))</f>
        <v>0</v>
      </c>
      <c r="E28" s="36">
        <f>IF(OR($A9="",J9="",NOT(IF(ISNUMBER(J9),AND(J9&gt;=0),FALSE)),NOT(ISNUMBER($B28)),N($B28)=0),"",J9/($B28/60))</f>
        <v>0</v>
      </c>
      <c r="F28" s="36">
        <f>IF(OR($A9="",K9="",NOT(IF(ISNUMBER(K9),AND(K9&gt;=0),FALSE)),NOT(ISNUMBER($B28)),N($B28)=0),"",K9/($B28/60))</f>
        <v>0</v>
      </c>
      <c r="G28" s="36">
        <f>IF(OR($A9="",L9="",NOT(IF(ISNUMBER(L9),AND(L9&gt;=0),FALSE)),NOT(ISNUMBER($B28)),N($B28)=0),"",L9/($B28/60))</f>
        <v/>
      </c>
      <c r="H28" s="36">
        <f>IF(OR($A9="",M9="",NOT(IF(ISNUMBER(M9),AND(M9&gt;=0),FALSE)),NOT(ISNUMBER($B28)),N($B28)=0),"",M9/($B28/60))</f>
        <v/>
      </c>
      <c r="I28" s="36">
        <f>IF($A9="","",Config!$B$13)</f>
        <v>338.983050847458</v>
      </c>
      <c r="J28" s="36">
        <f>IF($A9="","",Config!$B$14)</f>
        <v>454.545454545455</v>
      </c>
    </row>
    <row r="29">
      <c r="A29" s="34" t="str">
        <f>IF($A10="","",$A10)</f>
        <v>ECG</v>
      </c>
      <c r="B29" s="35">
        <f>IF($A10="","",IF(NOT(IF(ISNUMBER(B10),AND(B10&gt;=0),FALSE)),"faltam os minutos",IF(AND(C10&lt;&gt;"Sim",C10&lt;&gt;"Não"),"falta: gera retorno?",IF(AND(C10="Sim",NOT(AND(IF(ISNUMBER(Config!$B$11),AND(Config!$B$11&gt;=0),FALSE),IF(ISNUMBER(Config!$B$12),AND(Config!$B$12&gt;=0),FALSE)))),"falta o retorno em Config",B10+IF(C10="Sim",Config!$B$11*Config!$B$12,0)))))</f>
        <v>20</v>
      </c>
      <c r="C29" s="36">
        <f>IF(OR($A10="",H10="",NOT(IF(ISNUMBER(H10),AND(H10&gt;=0),FALSE)),NOT(ISNUMBER($B29)),N($B29)=0),"",H10/($B29/60))</f>
        <v>390</v>
      </c>
      <c r="D29" s="36">
        <f>IF(OR($A10="",I10="",NOT(IF(ISNUMBER(I10),AND(I10&gt;=0),FALSE)),NOT(ISNUMBER($B29)),N($B29)=0),"",I10/($B29/60))</f>
        <v>120</v>
      </c>
      <c r="E29" s="36">
        <f>IF(OR($A10="",J10="",NOT(IF(ISNUMBER(J10),AND(J10&gt;=0),FALSE)),NOT(ISNUMBER($B29)),N($B29)=0),"",J10/($B29/60))</f>
        <v>105</v>
      </c>
      <c r="F29" s="36">
        <f>IF(OR($A10="",K10="",NOT(IF(ISNUMBER(K10),AND(K10&gt;=0),FALSE)),NOT(ISNUMBER($B29)),N($B29)=0),"",K10/($B29/60))</f>
        <v>96</v>
      </c>
      <c r="G29" s="36">
        <f>IF(OR($A10="",L10="",NOT(IF(ISNUMBER(L10),AND(L10&gt;=0),FALSE)),NOT(ISNUMBER($B29)),N($B29)=0),"",L10/($B29/60))</f>
        <v/>
      </c>
      <c r="H29" s="36">
        <f>IF(OR($A10="",M10="",NOT(IF(ISNUMBER(M10),AND(M10&gt;=0),FALSE)),NOT(ISNUMBER($B29)),N($B29)=0),"",M10/($B29/60))</f>
        <v/>
      </c>
      <c r="I29" s="36">
        <f>IF($A10="","",Config!$B$13)</f>
        <v>338.983050847458</v>
      </c>
      <c r="J29" s="36">
        <f>IF($A10="","",Config!$B$14)</f>
        <v>454.545454545455</v>
      </c>
    </row>
    <row r="30">
      <c r="A30" s="34" t="str">
        <f>IF($A11="","",$A11)</f>
        <v>MAPA</v>
      </c>
      <c r="B30" s="35">
        <f>IF($A11="","",IF(NOT(IF(ISNUMBER(B11),AND(B11&gt;=0),FALSE)),"faltam os minutos",IF(AND(C11&lt;&gt;"Sim",C11&lt;&gt;"Não"),"falta: gera retorno?",IF(AND(C11="Sim",NOT(AND(IF(ISNUMBER(Config!$B$11),AND(Config!$B$11&gt;=0),FALSE),IF(ISNUMBER(Config!$B$12),AND(Config!$B$12&gt;=0),FALSE)))),"falta o retorno em Config",B11+IF(C11="Sim",Config!$B$11*Config!$B$12,0)))))</f>
        <v>20</v>
      </c>
      <c r="C30" s="36">
        <f>IF(OR($A11="",H11="",NOT(IF(ISNUMBER(H11),AND(H11&gt;=0),FALSE)),NOT(ISNUMBER($B30)),N($B30)=0),"",H11/($B30/60))</f>
        <v>900</v>
      </c>
      <c r="D30" s="36">
        <f>IF(OR($A11="",I11="",NOT(IF(ISNUMBER(I11),AND(I11&gt;=0),FALSE)),NOT(ISNUMBER($B30)),N($B30)=0),"",I11/($B30/60))</f>
        <v>285</v>
      </c>
      <c r="E30" s="36">
        <f>IF(OR($A11="",J11="",NOT(IF(ISNUMBER(J11),AND(J11&gt;=0),FALSE)),NOT(ISNUMBER($B30)),N($B30)=0),"",J11/($B30/60))</f>
        <v>255</v>
      </c>
      <c r="F30" s="36">
        <f>IF(OR($A11="",K11="",NOT(IF(ISNUMBER(K11),AND(K11&gt;=0),FALSE)),NOT(ISNUMBER($B30)),N($B30)=0),"",K11/($B30/60))</f>
        <v>225</v>
      </c>
      <c r="G30" s="36">
        <f>IF(OR($A11="",L11="",NOT(IF(ISNUMBER(L11),AND(L11&gt;=0),FALSE)),NOT(ISNUMBER($B30)),N($B30)=0),"",L11/($B30/60))</f>
        <v/>
      </c>
      <c r="H30" s="36">
        <f>IF(OR($A11="",M11="",NOT(IF(ISNUMBER(M11),AND(M11&gt;=0),FALSE)),NOT(ISNUMBER($B30)),N($B30)=0),"",M11/($B30/60))</f>
        <v/>
      </c>
      <c r="I30" s="36">
        <f>IF($A11="","",Config!$B$13)</f>
        <v>338.983050847458</v>
      </c>
      <c r="J30" s="36">
        <f>IF($A11="","",Config!$B$14)</f>
        <v>454.545454545455</v>
      </c>
    </row>
    <row r="31">
      <c r="A31" s="34" t="str">
        <f>IF($A12="","",$A12)</f>
        <v>Holter</v>
      </c>
      <c r="B31" s="35">
        <f>IF($A12="","",IF(NOT(IF(ISNUMBER(B12),AND(B12&gt;=0),FALSE)),"faltam os minutos",IF(AND(C12&lt;&gt;"Sim",C12&lt;&gt;"Não"),"falta: gera retorno?",IF(AND(C12="Sim",NOT(AND(IF(ISNUMBER(Config!$B$11),AND(Config!$B$11&gt;=0),FALSE),IF(ISNUMBER(Config!$B$12),AND(Config!$B$12&gt;=0),FALSE)))),"falta o retorno em Config",B12+IF(C12="Sim",Config!$B$11*Config!$B$12,0)))))</f>
        <v>20</v>
      </c>
      <c r="C31" s="36">
        <f>IF(OR($A12="",H12="",NOT(IF(ISNUMBER(H12),AND(H12&gt;=0),FALSE)),NOT(ISNUMBER($B31)),N($B31)=0),"",H12/($B31/60))</f>
        <v>1050</v>
      </c>
      <c r="D31" s="36">
        <f>IF(OR($A12="",I12="",NOT(IF(ISNUMBER(I12),AND(I12&gt;=0),FALSE)),NOT(ISNUMBER($B31)),N($B31)=0),"",I12/($B31/60))</f>
        <v>315</v>
      </c>
      <c r="E31" s="36">
        <f>IF(OR($A12="",J12="",NOT(IF(ISNUMBER(J12),AND(J12&gt;=0),FALSE)),NOT(ISNUMBER($B31)),N($B31)=0),"",J12/($B31/60))</f>
        <v>285</v>
      </c>
      <c r="F31" s="36">
        <f>IF(OR($A12="",K12="",NOT(IF(ISNUMBER(K12),AND(K12&gt;=0),FALSE)),NOT(ISNUMBER($B31)),N($B31)=0),"",K12/($B31/60))</f>
        <v>255</v>
      </c>
      <c r="G31" s="36">
        <f>IF(OR($A12="",L12="",NOT(IF(ISNUMBER(L12),AND(L12&gt;=0),FALSE)),NOT(ISNUMBER($B31)),N($B31)=0),"",L12/($B31/60))</f>
        <v/>
      </c>
      <c r="H31" s="36">
        <f>IF(OR($A12="",M12="",NOT(IF(ISNUMBER(M12),AND(M12&gt;=0),FALSE)),NOT(ISNUMBER($B31)),N($B31)=0),"",M12/($B31/60))</f>
        <v/>
      </c>
      <c r="I31" s="36">
        <f>IF($A12="","",Config!$B$13)</f>
        <v>338.983050847458</v>
      </c>
      <c r="J31" s="36">
        <f>IF($A12="","",Config!$B$14)</f>
        <v>454.545454545455</v>
      </c>
    </row>
    <row r="32">
      <c r="A32" s="34" t="str">
        <f>IF($A13="","",$A13)</f>
        <v>Teste ergométrico</v>
      </c>
      <c r="B32" s="35">
        <f>IF($A13="","",IF(NOT(IF(ISNUMBER(B13),AND(B13&gt;=0),FALSE)),"faltam os minutos",IF(AND(C13&lt;&gt;"Sim",C13&lt;&gt;"Não"),"falta: gera retorno?",IF(AND(C13="Sim",NOT(AND(IF(ISNUMBER(Config!$B$11),AND(Config!$B$11&gt;=0),FALSE),IF(ISNUMBER(Config!$B$12),AND(Config!$B$12&gt;=0),FALSE)))),"falta o retorno em Config",B13+IF(C13="Sim",Config!$B$11*Config!$B$12,0)))))</f>
        <v>40</v>
      </c>
      <c r="C32" s="36">
        <f>IF(OR($A13="",H13="",NOT(IF(ISNUMBER(H13),AND(H13&gt;=0),FALSE)),NOT(ISNUMBER($B32)),N($B32)=0),"",H13/($B32/60))</f>
        <v>675</v>
      </c>
      <c r="D32" s="36">
        <f>IF(OR($A13="",I13="",NOT(IF(ISNUMBER(I13),AND(I13&gt;=0),FALSE)),NOT(ISNUMBER($B32)),N($B32)=0),"",I13/($B32/60))</f>
        <v>210</v>
      </c>
      <c r="E32" s="36">
        <f>IF(OR($A13="",J13="",NOT(IF(ISNUMBER(J13),AND(J13&gt;=0),FALSE)),NOT(ISNUMBER($B32)),N($B32)=0),"",J13/($B32/60))</f>
        <v>187.5</v>
      </c>
      <c r="F32" s="36">
        <f>IF(OR($A13="",K13="",NOT(IF(ISNUMBER(K13),AND(K13&gt;=0),FALSE)),NOT(ISNUMBER($B32)),N($B32)=0),"",K13/($B32/60))</f>
        <v>165</v>
      </c>
      <c r="G32" s="36">
        <f>IF(OR($A13="",L13="",NOT(IF(ISNUMBER(L13),AND(L13&gt;=0),FALSE)),NOT(ISNUMBER($B32)),N($B32)=0),"",L13/($B32/60))</f>
        <v/>
      </c>
      <c r="H32" s="36">
        <f>IF(OR($A13="",M13="",NOT(IF(ISNUMBER(M13),AND(M13&gt;=0),FALSE)),NOT(ISNUMBER($B32)),N($B32)=0),"",M13/($B32/60))</f>
        <v/>
      </c>
      <c r="I32" s="36">
        <f>IF($A13="","",Config!$B$13)</f>
        <v>338.983050847458</v>
      </c>
      <c r="J32" s="36">
        <f>IF($A13="","",Config!$B$14)</f>
        <v>454.545454545455</v>
      </c>
    </row>
    <row r="33">
      <c r="A33" s="34" t="str">
        <f>IF($A14="","",$A14)</f>
        <v>Avaliação endócrina</v>
      </c>
      <c r="B33" s="35">
        <f>IF($A14="","",IF(NOT(IF(ISNUMBER(B14),AND(B14&gt;=0),FALSE)),"faltam os minutos",IF(AND(C14&lt;&gt;"Sim",C14&lt;&gt;"Não"),"falta: gera retorno?",IF(AND(C14="Sim",NOT(AND(IF(ISNUMBER(Config!$B$11),AND(Config!$B$11&gt;=0),FALSE),IF(ISNUMBER(Config!$B$12),AND(Config!$B$12&gt;=0),FALSE)))),"falta o retorno em Config",B14+IF(C14="Sim",Config!$B$11*Config!$B$12,0)))))</f>
        <v>48</v>
      </c>
      <c r="C33" s="36">
        <f>IF(OR($A14="",H14="",NOT(IF(ISNUMBER(H14),AND(H14&gt;=0),FALSE)),NOT(ISNUMBER($B33)),N($B33)=0),"",H14/($B33/60))</f>
        <v>500</v>
      </c>
      <c r="D33" s="36">
        <f>IF(OR($A14="",I14="",NOT(IF(ISNUMBER(I14),AND(I14&gt;=0),FALSE)),NOT(ISNUMBER($B33)),N($B33)=0),"",I14/($B33/60))</f>
        <v>162.5</v>
      </c>
      <c r="E33" s="36">
        <f>IF(OR($A14="",J14="",NOT(IF(ISNUMBER(J14),AND(J14&gt;=0),FALSE)),NOT(ISNUMBER($B33)),N($B33)=0),"",J14/($B33/60))</f>
        <v/>
      </c>
      <c r="F33" s="36">
        <f>IF(OR($A14="",K14="",NOT(IF(ISNUMBER(K14),AND(K14&gt;=0),FALSE)),NOT(ISNUMBER($B33)),N($B33)=0),"",K14/($B33/60))</f>
        <v/>
      </c>
      <c r="G33" s="36">
        <f>IF(OR($A14="",L14="",NOT(IF(ISNUMBER(L14),AND(L14&gt;=0),FALSE)),NOT(ISNUMBER($B33)),N($B33)=0),"",L14/($B33/60))</f>
        <v/>
      </c>
      <c r="H33" s="36">
        <f>IF(OR($A14="",M14="",NOT(IF(ISNUMBER(M14),AND(M14&gt;=0),FALSE)),NOT(ISNUMBER($B33)),N($B33)=0),"",M14/($B33/60))</f>
        <v/>
      </c>
      <c r="I33" s="36">
        <f>IF($A14="","",Config!$B$13)</f>
        <v>338.983050847458</v>
      </c>
      <c r="J33" s="36">
        <f>IF($A14="","",Config!$B$14)</f>
        <v>454.545454545455</v>
      </c>
    </row>
    <row r="34">
      <c r="A34" s="34">
        <f>IF($A15="","",$A15)</f>
        <v/>
      </c>
      <c r="B34" s="35">
        <f>IF($A15="","",IF(NOT(IF(ISNUMBER(B15),AND(B15&gt;=0),FALSE)),"faltam os minutos",IF(AND(C15&lt;&gt;"Sim",C15&lt;&gt;"Não"),"falta: gera retorno?",IF(AND(C15="Sim",NOT(AND(IF(ISNUMBER(Config!$B$11),AND(Config!$B$11&gt;=0),FALSE),IF(ISNUMBER(Config!$B$12),AND(Config!$B$12&gt;=0),FALSE)))),"falta o retorno em Config",B15+IF(C15="Sim",Config!$B$11*Config!$B$12,0)))))</f>
        <v/>
      </c>
      <c r="C34" s="36">
        <f>IF(OR($A15="",H15="",NOT(IF(ISNUMBER(H15),AND(H15&gt;=0),FALSE)),NOT(ISNUMBER($B34)),N($B34)=0),"",H15/($B34/60))</f>
        <v/>
      </c>
      <c r="D34" s="36">
        <f>IF(OR($A15="",I15="",NOT(IF(ISNUMBER(I15),AND(I15&gt;=0),FALSE)),NOT(ISNUMBER($B34)),N($B34)=0),"",I15/($B34/60))</f>
        <v/>
      </c>
      <c r="E34" s="36">
        <f>IF(OR($A15="",J15="",NOT(IF(ISNUMBER(J15),AND(J15&gt;=0),FALSE)),NOT(ISNUMBER($B34)),N($B34)=0),"",J15/($B34/60))</f>
        <v/>
      </c>
      <c r="F34" s="36">
        <f>IF(OR($A15="",K15="",NOT(IF(ISNUMBER(K15),AND(K15&gt;=0),FALSE)),NOT(ISNUMBER($B34)),N($B34)=0),"",K15/($B34/60))</f>
        <v/>
      </c>
      <c r="G34" s="36">
        <f>IF(OR($A15="",L15="",NOT(IF(ISNUMBER(L15),AND(L15&gt;=0),FALSE)),NOT(ISNUMBER($B34)),N($B34)=0),"",L15/($B34/60))</f>
        <v/>
      </c>
      <c r="H34" s="36">
        <f>IF(OR($A15="",M15="",NOT(IF(ISNUMBER(M15),AND(M15&gt;=0),FALSE)),NOT(ISNUMBER($B34)),N($B34)=0),"",M15/($B34/60))</f>
        <v/>
      </c>
      <c r="I34" s="36">
        <f>IF($A15="","",Config!$B$13)</f>
        <v/>
      </c>
      <c r="J34" s="36">
        <f>IF($A15="","",Config!$B$14)</f>
        <v/>
      </c>
    </row>
    <row r="35">
      <c r="A35" s="34">
        <f>IF($A16="","",$A16)</f>
        <v/>
      </c>
      <c r="B35" s="35">
        <f>IF($A16="","",IF(NOT(IF(ISNUMBER(B16),AND(B16&gt;=0),FALSE)),"faltam os minutos",IF(AND(C16&lt;&gt;"Sim",C16&lt;&gt;"Não"),"falta: gera retorno?",IF(AND(C16="Sim",NOT(AND(IF(ISNUMBER(Config!$B$11),AND(Config!$B$11&gt;=0),FALSE),IF(ISNUMBER(Config!$B$12),AND(Config!$B$12&gt;=0),FALSE)))),"falta o retorno em Config",B16+IF(C16="Sim",Config!$B$11*Config!$B$12,0)))))</f>
        <v/>
      </c>
      <c r="C35" s="36">
        <f>IF(OR($A16="",H16="",NOT(IF(ISNUMBER(H16),AND(H16&gt;=0),FALSE)),NOT(ISNUMBER($B35)),N($B35)=0),"",H16/($B35/60))</f>
        <v/>
      </c>
      <c r="D35" s="36">
        <f>IF(OR($A16="",I16="",NOT(IF(ISNUMBER(I16),AND(I16&gt;=0),FALSE)),NOT(ISNUMBER($B35)),N($B35)=0),"",I16/($B35/60))</f>
        <v/>
      </c>
      <c r="E35" s="36">
        <f>IF(OR($A16="",J16="",NOT(IF(ISNUMBER(J16),AND(J16&gt;=0),FALSE)),NOT(ISNUMBER($B35)),N($B35)=0),"",J16/($B35/60))</f>
        <v/>
      </c>
      <c r="F35" s="36">
        <f>IF(OR($A16="",K16="",NOT(IF(ISNUMBER(K16),AND(K16&gt;=0),FALSE)),NOT(ISNUMBER($B35)),N($B35)=0),"",K16/($B35/60))</f>
        <v/>
      </c>
      <c r="G35" s="36">
        <f>IF(OR($A16="",L16="",NOT(IF(ISNUMBER(L16),AND(L16&gt;=0),FALSE)),NOT(ISNUMBER($B35)),N($B35)=0),"",L16/($B35/60))</f>
        <v/>
      </c>
      <c r="H35" s="36">
        <f>IF(OR($A16="",M16="",NOT(IF(ISNUMBER(M16),AND(M16&gt;=0),FALSE)),NOT(ISNUMBER($B35)),N($B35)=0),"",M16/($B35/60))</f>
        <v/>
      </c>
      <c r="I35" s="36">
        <f>IF($A16="","",Config!$B$13)</f>
        <v/>
      </c>
      <c r="J35" s="36">
        <f>IF($A16="","",Config!$B$14)</f>
        <v/>
      </c>
    </row>
    <row r="36">
      <c r="A36" s="34">
        <f>IF($A17="","",$A17)</f>
        <v/>
      </c>
      <c r="B36" s="35">
        <f>IF($A17="","",IF(NOT(IF(ISNUMBER(B17),AND(B17&gt;=0),FALSE)),"faltam os minutos",IF(AND(C17&lt;&gt;"Sim",C17&lt;&gt;"Não"),"falta: gera retorno?",IF(AND(C17="Sim",NOT(AND(IF(ISNUMBER(Config!$B$11),AND(Config!$B$11&gt;=0),FALSE),IF(ISNUMBER(Config!$B$12),AND(Config!$B$12&gt;=0),FALSE)))),"falta o retorno em Config",B17+IF(C17="Sim",Config!$B$11*Config!$B$12,0)))))</f>
        <v/>
      </c>
      <c r="C36" s="36">
        <f>IF(OR($A17="",H17="",NOT(IF(ISNUMBER(H17),AND(H17&gt;=0),FALSE)),NOT(ISNUMBER($B36)),N($B36)=0),"",H17/($B36/60))</f>
        <v/>
      </c>
      <c r="D36" s="36">
        <f>IF(OR($A17="",I17="",NOT(IF(ISNUMBER(I17),AND(I17&gt;=0),FALSE)),NOT(ISNUMBER($B36)),N($B36)=0),"",I17/($B36/60))</f>
        <v/>
      </c>
      <c r="E36" s="36">
        <f>IF(OR($A17="",J17="",NOT(IF(ISNUMBER(J17),AND(J17&gt;=0),FALSE)),NOT(ISNUMBER($B36)),N($B36)=0),"",J17/($B36/60))</f>
        <v/>
      </c>
      <c r="F36" s="36">
        <f>IF(OR($A17="",K17="",NOT(IF(ISNUMBER(K17),AND(K17&gt;=0),FALSE)),NOT(ISNUMBER($B36)),N($B36)=0),"",K17/($B36/60))</f>
        <v/>
      </c>
      <c r="G36" s="36">
        <f>IF(OR($A17="",L17="",NOT(IF(ISNUMBER(L17),AND(L17&gt;=0),FALSE)),NOT(ISNUMBER($B36)),N($B36)=0),"",L17/($B36/60))</f>
        <v/>
      </c>
      <c r="H36" s="36">
        <f>IF(OR($A17="",M17="",NOT(IF(ISNUMBER(M17),AND(M17&gt;=0),FALSE)),NOT(ISNUMBER($B36)),N($B36)=0),"",M17/($B36/60))</f>
        <v/>
      </c>
      <c r="I36" s="36">
        <f>IF($A17="","",Config!$B$13)</f>
        <v/>
      </c>
      <c r="J36" s="36">
        <f>IF($A17="","",Config!$B$14)</f>
        <v/>
      </c>
    </row>
    <row r="37">
      <c r="A37" s="34">
        <f>IF($A18="","",$A18)</f>
        <v/>
      </c>
      <c r="B37" s="35">
        <f>IF($A18="","",IF(NOT(IF(ISNUMBER(B18),AND(B18&gt;=0),FALSE)),"faltam os minutos",IF(AND(C18&lt;&gt;"Sim",C18&lt;&gt;"Não"),"falta: gera retorno?",IF(AND(C18="Sim",NOT(AND(IF(ISNUMBER(Config!$B$11),AND(Config!$B$11&gt;=0),FALSE),IF(ISNUMBER(Config!$B$12),AND(Config!$B$12&gt;=0),FALSE)))),"falta o retorno em Config",B18+IF(C18="Sim",Config!$B$11*Config!$B$12,0)))))</f>
        <v/>
      </c>
      <c r="C37" s="36">
        <f>IF(OR($A18="",H18="",NOT(IF(ISNUMBER(H18),AND(H18&gt;=0),FALSE)),NOT(ISNUMBER($B37)),N($B37)=0),"",H18/($B37/60))</f>
        <v/>
      </c>
      <c r="D37" s="36">
        <f>IF(OR($A18="",I18="",NOT(IF(ISNUMBER(I18),AND(I18&gt;=0),FALSE)),NOT(ISNUMBER($B37)),N($B37)=0),"",I18/($B37/60))</f>
        <v/>
      </c>
      <c r="E37" s="36">
        <f>IF(OR($A18="",J18="",NOT(IF(ISNUMBER(J18),AND(J18&gt;=0),FALSE)),NOT(ISNUMBER($B37)),N($B37)=0),"",J18/($B37/60))</f>
        <v/>
      </c>
      <c r="F37" s="36">
        <f>IF(OR($A18="",K18="",NOT(IF(ISNUMBER(K18),AND(K18&gt;=0),FALSE)),NOT(ISNUMBER($B37)),N($B37)=0),"",K18/($B37/60))</f>
        <v/>
      </c>
      <c r="G37" s="36">
        <f>IF(OR($A18="",L18="",NOT(IF(ISNUMBER(L18),AND(L18&gt;=0),FALSE)),NOT(ISNUMBER($B37)),N($B37)=0),"",L18/($B37/60))</f>
        <v/>
      </c>
      <c r="H37" s="36">
        <f>IF(OR($A18="",M18="",NOT(IF(ISNUMBER(M18),AND(M18&gt;=0),FALSE)),NOT(ISNUMBER($B37)),N($B37)=0),"",M18/($B37/60))</f>
        <v/>
      </c>
      <c r="I37" s="36">
        <f>IF($A18="","",Config!$B$13)</f>
        <v/>
      </c>
      <c r="J37" s="36">
        <f>IF($A18="","",Config!$B$14)</f>
        <v/>
      </c>
    </row>
    <row r="38">
      <c r="A38" s="34">
        <f>IF($A19="","",$A19)</f>
        <v/>
      </c>
      <c r="B38" s="35">
        <f>IF($A19="","",IF(NOT(IF(ISNUMBER(B19),AND(B19&gt;=0),FALSE)),"faltam os minutos",IF(AND(C19&lt;&gt;"Sim",C19&lt;&gt;"Não"),"falta: gera retorno?",IF(AND(C19="Sim",NOT(AND(IF(ISNUMBER(Config!$B$11),AND(Config!$B$11&gt;=0),FALSE),IF(ISNUMBER(Config!$B$12),AND(Config!$B$12&gt;=0),FALSE)))),"falta o retorno em Config",B19+IF(C19="Sim",Config!$B$11*Config!$B$12,0)))))</f>
        <v/>
      </c>
      <c r="C38" s="36">
        <f>IF(OR($A19="",H19="",NOT(IF(ISNUMBER(H19),AND(H19&gt;=0),FALSE)),NOT(ISNUMBER($B38)),N($B38)=0),"",H19/($B38/60))</f>
        <v/>
      </c>
      <c r="D38" s="36">
        <f>IF(OR($A19="",I19="",NOT(IF(ISNUMBER(I19),AND(I19&gt;=0),FALSE)),NOT(ISNUMBER($B38)),N($B38)=0),"",I19/($B38/60))</f>
        <v/>
      </c>
      <c r="E38" s="36">
        <f>IF(OR($A19="",J19="",NOT(IF(ISNUMBER(J19),AND(J19&gt;=0),FALSE)),NOT(ISNUMBER($B38)),N($B38)=0),"",J19/($B38/60))</f>
        <v/>
      </c>
      <c r="F38" s="36">
        <f>IF(OR($A19="",K19="",NOT(IF(ISNUMBER(K19),AND(K19&gt;=0),FALSE)),NOT(ISNUMBER($B38)),N($B38)=0),"",K19/($B38/60))</f>
        <v/>
      </c>
      <c r="G38" s="36">
        <f>IF(OR($A19="",L19="",NOT(IF(ISNUMBER(L19),AND(L19&gt;=0),FALSE)),NOT(ISNUMBER($B38)),N($B38)=0),"",L19/($B38/60))</f>
        <v/>
      </c>
      <c r="H38" s="36">
        <f>IF(OR($A19="",M19="",NOT(IF(ISNUMBER(M19),AND(M19&gt;=0),FALSE)),NOT(ISNUMBER($B38)),N($B38)=0),"",M19/($B38/60))</f>
        <v/>
      </c>
      <c r="I38" s="36">
        <f>IF($A19="","",Config!$B$13)</f>
        <v/>
      </c>
      <c r="J38" s="36">
        <f>IF($A19="","",Config!$B$14)</f>
        <v/>
      </c>
    </row>
    <row r="39">
      <c r="A39" s="37" t="inlineStr">
        <is>
          <t>Vermelho: abaixo da hora mínima. Verde: na hora alvo ou acima. Retorno aparece vazio (valor zero). Este quadro é o argumento na negociação de tabela: quanto cada convênio paga pela hora da clínica.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9">
    <mergeCell ref="C5:D5"/>
    <mergeCell ref="A39:T39"/>
    <mergeCell ref="E5:F5"/>
    <mergeCell ref="K5:L5"/>
    <mergeCell ref="C4:D4"/>
    <mergeCell ref="A1:T1"/>
    <mergeCell ref="E4:F4"/>
    <mergeCell ref="A21:T21"/>
    <mergeCell ref="A5:B5"/>
    <mergeCell ref="G5:H5"/>
    <mergeCell ref="I5:J5"/>
    <mergeCell ref="A2:T2"/>
    <mergeCell ref="A25:J25"/>
    <mergeCell ref="A4:B4"/>
    <mergeCell ref="G4:H4"/>
    <mergeCell ref="A23:T23"/>
    <mergeCell ref="I4:J4"/>
    <mergeCell ref="A22:T22"/>
    <mergeCell ref="K4:L4"/>
  </mergeCells>
  <conditionalFormatting sqref="N8:N19">
    <cfRule type="expression" priority="1" dxfId="0">
      <formula>OR(N8="Abaixo do mínimo",N8="Falta o custo-hora",N8="Margens inválidas",N8="Faltam dados da linha",N8="Preço inválido",N8="Falta o preço particular")</formula>
    </cfRule>
    <cfRule type="expression" priority="2" dxfId="1">
      <formula>N8="Entre mínimo e alvo"</formula>
    </cfRule>
    <cfRule type="expression" priority="3" dxfId="2">
      <formula>N8="No alvo ou acima"</formula>
    </cfRule>
    <cfRule type="expression" priority="6" dxfId="3">
      <formula>N8="Sem cobrança"</formula>
    </cfRule>
  </conditionalFormatting>
  <conditionalFormatting sqref="I8:M19">
    <cfRule type="expression" priority="4" dxfId="4">
      <formula>AND(ISNUMBER(I8),OR(I8&gt;0,N($H8)&gt;0),ISNUMBER($F8),I8*(1-INDIRECT("Config!$B$8"))&lt;$E8)</formula>
    </cfRule>
    <cfRule type="expression" priority="5" dxfId="1">
      <formula>AND(ISNUMBER(I8),ISNUMBER($F8),I8*(1-INDIRECT("Config!$B$8"))&gt;=$E8,I8&lt;$F8)</formula>
    </cfRule>
  </conditionalFormatting>
  <conditionalFormatting sqref="O8:O19">
    <cfRule type="expression" priority="7" dxfId="5">
      <formula>AND(ISNUMBER(O8),O8&gt;0)</formula>
    </cfRule>
  </conditionalFormatting>
  <conditionalFormatting sqref="S8:S19">
    <cfRule type="expression" priority="8" dxfId="5">
      <formula>AND(ISNUMBER(S8),S8&lt;0)</formula>
    </cfRule>
  </conditionalFormatting>
  <conditionalFormatting sqref="C27:H38">
    <cfRule type="expression" priority="9" dxfId="4">
      <formula>AND(ISNUMBER(C27),C27&gt;0,ISNUMBER(INDIRECT("Config!$B$13")),C27&lt;INDIRECT("Config!$B$13"))</formula>
    </cfRule>
    <cfRule type="expression" priority="10" dxfId="2">
      <formula>AND(ISNUMBER(C27),ISNUMBER(INDIRECT("Config!$B$14")),C27&gt;=INDIRECT("Config!$B$14"))</formula>
    </cfRule>
  </conditionalFormatting>
  <dataValidations count="1">
    <dataValidation sqref="C8:C19" showDropDown="0" showInputMessage="0" showErrorMessage="1" allowBlank="1" type="list">
      <formula1>"Sim,Não"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90" customWidth="1" min="3" max="3"/>
  </cols>
  <sheetData>
    <row r="1" ht="28" customHeight="1">
      <c r="A1" s="5" t="inlineStr">
        <is>
          <t>Configurações</t>
        </is>
      </c>
    </row>
    <row r="2">
      <c r="A2" s="6" t="inlineStr">
        <is>
          <t>Células amarelas: você preenche. Custo-hora da planilha 05; margens e impostos iguais aos da 06.</t>
        </is>
      </c>
    </row>
    <row r="4">
      <c r="A4" s="38" t="inlineStr">
        <is>
          <t>Nome da clínica</t>
        </is>
      </c>
      <c r="B4" s="22" t="inlineStr">
        <is>
          <t>Clínica Vida Plena (exemplo fictício)</t>
        </is>
      </c>
    </row>
    <row r="5">
      <c r="A5" s="38" t="inlineStr">
        <is>
          <t>Mês do volume (mês fechado)</t>
        </is>
      </c>
      <c r="B5" s="22" t="inlineStr">
        <is>
          <t>Agosto de 2026</t>
        </is>
      </c>
    </row>
    <row r="6">
      <c r="A6" s="38" t="inlineStr">
        <is>
          <t>Data de referência</t>
        </is>
      </c>
      <c r="B6" s="39" t="n">
        <v>46279</v>
      </c>
    </row>
    <row r="7">
      <c r="A7" s="38" t="inlineStr">
        <is>
          <t>Custo da hora de atendimento (R$)</t>
        </is>
      </c>
      <c r="B7" s="25" t="n">
        <v>200</v>
      </c>
      <c r="C7" s="37" t="inlineStr">
        <is>
          <t>Copie do Painel da planilha 05 ("Custo da hora de atendimento"). No exemplo, R$ 200,00.</t>
        </is>
      </c>
    </row>
    <row r="8">
      <c r="A8" s="38" t="inlineStr">
        <is>
          <t>Impostos sobre o que entra (%)</t>
        </is>
      </c>
      <c r="B8" s="40" t="n">
        <v>0.11</v>
      </c>
      <c r="C8" s="37" t="inlineStr">
        <is>
          <t>A mesma alíquota efetiva das planilhas 05, 06 e 07 (exemplo: 11 %). Só imposto: a taxa da maquininha não entra aqui (fica na 16 e no resultado 18).</t>
        </is>
      </c>
    </row>
    <row r="9">
      <c r="A9" s="38" t="inlineStr">
        <is>
          <t>Margem mínima sobre o preço (%)</t>
        </is>
      </c>
      <c r="B9" s="40" t="n">
        <v>0.3</v>
      </c>
      <c r="C9" s="37" t="inlineStr">
        <is>
          <t>Piso da faixa (a mesma margem da 05 e da 06).</t>
        </is>
      </c>
    </row>
    <row r="10">
      <c r="A10" s="38" t="inlineStr">
        <is>
          <t>Margem alvo sobre o preço (%)</t>
        </is>
      </c>
      <c r="B10" s="40" t="n">
        <v>0.45</v>
      </c>
      <c r="C10" s="37" t="inlineStr">
        <is>
          <t>Teto da faixa (a mesma da 06).</t>
        </is>
      </c>
    </row>
    <row r="11">
      <c r="A11" s="38" t="inlineStr">
        <is>
          <t>Retornos por consulta (média)</t>
        </is>
      </c>
      <c r="B11" s="41" t="n">
        <v>0.4</v>
      </c>
      <c r="C11" s="37" t="inlineStr">
        <is>
          <t>Iguais à 06: o tempo do retorno entra no custo da consulta.</t>
        </is>
      </c>
    </row>
    <row r="12">
      <c r="A12" s="38" t="inlineStr">
        <is>
          <t>Duração do retorno (minutos)</t>
        </is>
      </c>
      <c r="B12" s="23" t="n">
        <v>20</v>
      </c>
    </row>
    <row r="13">
      <c r="A13" s="38" t="inlineStr">
        <is>
          <t>Hora mínima a cobrar (R$)</t>
        </is>
      </c>
      <c r="B13" s="27">
        <f>IF(NOT(IF(ISNUMBER(B7),B7&gt;=0,FALSE)),"falta o custo-hora",IF(B15&lt;&gt;"Sim","margens inválidas (Config)",B7/(1-B8-B9)))</f>
        <v>338.983050847458</v>
      </c>
      <c r="C13" s="37" t="inlineStr">
        <is>
          <t>Custo-hora ÷ (1 − impostos − margem mínima) = R$ 338,98 no exemplo (a 05 arredonda para R$ 340).</t>
        </is>
      </c>
    </row>
    <row r="14">
      <c r="A14" s="38" t="inlineStr">
        <is>
          <t>Hora alvo (R$)</t>
        </is>
      </c>
      <c r="B14" s="27">
        <f>IF(NOT(IF(ISNUMBER(B7),B7&gt;=0,FALSE)),"falta o custo-hora",IF(B15&lt;&gt;"Sim","margens inválidas (Config)",B7/(1-B8-B10)))</f>
        <v>454.545454545455</v>
      </c>
      <c r="C14" s="37" t="inlineStr">
        <is>
          <t>Custo-hora ÷ (1 − impostos − margem alvo).</t>
        </is>
      </c>
    </row>
    <row r="15">
      <c r="A15" s="38" t="inlineStr">
        <is>
          <t>Impostos e margens conferem? (calculado)</t>
        </is>
      </c>
      <c r="B15" s="29" t="str">
        <f>IF(AND(ISNUMBER(B8),ISNUMBER(B9),ISNUMBER(B10)),IF(AND(B8&gt;=0,B8&lt;1,B9&gt;=0,B9&lt;=B10,B10&lt;1,B8+B10&lt;1),"Sim","Não"),"Não")</f>
        <v>Sim</v>
      </c>
      <c r="C15" s="37" t="inlineStr">
        <is>
          <t>"Não" suspende preços, situação e contagens: impostos e margens de 0 % a 99 %, mínima ≤ alvo e impostos + margem alvo abaixo de 100 %.</t>
        </is>
      </c>
    </row>
    <row r="16">
      <c r="A16" s="38" t="inlineStr">
        <is>
          <t>Pagadores (até 6, na ordem das colunas da Tabela; o primeiro é o particular)</t>
        </is>
      </c>
    </row>
    <row r="17">
      <c r="A17" s="42" t="inlineStr">
        <is>
          <t>Nomes</t>
        </is>
      </c>
      <c r="B17" s="22" t="inlineStr">
        <is>
          <t>Particular</t>
        </is>
      </c>
      <c r="C17" s="37" t="inlineStr">
        <is>
          <t>Preencha de cima para baixo, sem pular linha. Os mesmos da Config da planilha 01.</t>
        </is>
      </c>
    </row>
    <row r="18">
      <c r="B18" s="22" t="inlineStr">
        <is>
          <t>Saúde Total</t>
        </is>
      </c>
    </row>
    <row r="19">
      <c r="B19" s="22" t="inlineStr">
        <is>
          <t>MediPlan</t>
        </is>
      </c>
    </row>
    <row r="20">
      <c r="B20" s="22" t="inlineStr">
        <is>
          <t>Vida Care</t>
        </is>
      </c>
    </row>
    <row r="21">
      <c r="B21" s="22" t="n"/>
    </row>
    <row r="22">
      <c r="B22" s="22" t="n"/>
    </row>
    <row r="23">
      <c r="A23" s="37" t="inlineStr">
        <is>
          <t>Esta planilha é a FONTE ÚNICA da tabela de preços do kit. A aba Tabela é onde o preço é decidido; 06 (precificação), 07 (simulador) e a Config da planilha 01 (agenda) copiam daqui.</t>
        </is>
      </c>
    </row>
    <row r="24">
      <c r="A24" s="37" t="inlineStr">
        <is>
          <t>Ordem de atualização quando um preço muda: 1) aqui, na aba Tabela; 2) planilha 06 · Precificação (colunas do particular e dos convênios); 3) planilha 07 · Simulador (quadro 2, valor de tabela); 4) planilha 01 · Config (tabela de preços por pagador, que é o que a Agenda busca). Procedimentos novos: cadastre na 01 (Config), na 02, aqui, na 06 e na 07. Convênio novo: 01, 02, 06, 07, aqui, 09 (categorias de entrada) e 13 (Config).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H2"/>
    <mergeCell ref="A1:H1"/>
  </mergeCells>
  <dataValidations count="4">
    <dataValidation sqref="B8" showDropDown="0" showInputMessage="0" showErrorMessage="1" allowBlank="0" errorTitle="Percentual" error="Impostos entre 0 % e 99 %, e impostos + margem alvo abaixo de 100 %." type="custom">
      <formula1>=IF(ISNUMBER(B8),AND(B8&gt;=0,B8&lt;1,B8+N(B10)&lt;1),FALSE)</formula1>
    </dataValidation>
    <dataValidation sqref="B9" showDropDown="0" showInputMessage="0" showErrorMessage="1" allowBlank="0" errorTitle="Percentual" error="Margem mínima entre 0 % e a margem alvo, e impostos + margem abaixo de 100 %." type="custom">
      <formula1>=IF(ISNUMBER(B9),AND(B9&gt;=0,B9&lt;=N(B10),N(B8)+B9&lt;1),FALSE)</formula1>
    </dataValidation>
    <dataValidation sqref="B10" showDropDown="0" showInputMessage="0" showErrorMessage="1" allowBlank="0" errorTitle="Percentual" error="Margem alvo entre a margem mínima e 99 %, e impostos + margem alvo abaixo de 100 %." type="custom">
      <formula1>=IF(ISNUMBER(B10),AND(B10&gt;=N(B9),B10&lt;1,N(B8)+B10&lt;1),FALSE)</formula1>
    </dataValidation>
    <dataValidation sqref="B7" showDropDown="0" showInputMessage="0" showErrorMessage="1" allowBlank="1" errorTitle="Custo-hora" error="Número maior ou igual a zero.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Tabela de preços e referência · Kit de Gestão para Médicos</dc:title>
  <dcterms:created xmlns:dcterms="http://purl.org/dc/terms/" xmlns:xsi="http://www.w3.org/2001/XMLSchema-instance" xsi:type="dcterms:W3CDTF">2026-09-24T20:23:53Z</dcterms:created>
  <dcterms:modified xmlns:dcterms="http://purl.org/dc/terms/" xmlns:xsi="http://www.w3.org/2001/XMLSchema-instance" xsi:type="dcterms:W3CDTF">2026-09-24T20:23:53Z</dcterms:modified>
</cp:coreProperties>
</file>