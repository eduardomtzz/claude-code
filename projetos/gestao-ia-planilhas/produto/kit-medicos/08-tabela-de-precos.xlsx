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COUNTIF($N$8:$N$19,"Abaixo do mínimo")&amp;" de "&amp;COUNTA($A$8:$A$19)</f>
        <v>0 de 7</v>
      </c>
      <c r="D5" s="10" t="n"/>
      <c r="E5" s="17">
        <f>SUM($O$8:$O$19)</f>
        <v>14</v>
      </c>
      <c r="F5" s="10" t="n"/>
      <c r="G5" s="18">
        <f>SUM($Q$8:$Q$19)</f>
        <v>48631</v>
      </c>
      <c r="H5" s="12" t="n"/>
      <c r="I5" s="19">
        <f>IFERROR(SUM($Q$8:$Q$19)/(SUMPRODUCT($P$8:$P$19,$B$8:$B$19)/60),0)</f>
        <v>410.966197183099</v>
      </c>
      <c r="J5" s="14" t="n"/>
      <c r="K5" s="20">
        <f>IFERROR(I5/Config!$B$13-1,0)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IF(A8="","",(B8+IF(C8="Sim",Config!$B$11*Config!$B$12,0))/60*Config!$B$7+D8)</f>
        <v>130.666666666667</v>
      </c>
      <c r="F8" s="27">
        <f>IF(A8="","",IFERROR(E8/(1-Config!$B$8-Config!$B$9),""))</f>
        <v>221.468926553672</v>
      </c>
      <c r="G8" s="26">
        <f>IF(A8="","",IFERROR(E8/(1-Config!$B$8-Config!$B$10),""))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IF(OR(A8="",H8=""),"",IF(H8=0,"Sem cobrança",IF(H8&lt;F8,"Abaixo do mínimo",IF(H8&lt;G8,"Entre mínimo e alvo","No alvo ou acima"))))</f>
        <v>No alvo ou acima</v>
      </c>
      <c r="O8" s="30">
        <f>IF(A8="","",SUMPRODUCT((I8:M8&lt;&gt;"")*(I8:M8&gt;0)*(I8:M8*(1-Config!$B$8)&lt;E8)))</f>
        <v>3</v>
      </c>
      <c r="P8" s="23" t="n">
        <v>130</v>
      </c>
      <c r="Q8" s="28" t="n">
        <v>30730</v>
      </c>
      <c r="R8" s="26">
        <f>IF(OR(A8="",P8="",P8=0),"",Q8/P8)</f>
        <v>236.384615384615</v>
      </c>
      <c r="S8" s="31">
        <f>IF(OR(R8="",F8="",H8=0),"",R8/F8-1)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IF(A9="","",(B9+IF(C9="Sim",Config!$B$11*Config!$B$12,0))/60*Config!$B$7+D9)</f>
        <v>68.6666666666667</v>
      </c>
      <c r="F9" s="27">
        <f>IF(A9="","",IFERROR(E9/(1-Config!$B$8-Config!$B$9),""))</f>
        <v>116.38418079096</v>
      </c>
      <c r="G9" s="26">
        <f>IF(A9="","",IFERROR(E9/(1-Config!$B$8-Config!$B$10),""))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IF(OR(A9="",H9=""),"",IF(H9=0,"Sem cobrança",IF(H9&lt;F9,"Abaixo do mínimo",IF(H9&lt;G9,"Entre mínimo e alvo","No alvo ou acima"))))</f>
        <v>Sem cobrança</v>
      </c>
      <c r="O9" s="30">
        <f>IF(A9="","",SUMPRODUCT((I9:M9&lt;&gt;"")*(I9:M9&gt;0)*(I9:M9*(1-Config!$B$8)&lt;E9)))</f>
        <v>0</v>
      </c>
      <c r="P9" s="23" t="n">
        <v>48</v>
      </c>
      <c r="Q9" s="28" t="n">
        <v>0</v>
      </c>
      <c r="R9" s="26">
        <f>IF(OR(A9="",P9="",P9=0),"",Q9/P9)</f>
        <v>0</v>
      </c>
      <c r="S9" s="31">
        <f>IF(OR(R9="",F9="",H9=0),"",R9/F9-1)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IF(A10="","",(B10+IF(C10="Sim",Config!$B$11*Config!$B$12,0))/60*Config!$B$7+D10)</f>
        <v>74.6666666666667</v>
      </c>
      <c r="F10" s="27">
        <f>IF(A10="","",IFERROR(E10/(1-Config!$B$8-Config!$B$9),""))</f>
        <v>126.553672316384</v>
      </c>
      <c r="G10" s="26">
        <f>IF(A10="","",IFERROR(E10/(1-Config!$B$8-Config!$B$10),""))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IF(OR(A10="",H10=""),"",IF(H10=0,"Sem cobrança",IF(H10&lt;F10,"Abaixo do mínimo",IF(H10&lt;G10,"Entre mínimo e alvo","No alvo ou acima"))))</f>
        <v>Entre mínimo e alvo</v>
      </c>
      <c r="O10" s="30">
        <f>IF(A10="","",SUMPRODUCT((I10:M10&lt;&gt;"")*(I10:M10&gt;0)*(I10:M10*(1-Config!$B$8)&lt;E10)))</f>
        <v>3</v>
      </c>
      <c r="P10" s="23" t="n">
        <v>18</v>
      </c>
      <c r="Q10" s="28" t="n">
        <v>1416</v>
      </c>
      <c r="R10" s="26">
        <f>IF(OR(A10="",P10="",P10=0),"",Q10/P10)</f>
        <v>78.6666666666667</v>
      </c>
      <c r="S10" s="31">
        <f>IF(OR(R10="",F10="",H10=0),"",R10/F10-1)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IF(A11="","",(B11+IF(C11="Sim",Config!$B$11*Config!$B$12,0))/60*Config!$B$7+D11)</f>
        <v>81.6666666666667</v>
      </c>
      <c r="F11" s="27">
        <f>IF(A11="","",IFERROR(E11/(1-Config!$B$8-Config!$B$9),""))</f>
        <v>138.418079096045</v>
      </c>
      <c r="G11" s="26">
        <f>IF(A11="","",IFERROR(E11/(1-Config!$B$8-Config!$B$10),""))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IF(OR(A11="",H11=""),"",IF(H11=0,"Sem cobrança",IF(H11&lt;F11,"Abaixo do mínimo",IF(H11&lt;G11,"Entre mínimo e alvo","No alvo ou acima"))))</f>
        <v>No alvo ou acima</v>
      </c>
      <c r="O11" s="30">
        <f>IF(A11="","",SUMPRODUCT((I11:M11&lt;&gt;"")*(I11:M11&gt;0)*(I11:M11*(1-Config!$B$8)&lt;E11)))</f>
        <v>2</v>
      </c>
      <c r="P11" s="23" t="n">
        <v>8</v>
      </c>
      <c r="Q11" s="28" t="n">
        <v>1345</v>
      </c>
      <c r="R11" s="26">
        <f>IF(OR(A11="",P11="",P11=0),"",Q11/P11)</f>
        <v>168.125</v>
      </c>
      <c r="S11" s="31">
        <f>IF(OR(R11="",F11="",H11=0),"",R11/F11-1)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IF(A12="","",(B12+IF(C12="Sim",Config!$B$11*Config!$B$12,0))/60*Config!$B$7+D12)</f>
        <v>84.6666666666667</v>
      </c>
      <c r="F12" s="27">
        <f>IF(A12="","",IFERROR(E12/(1-Config!$B$8-Config!$B$9),""))</f>
        <v>143.502824858757</v>
      </c>
      <c r="G12" s="26">
        <f>IF(A12="","",IFERROR(E12/(1-Config!$B$8-Config!$B$10),""))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IF(OR(A12="",H12=""),"",IF(H12=0,"Sem cobrança",IF(H12&lt;F12,"Abaixo do mínimo",IF(H12&lt;G12,"Entre mínimo e alvo","No alvo ou acima"))))</f>
        <v>No alvo ou acima</v>
      </c>
      <c r="O12" s="30">
        <f>IF(A12="","",SUMPRODUCT((I12:M12&lt;&gt;"")*(I12:M12&gt;0)*(I12:M12*(1-Config!$B$8)&lt;E12)))</f>
        <v>2</v>
      </c>
      <c r="P12" s="23" t="n">
        <v>10</v>
      </c>
      <c r="Q12" s="28" t="n">
        <v>2490</v>
      </c>
      <c r="R12" s="26">
        <f>IF(OR(A12="",P12="",P12=0),"",Q12/P12)</f>
        <v>249</v>
      </c>
      <c r="S12" s="31">
        <f>IF(OR(R12="",F12="",H12=0),"",R12/F12-1)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IF(A13="","",(B13+IF(C13="Sim",Config!$B$11*Config!$B$12,0))/60*Config!$B$7+D13)</f>
        <v>158.333333333333</v>
      </c>
      <c r="F13" s="27">
        <f>IF(A13="","",IFERROR(E13/(1-Config!$B$8-Config!$B$9),""))</f>
        <v>268.361581920904</v>
      </c>
      <c r="G13" s="26">
        <f>IF(A13="","",IFERROR(E13/(1-Config!$B$8-Config!$B$10),""))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IF(OR(A13="",H13=""),"",IF(H13=0,"Sem cobrança",IF(H13&lt;F13,"Abaixo do mínimo",IF(H13&lt;G13,"Entre mínimo e alvo","No alvo ou acima"))))</f>
        <v>No alvo ou acima</v>
      </c>
      <c r="O13" s="30">
        <f>IF(A13="","",SUMPRODUCT((I13:M13&lt;&gt;"")*(I13:M13&gt;0)*(I13:M13*(1-Config!$B$8)&lt;E13)))</f>
        <v>3</v>
      </c>
      <c r="P13" s="23" t="n">
        <v>8</v>
      </c>
      <c r="Q13" s="28" t="n">
        <v>2270</v>
      </c>
      <c r="R13" s="26">
        <f>IF(OR(A13="",P13="",P13=0),"",Q13/P13)</f>
        <v>283.75</v>
      </c>
      <c r="S13" s="31">
        <f>IF(OR(R13="",F13="",H13=0),"",R13/F13-1)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IF(A14="","",(B14+IF(C14="Sim",Config!$B$11*Config!$B$12,0))/60*Config!$B$7+D14)</f>
        <v>164</v>
      </c>
      <c r="F14" s="27">
        <f>IF(A14="","",IFERROR(E14/(1-Config!$B$8-Config!$B$9),""))</f>
        <v>277.966101694915</v>
      </c>
      <c r="G14" s="26">
        <f>IF(A14="","",IFERROR(E14/(1-Config!$B$8-Config!$B$10),""))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IF(OR(A14="",H14=""),"",IF(H14=0,"Sem cobrança",IF(H14&lt;F14,"Abaixo do mínimo",IF(H14&lt;G14,"Entre mínimo e alvo","No alvo ou acima"))))</f>
        <v>No alvo ou acima</v>
      </c>
      <c r="O14" s="30">
        <f>IF(A14="","",SUMPRODUCT((I14:M14&lt;&gt;"")*(I14:M14&gt;0)*(I14:M14*(1-Config!$B$8)&lt;E14)))</f>
        <v>1</v>
      </c>
      <c r="P14" s="23" t="n">
        <v>30</v>
      </c>
      <c r="Q14" s="28" t="n">
        <v>10380</v>
      </c>
      <c r="R14" s="26">
        <f>IF(OR(A14="",P14="",P14=0),"",Q14/P14)</f>
        <v>346</v>
      </c>
      <c r="S14" s="31">
        <f>IF(OR(R14="",F14="",H14=0),"",R14/F14-1)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IF(A15="","",(B15+IF(C15="Sim",Config!$B$11*Config!$B$12,0))/60*Config!$B$7+D15)</f>
        <v/>
      </c>
      <c r="F15" s="27">
        <f>IF(A15="","",IFERROR(E15/(1-Config!$B$8-Config!$B$9),""))</f>
        <v/>
      </c>
      <c r="G15" s="26">
        <f>IF(A15="","",IFERROR(E15/(1-Config!$B$8-Config!$B$10),""))</f>
        <v/>
      </c>
      <c r="H15" s="28" t="n"/>
      <c r="I15" s="28" t="n"/>
      <c r="J15" s="28" t="n"/>
      <c r="K15" s="28" t="n"/>
      <c r="L15" s="28" t="n"/>
      <c r="M15" s="28" t="n"/>
      <c r="N15" s="29">
        <f>IF(OR(A15="",H15=""),"",IF(H15=0,"Sem cobrança",IF(H15&lt;F15,"Abaixo do mínimo",IF(H15&lt;G15,"Entre mínimo e alvo","No alvo ou acima"))))</f>
        <v/>
      </c>
      <c r="O15" s="30">
        <f>IF(A15="","",SUMPRODUCT((I15:M15&lt;&gt;"")*(I15:M15&gt;0)*(I15:M15*(1-Config!$B$8)&lt;E15)))</f>
        <v/>
      </c>
      <c r="P15" s="23" t="n"/>
      <c r="Q15" s="28" t="n"/>
      <c r="R15" s="26">
        <f>IF(OR(A15="",P15="",P15=0),"",Q15/P15)</f>
        <v/>
      </c>
      <c r="S15" s="31">
        <f>IF(OR(R15="",F15="",H15=0),"",R15/F15-1)</f>
        <v/>
      </c>
      <c r="T15" s="22" t="n"/>
    </row>
    <row r="16">
      <c r="A16" s="22" t="n"/>
      <c r="B16" s="23" t="n"/>
      <c r="C16" s="24" t="n"/>
      <c r="D16" s="25" t="n"/>
      <c r="E16" s="26">
        <f>IF(A16="","",(B16+IF(C16="Sim",Config!$B$11*Config!$B$12,0))/60*Config!$B$7+D16)</f>
        <v/>
      </c>
      <c r="F16" s="27">
        <f>IF(A16="","",IFERROR(E16/(1-Config!$B$8-Config!$B$9),""))</f>
        <v/>
      </c>
      <c r="G16" s="26">
        <f>IF(A16="","",IFERROR(E16/(1-Config!$B$8-Config!$B$10),""))</f>
        <v/>
      </c>
      <c r="H16" s="28" t="n"/>
      <c r="I16" s="28" t="n"/>
      <c r="J16" s="28" t="n"/>
      <c r="K16" s="28" t="n"/>
      <c r="L16" s="28" t="n"/>
      <c r="M16" s="28" t="n"/>
      <c r="N16" s="29">
        <f>IF(OR(A16="",H16=""),"",IF(H16=0,"Sem cobrança",IF(H16&lt;F16,"Abaixo do mínimo",IF(H16&lt;G16,"Entre mínimo e alvo","No alvo ou acima"))))</f>
        <v/>
      </c>
      <c r="O16" s="30">
        <f>IF(A16="","",SUMPRODUCT((I16:M16&lt;&gt;"")*(I16:M16&gt;0)*(I16:M16*(1-Config!$B$8)&lt;E16)))</f>
        <v/>
      </c>
      <c r="P16" s="23" t="n"/>
      <c r="Q16" s="28" t="n"/>
      <c r="R16" s="26">
        <f>IF(OR(A16="",P16="",P16=0),"",Q16/P16)</f>
        <v/>
      </c>
      <c r="S16" s="31">
        <f>IF(OR(R16="",F16="",H16=0),"",R16/F16-1)</f>
        <v/>
      </c>
      <c r="T16" s="22" t="n"/>
    </row>
    <row r="17">
      <c r="A17" s="22" t="n"/>
      <c r="B17" s="23" t="n"/>
      <c r="C17" s="24" t="n"/>
      <c r="D17" s="25" t="n"/>
      <c r="E17" s="26">
        <f>IF(A17="","",(B17+IF(C17="Sim",Config!$B$11*Config!$B$12,0))/60*Config!$B$7+D17)</f>
        <v/>
      </c>
      <c r="F17" s="27">
        <f>IF(A17="","",IFERROR(E17/(1-Config!$B$8-Config!$B$9),""))</f>
        <v/>
      </c>
      <c r="G17" s="26">
        <f>IF(A17="","",IFERROR(E17/(1-Config!$B$8-Config!$B$10),""))</f>
        <v/>
      </c>
      <c r="H17" s="28" t="n"/>
      <c r="I17" s="28" t="n"/>
      <c r="J17" s="28" t="n"/>
      <c r="K17" s="28" t="n"/>
      <c r="L17" s="28" t="n"/>
      <c r="M17" s="28" t="n"/>
      <c r="N17" s="29">
        <f>IF(OR(A17="",H17=""),"",IF(H17=0,"Sem cobrança",IF(H17&lt;F17,"Abaixo do mínimo",IF(H17&lt;G17,"Entre mínimo e alvo","No alvo ou acima"))))</f>
        <v/>
      </c>
      <c r="O17" s="30">
        <f>IF(A17="","",SUMPRODUCT((I17:M17&lt;&gt;"")*(I17:M17&gt;0)*(I17:M17*(1-Config!$B$8)&lt;E17)))</f>
        <v/>
      </c>
      <c r="P17" s="23" t="n"/>
      <c r="Q17" s="28" t="n"/>
      <c r="R17" s="26">
        <f>IF(OR(A17="",P17="",P17=0),"",Q17/P17)</f>
        <v/>
      </c>
      <c r="S17" s="31">
        <f>IF(OR(R17="",F17="",H17=0),"",R17/F17-1)</f>
        <v/>
      </c>
      <c r="T17" s="22" t="n"/>
    </row>
    <row r="18">
      <c r="A18" s="22" t="n"/>
      <c r="B18" s="23" t="n"/>
      <c r="C18" s="24" t="n"/>
      <c r="D18" s="25" t="n"/>
      <c r="E18" s="26">
        <f>IF(A18="","",(B18+IF(C18="Sim",Config!$B$11*Config!$B$12,0))/60*Config!$B$7+D18)</f>
        <v/>
      </c>
      <c r="F18" s="27">
        <f>IF(A18="","",IFERROR(E18/(1-Config!$B$8-Config!$B$9),""))</f>
        <v/>
      </c>
      <c r="G18" s="26">
        <f>IF(A18="","",IFERROR(E18/(1-Config!$B$8-Config!$B$10),""))</f>
        <v/>
      </c>
      <c r="H18" s="28" t="n"/>
      <c r="I18" s="28" t="n"/>
      <c r="J18" s="28" t="n"/>
      <c r="K18" s="28" t="n"/>
      <c r="L18" s="28" t="n"/>
      <c r="M18" s="28" t="n"/>
      <c r="N18" s="29">
        <f>IF(OR(A18="",H18=""),"",IF(H18=0,"Sem cobrança",IF(H18&lt;F18,"Abaixo do mínimo",IF(H18&lt;G18,"Entre mínimo e alvo","No alvo ou acima"))))</f>
        <v/>
      </c>
      <c r="O18" s="30">
        <f>IF(A18="","",SUMPRODUCT((I18:M18&lt;&gt;"")*(I18:M18&gt;0)*(I18:M18*(1-Config!$B$8)&lt;E18)))</f>
        <v/>
      </c>
      <c r="P18" s="23" t="n"/>
      <c r="Q18" s="28" t="n"/>
      <c r="R18" s="26">
        <f>IF(OR(A18="",P18="",P18=0),"",Q18/P18)</f>
        <v/>
      </c>
      <c r="S18" s="31">
        <f>IF(OR(R18="",F18="",H18=0),"",R18/F18-1)</f>
        <v/>
      </c>
      <c r="T18" s="22" t="n"/>
    </row>
    <row r="19">
      <c r="A19" s="22" t="n"/>
      <c r="B19" s="23" t="n"/>
      <c r="C19" s="24" t="n"/>
      <c r="D19" s="25" t="n"/>
      <c r="E19" s="26">
        <f>IF(A19="","",(B19+IF(C19="Sim",Config!$B$11*Config!$B$12,0))/60*Config!$B$7+D19)</f>
        <v/>
      </c>
      <c r="F19" s="27">
        <f>IF(A19="","",IFERROR(E19/(1-Config!$B$8-Config!$B$9),""))</f>
        <v/>
      </c>
      <c r="G19" s="26">
        <f>IF(A19="","",IFERROR(E19/(1-Config!$B$8-Config!$B$10),""))</f>
        <v/>
      </c>
      <c r="H19" s="28" t="n"/>
      <c r="I19" s="28" t="n"/>
      <c r="J19" s="28" t="n"/>
      <c r="K19" s="28" t="n"/>
      <c r="L19" s="28" t="n"/>
      <c r="M19" s="28" t="n"/>
      <c r="N19" s="29">
        <f>IF(OR(A19="",H19=""),"",IF(H19=0,"Sem cobrança",IF(H19&lt;F19,"Abaixo do mínimo",IF(H19&lt;G19,"Entre mínimo e alvo","No alvo ou acima"))))</f>
        <v/>
      </c>
      <c r="O19" s="30">
        <f>IF(A19="","",SUMPRODUCT((I19:M19&lt;&gt;"")*(I19:M19&gt;0)*(I19:M19*(1-Config!$B$8)&lt;E19)))</f>
        <v/>
      </c>
      <c r="P19" s="23" t="n"/>
      <c r="Q19" s="28" t="n"/>
      <c r="R19" s="26">
        <f>IF(OR(A19="",P19="",P19=0),"",Q19/P19)</f>
        <v/>
      </c>
      <c r="S19" s="31">
        <f>IF(OR(R19="",F19="",H19=0),"",R19/F19-1)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IF($A8="","",B8+IF(C8="Sim",Config!$B$11*Config!$B$12,0))</f>
        <v>38</v>
      </c>
      <c r="C27" s="36">
        <f>IF(OR($A8="",H8="",$B27=0),"",H8/($B27/60))</f>
        <v>600</v>
      </c>
      <c r="D27" s="36">
        <f>IF(OR($A8="",I8="",$B27=0),"",I8/($B27/60))</f>
        <v>189.473684210526</v>
      </c>
      <c r="E27" s="36">
        <f>IF(OR($A8="",J8="",$B27=0),"",J8/($B27/60))</f>
        <v>157.894736842105</v>
      </c>
      <c r="F27" s="36">
        <f>IF(OR($A8="",K8="",$B27=0),"",K8/($B27/60))</f>
        <v>142.105263157895</v>
      </c>
      <c r="G27" s="36">
        <f>IF(OR($A8="",L8="",$B27=0),"",L8/($B27/60))</f>
        <v/>
      </c>
      <c r="H27" s="36">
        <f>IF(OR($A8="",M8="",$B27=0),"",M8/($B27/60))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IF($A9="","",B9+IF(C9="Sim",Config!$B$11*Config!$B$12,0))</f>
        <v>20</v>
      </c>
      <c r="C28" s="36">
        <f>IF(OR($A9="",H9="",$B28=0),"",H9/($B28/60))</f>
        <v>0</v>
      </c>
      <c r="D28" s="36">
        <f>IF(OR($A9="",I9="",$B28=0),"",I9/($B28/60))</f>
        <v>0</v>
      </c>
      <c r="E28" s="36">
        <f>IF(OR($A9="",J9="",$B28=0),"",J9/($B28/60))</f>
        <v>0</v>
      </c>
      <c r="F28" s="36">
        <f>IF(OR($A9="",K9="",$B28=0),"",K9/($B28/60))</f>
        <v>0</v>
      </c>
      <c r="G28" s="36">
        <f>IF(OR($A9="",L9="",$B28=0),"",L9/($B28/60))</f>
        <v/>
      </c>
      <c r="H28" s="36">
        <f>IF(OR($A9="",M9="",$B28=0),"",M9/($B28/60))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IF($A10="","",B10+IF(C10="Sim",Config!$B$11*Config!$B$12,0))</f>
        <v>20</v>
      </c>
      <c r="C29" s="36">
        <f>IF(OR($A10="",H10="",$B29=0),"",H10/($B29/60))</f>
        <v>390</v>
      </c>
      <c r="D29" s="36">
        <f>IF(OR($A10="",I10="",$B29=0),"",I10/($B29/60))</f>
        <v>120</v>
      </c>
      <c r="E29" s="36">
        <f>IF(OR($A10="",J10="",$B29=0),"",J10/($B29/60))</f>
        <v>105</v>
      </c>
      <c r="F29" s="36">
        <f>IF(OR($A10="",K10="",$B29=0),"",K10/($B29/60))</f>
        <v>96</v>
      </c>
      <c r="G29" s="36">
        <f>IF(OR($A10="",L10="",$B29=0),"",L10/($B29/60))</f>
        <v/>
      </c>
      <c r="H29" s="36">
        <f>IF(OR($A10="",M10="",$B29=0),"",M10/($B29/60))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IF($A11="","",B11+IF(C11="Sim",Config!$B$11*Config!$B$12,0))</f>
        <v>20</v>
      </c>
      <c r="C30" s="36">
        <f>IF(OR($A11="",H11="",$B30=0),"",H11/($B30/60))</f>
        <v>900</v>
      </c>
      <c r="D30" s="36">
        <f>IF(OR($A11="",I11="",$B30=0),"",I11/($B30/60))</f>
        <v>285</v>
      </c>
      <c r="E30" s="36">
        <f>IF(OR($A11="",J11="",$B30=0),"",J11/($B30/60))</f>
        <v>255</v>
      </c>
      <c r="F30" s="36">
        <f>IF(OR($A11="",K11="",$B30=0),"",K11/($B30/60))</f>
        <v>225</v>
      </c>
      <c r="G30" s="36">
        <f>IF(OR($A11="",L11="",$B30=0),"",L11/($B30/60))</f>
        <v/>
      </c>
      <c r="H30" s="36">
        <f>IF(OR($A11="",M11="",$B30=0),"",M11/($B30/60))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IF($A12="","",B12+IF(C12="Sim",Config!$B$11*Config!$B$12,0))</f>
        <v>20</v>
      </c>
      <c r="C31" s="36">
        <f>IF(OR($A12="",H12="",$B31=0),"",H12/($B31/60))</f>
        <v>1050</v>
      </c>
      <c r="D31" s="36">
        <f>IF(OR($A12="",I12="",$B31=0),"",I12/($B31/60))</f>
        <v>315</v>
      </c>
      <c r="E31" s="36">
        <f>IF(OR($A12="",J12="",$B31=0),"",J12/($B31/60))</f>
        <v>285</v>
      </c>
      <c r="F31" s="36">
        <f>IF(OR($A12="",K12="",$B31=0),"",K12/($B31/60))</f>
        <v>255</v>
      </c>
      <c r="G31" s="36">
        <f>IF(OR($A12="",L12="",$B31=0),"",L12/($B31/60))</f>
        <v/>
      </c>
      <c r="H31" s="36">
        <f>IF(OR($A12="",M12="",$B31=0),"",M12/($B31/60))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IF($A13="","",B13+IF(C13="Sim",Config!$B$11*Config!$B$12,0))</f>
        <v>40</v>
      </c>
      <c r="C32" s="36">
        <f>IF(OR($A13="",H13="",$B32=0),"",H13/($B32/60))</f>
        <v>675</v>
      </c>
      <c r="D32" s="36">
        <f>IF(OR($A13="",I13="",$B32=0),"",I13/($B32/60))</f>
        <v>210</v>
      </c>
      <c r="E32" s="36">
        <f>IF(OR($A13="",J13="",$B32=0),"",J13/($B32/60))</f>
        <v>187.5</v>
      </c>
      <c r="F32" s="36">
        <f>IF(OR($A13="",K13="",$B32=0),"",K13/($B32/60))</f>
        <v>165</v>
      </c>
      <c r="G32" s="36">
        <f>IF(OR($A13="",L13="",$B32=0),"",L13/($B32/60))</f>
        <v/>
      </c>
      <c r="H32" s="36">
        <f>IF(OR($A13="",M13="",$B32=0),"",M13/($B32/60))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IF($A14="","",B14+IF(C14="Sim",Config!$B$11*Config!$B$12,0))</f>
        <v>48</v>
      </c>
      <c r="C33" s="36">
        <f>IF(OR($A14="",H14="",$B33=0),"",H14/($B33/60))</f>
        <v>500</v>
      </c>
      <c r="D33" s="36">
        <f>IF(OR($A14="",I14="",$B33=0),"",I14/($B33/60))</f>
        <v>162.5</v>
      </c>
      <c r="E33" s="36">
        <f>IF(OR($A14="",J14="",$B33=0),"",J14/($B33/60))</f>
        <v/>
      </c>
      <c r="F33" s="36">
        <f>IF(OR($A14="",K14="",$B33=0),"",K14/($B33/60))</f>
        <v/>
      </c>
      <c r="G33" s="36">
        <f>IF(OR($A14="",L14="",$B33=0),"",L14/($B33/60))</f>
        <v/>
      </c>
      <c r="H33" s="36">
        <f>IF(OR($A14="",M14="",$B33=0),"",M14/($B33/60))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IF($A15="","",B15+IF(C15="Sim",Config!$B$11*Config!$B$12,0))</f>
        <v/>
      </c>
      <c r="C34" s="36">
        <f>IF(OR($A15="",H15="",$B34=0),"",H15/($B34/60))</f>
        <v/>
      </c>
      <c r="D34" s="36">
        <f>IF(OR($A15="",I15="",$B34=0),"",I15/($B34/60))</f>
        <v/>
      </c>
      <c r="E34" s="36">
        <f>IF(OR($A15="",J15="",$B34=0),"",J15/($B34/60))</f>
        <v/>
      </c>
      <c r="F34" s="36">
        <f>IF(OR($A15="",K15="",$B34=0),"",K15/($B34/60))</f>
        <v/>
      </c>
      <c r="G34" s="36">
        <f>IF(OR($A15="",L15="",$B34=0),"",L15/($B34/60))</f>
        <v/>
      </c>
      <c r="H34" s="36">
        <f>IF(OR($A15="",M15="",$B34=0),"",M15/($B34/60))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IF($A16="","",B16+IF(C16="Sim",Config!$B$11*Config!$B$12,0))</f>
        <v/>
      </c>
      <c r="C35" s="36">
        <f>IF(OR($A16="",H16="",$B35=0),"",H16/($B35/60))</f>
        <v/>
      </c>
      <c r="D35" s="36">
        <f>IF(OR($A16="",I16="",$B35=0),"",I16/($B35/60))</f>
        <v/>
      </c>
      <c r="E35" s="36">
        <f>IF(OR($A16="",J16="",$B35=0),"",J16/($B35/60))</f>
        <v/>
      </c>
      <c r="F35" s="36">
        <f>IF(OR($A16="",K16="",$B35=0),"",K16/($B35/60))</f>
        <v/>
      </c>
      <c r="G35" s="36">
        <f>IF(OR($A16="",L16="",$B35=0),"",L16/($B35/60))</f>
        <v/>
      </c>
      <c r="H35" s="36">
        <f>IF(OR($A16="",M16="",$B35=0),"",M16/($B35/60))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IF($A17="","",B17+IF(C17="Sim",Config!$B$11*Config!$B$12,0))</f>
        <v/>
      </c>
      <c r="C36" s="36">
        <f>IF(OR($A17="",H17="",$B36=0),"",H17/($B36/60))</f>
        <v/>
      </c>
      <c r="D36" s="36">
        <f>IF(OR($A17="",I17="",$B36=0),"",I17/($B36/60))</f>
        <v/>
      </c>
      <c r="E36" s="36">
        <f>IF(OR($A17="",J17="",$B36=0),"",J17/($B36/60))</f>
        <v/>
      </c>
      <c r="F36" s="36">
        <f>IF(OR($A17="",K17="",$B36=0),"",K17/($B36/60))</f>
        <v/>
      </c>
      <c r="G36" s="36">
        <f>IF(OR($A17="",L17="",$B36=0),"",L17/($B36/60))</f>
        <v/>
      </c>
      <c r="H36" s="36">
        <f>IF(OR($A17="",M17="",$B36=0),"",M17/($B36/60))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IF($A18="","",B18+IF(C18="Sim",Config!$B$11*Config!$B$12,0))</f>
        <v/>
      </c>
      <c r="C37" s="36">
        <f>IF(OR($A18="",H18="",$B37=0),"",H18/($B37/60))</f>
        <v/>
      </c>
      <c r="D37" s="36">
        <f>IF(OR($A18="",I18="",$B37=0),"",I18/($B37/60))</f>
        <v/>
      </c>
      <c r="E37" s="36">
        <f>IF(OR($A18="",J18="",$B37=0),"",J18/($B37/60))</f>
        <v/>
      </c>
      <c r="F37" s="36">
        <f>IF(OR($A18="",K18="",$B37=0),"",K18/($B37/60))</f>
        <v/>
      </c>
      <c r="G37" s="36">
        <f>IF(OR($A18="",L18="",$B37=0),"",L18/($B37/60))</f>
        <v/>
      </c>
      <c r="H37" s="36">
        <f>IF(OR($A18="",M18="",$B37=0),"",M18/($B37/60))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IF($A19="","",B19+IF(C19="Sim",Config!$B$11*Config!$B$12,0))</f>
        <v/>
      </c>
      <c r="C38" s="36">
        <f>IF(OR($A19="",H19="",$B38=0),"",H19/($B38/60))</f>
        <v/>
      </c>
      <c r="D38" s="36">
        <f>IF(OR($A19="",I19="",$B38=0),"",I19/($B38/60))</f>
        <v/>
      </c>
      <c r="E38" s="36">
        <f>IF(OR($A19="",J19="",$B38=0),"",J19/($B38/60))</f>
        <v/>
      </c>
      <c r="F38" s="36">
        <f>IF(OR($A19="",K19="",$B38=0),"",K19/($B38/60))</f>
        <v/>
      </c>
      <c r="G38" s="36">
        <f>IF(OR($A19="",L19="",$B38=0),"",L19/($B38/60))</f>
        <v/>
      </c>
      <c r="H38" s="36">
        <f>IF(OR($A19="",M19="",$B38=0),"",M19/($B38/60))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N8="Abaixo do mínimo"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AND(ISNUMBER(I8),I8&gt;0,I8*(1-INDIRECT("Config!$B$8"))&lt;$E8)</formula>
    </cfRule>
    <cfRule type="expression" priority="5" dxfId="1">
      <formula>AND(ISNUMBER(I8),I8*(1-INDIRECT("Config!$B$8"))&gt;=$E8,I8&lt;$F8)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AND(ISNUMBER(C27),C27&gt;0,C27&lt;INDIRECT("Config!$B$13"))</formula>
    </cfRule>
    <cfRule type="expression" priority="10" dxfId="2">
      <formula>AND(ISNUMBER(C27),C27&gt;=INDIRECT("Config!$B$14"))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IFERROR(B7/(1-B8-B9),"")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IFERROR(B7/(1-B8-B10),"")</f>
        <v>454.545454545455</v>
      </c>
      <c r="C14" s="37" t="inlineStr">
        <is>
          <t>Custo-hora ÷ (1 − impostos − margem alvo).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2026-09-18T16:29:29Z</dcterms:created>
  <dcterms:modified xmlns:dcterms="http://purl.org/dc/terms/" xmlns:xsi="http://www.w3.org/2001/XMLSchema-instance" xsi:type="dcterms:W3CDTF">2026-09-18T16:29:29Z</dcterms:modified>
</cp:coreProperties>
</file>