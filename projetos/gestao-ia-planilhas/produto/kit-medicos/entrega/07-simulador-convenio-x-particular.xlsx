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IF(B12="","",B12/60*Config!$B$5+B11)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IFERROR(Config!$B$5/(1-Config!$B$6-Config!$B$7),"")</f>
        <v>338.983050847458</v>
      </c>
    </row>
    <row r="15">
      <c r="A15" s="23" t="inlineStr">
        <is>
          <t>Preço mínimo deste procedimento (R$)</t>
        </is>
      </c>
      <c r="B15" s="28">
        <f>IF(B13="","",IFERROR(B13/(1-Config!$B$6-Config!$B$7),""))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IF(E19="","",E19*Config!$B$6)</f>
        <v>41.8</v>
      </c>
      <c r="H19" s="28">
        <f>IF(E19="","",E19-F19-G19)</f>
        <v>338.2</v>
      </c>
      <c r="I19" s="26">
        <f>IF(E19="","",$B$13)</f>
        <v>130.666666666667</v>
      </c>
      <c r="J19" s="26">
        <f>IF(E19="","",H19-I19)</f>
        <v>207.533333333333</v>
      </c>
      <c r="K19" s="33">
        <f>IF(OR(E19="",B19=0),"",J19/B19)</f>
        <v>0.546140350877193</v>
      </c>
      <c r="L19" s="26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IF(E20="","",E20*Config!$B$6)</f>
        <v>12.804</v>
      </c>
      <c r="H20" s="28">
        <f>IF(E20="","",E20-F20-G20)</f>
        <v>101.85</v>
      </c>
      <c r="I20" s="26">
        <f>IF(E20="","",$B$13)</f>
        <v>130.666666666667</v>
      </c>
      <c r="J20" s="26">
        <f>IF(E20="","",H20-I20)</f>
        <v>-28.8166666666667</v>
      </c>
      <c r="K20" s="33">
        <f>IF(OR(E20="",B20=0),"",J20/B20)</f>
        <v>-0.240138888888889</v>
      </c>
      <c r="L20" s="26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IF(E21="","",E21*Config!$B$6)</f>
        <v>10.34</v>
      </c>
      <c r="H21" s="28">
        <f>IF(E21="","",E21-F21-G21)</f>
        <v>81.545</v>
      </c>
      <c r="I21" s="26">
        <f>IF(E21="","",$B$13)</f>
        <v>130.666666666667</v>
      </c>
      <c r="J21" s="26">
        <f>IF(E21="","",H21-I21)</f>
        <v>-49.1216666666667</v>
      </c>
      <c r="K21" s="33">
        <f>IF(OR(E21="",B21=0),"",J21/B21)</f>
        <v>-0.491216666666667</v>
      </c>
      <c r="L21" s="26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IF(E22="","",E22*Config!$B$6)</f>
        <v>8.91</v>
      </c>
      <c r="H22" s="28">
        <f>IF(E22="","",E22-F22-G22)</f>
        <v>69.66</v>
      </c>
      <c r="I22" s="26">
        <f>IF(E22="","",$B$13)</f>
        <v>130.666666666667</v>
      </c>
      <c r="J22" s="26">
        <f>IF(E22="","",H22-I22)</f>
        <v>-61.0066666666667</v>
      </c>
      <c r="K22" s="33">
        <f>IF(OR(E22="",B22=0),"",J22/B22)</f>
        <v>-0.677851851851852</v>
      </c>
      <c r="L22" s="26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IF(E23="","",E23*Config!$B$6)</f>
        <v/>
      </c>
      <c r="H23" s="28">
        <f>IF(E23="","",E23-F23-G23)</f>
        <v/>
      </c>
      <c r="I23" s="26">
        <f>IF(E23="","",$B$13)</f>
        <v/>
      </c>
      <c r="J23" s="26">
        <f>IF(E23="","",H23-I23)</f>
        <v/>
      </c>
      <c r="K23" s="33">
        <f>IF(OR(E23="",B23=0),"",J23/B23)</f>
        <v/>
      </c>
      <c r="L23" s="26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IF(E24="","",E24*Config!$B$6)</f>
        <v/>
      </c>
      <c r="H24" s="28">
        <f>IF(E24="","",E24-F24-G24)</f>
        <v/>
      </c>
      <c r="I24" s="26">
        <f>IF(E24="","",$B$13)</f>
        <v/>
      </c>
      <c r="J24" s="26">
        <f>IF(E24="","",H24-I24)</f>
        <v/>
      </c>
      <c r="K24" s="33">
        <f>IF(OR(E24="",B24=0),"",J24/B24)</f>
        <v/>
      </c>
      <c r="L24" s="26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2026-09-19T15:22:35Z</dcterms:created>
  <dcterms:modified xmlns:dcterms="http://purl.org/dc/terms/" xmlns:xsi="http://www.w3.org/2001/XMLSchema-instance" xsi:type="dcterms:W3CDTF">2026-09-19T15:22:35Z</dcterms:modified>
</cp:coreProperties>
</file>