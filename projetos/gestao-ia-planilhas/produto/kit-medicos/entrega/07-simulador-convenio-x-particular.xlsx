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Simulador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&quot;R$&quot; #,##0.00;[Red]-&quot;R$&quot; #,##0.00"/>
    <numFmt numFmtId="167" formatCode="0.0%"/>
    <numFmt numFmtId="168" formatCode="0.0"/>
    <numFmt numFmtId="169" formatCode="&quot;R$&quot; #,##0;[Red]-&quot;R$&quot; #,##0"/>
    <numFmt numFmtId="170" formatCode="+0%;-0%;0%"/>
    <numFmt numFmtId="171" formatCode="#,##0.0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13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7A1F1F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166" fontId="11" fillId="5" borderId="0" applyAlignment="1" pivotButton="0" quotePrefix="0" xfId="0">
      <alignment horizontal="center"/>
    </xf>
    <xf numFmtId="49" fontId="7" fillId="6" borderId="0" applyAlignment="1" pivotButton="0" quotePrefix="0" xfId="0">
      <alignment horizontal="center"/>
    </xf>
    <xf numFmtId="49" fontId="14" fillId="7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5" fillId="0" borderId="0" pivotButton="0" quotePrefix="0" xfId="0"/>
    <xf numFmtId="0" fontId="8" fillId="0" borderId="1" pivotButton="0" quotePrefix="0" xfId="0"/>
    <xf numFmtId="1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9" fontId="4" fillId="2" borderId="1" applyAlignment="1" applyProtection="1" pivotButton="0" quotePrefix="0" xfId="0">
      <alignment horizontal="center"/>
      <protection locked="0" hidden="0"/>
    </xf>
    <xf numFmtId="167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7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" fontId="4" fillId="2" borderId="1" applyAlignment="1" applyProtection="1" pivotButton="0" quotePrefix="0" xfId="0">
      <alignment horizontal="center"/>
      <protection locked="0" hidden="0"/>
    </xf>
    <xf numFmtId="171" fontId="4" fillId="0" borderId="1" applyAlignment="1" pivotButton="0" quotePrefix="0" xfId="0">
      <alignment horizontal="center"/>
    </xf>
    <xf numFmtId="169" fontId="4" fillId="0" borderId="1" applyAlignment="1" pivotButton="0" quotePrefix="0" xfId="0">
      <alignment horizontal="center"/>
    </xf>
    <xf numFmtId="0" fontId="3" fillId="0" borderId="1" pivotButton="0" quotePrefix="0" xfId="0"/>
    <xf numFmtId="1" fontId="3" fillId="0" borderId="1" applyAlignment="1" pivotButton="0" quotePrefix="0" xfId="0">
      <alignment horizontal="center"/>
    </xf>
    <xf numFmtId="171" fontId="3" fillId="0" borderId="1" applyAlignment="1" pivotButton="0" quotePrefix="0" xfId="0">
      <alignment horizontal="center"/>
    </xf>
    <xf numFmtId="169" fontId="3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6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2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C8402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Líquido por hora × hora mínima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'Simulador'!L18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'Simulador'!$A$19:$A$22</f>
            </numRef>
          </cat>
          <val>
            <numRef>
              <f>'Simulador'!$L$19:$L$22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46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Simulador convênio × particular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Responde "vale a pena este convênio?" para um procedimento: pega o valor de tabela de cada pagador, tira a glosa esperada, o custo do dinheiro pelo prazo de pagamento e os impostos, compara com o custo cheio do atendimento (custo-hora da 05 + material) e mostra o líquido por hora contra a hora mínima. Depois faz a leitura oposta: com horários vazios, o que cada pagador ainda contribui.</t>
        </is>
      </c>
    </row>
    <row r="5" ht="46" customHeight="1">
      <c r="A5" s="3" t="inlineStr">
        <is>
          <t>Passo 1</t>
        </is>
      </c>
      <c r="B5" s="4" t="inlineStr">
        <is>
          <t>Em Config, copie o custo-hora, a alíquota e a margem mínima da planilha 05; digite o custo do dinheiro (% ao mês); cadastre os pagadores com prazo de pagamento e glosa esperada (Painel da 13) e os procedimentos com tempo e material (iguais à 06).</t>
        </is>
      </c>
    </row>
    <row r="6" ht="46" customHeight="1">
      <c r="A6" s="3" t="inlineStr">
        <is>
          <t>Passo 2</t>
        </is>
      </c>
      <c r="B6" s="4" t="inlineStr">
        <is>
          <t>Em Simulador, escolha o procedimento e copie o valor de tabela de cada pagador da planilha 08 · Tabela de preços (o particular é o preço praticado). A 08 é a fonte única da tabela no kit: mudou um preço, atualize 08 → 06 → 07 → 01, nessa ordem. Leia o quadro 2 (agenda cheia): margem, líquido por hora e o veredito de cada pagador.</t>
        </is>
      </c>
    </row>
    <row r="7" ht="46" customHeight="1">
      <c r="A7" s="3" t="inlineStr">
        <is>
          <t>Passo 3</t>
        </is>
      </c>
      <c r="B7" s="4" t="inlineStr">
        <is>
          <t>Leia o quadro 3 (agenda vazia): a contribuição por atendimento e quantos atendimentos do convênio equivalem a um particular. Compare com as horas vazias do mês (01). No quadro 4, digite os atendimentos do mês por pagador e veja o resultado do mix.</t>
        </is>
      </c>
    </row>
    <row r="8" ht="46" customHeight="1">
      <c r="A8" s="3" t="inlineStr">
        <is>
          <t>Rotina</t>
        </is>
      </c>
      <c r="B8" s="4" t="inlineStr">
        <is>
          <t>Antes de renovar, aceitar ou descredenciar um convênio, e uma vez por semestre para os que já estão. Leva 15 minutos por procedimento. No exemplo: consulta, com as tabelas da 08 e as consultas realizadas em agosto.</t>
        </is>
      </c>
    </row>
    <row r="9" ht="46" customHeight="1">
      <c r="A9" s="3" t="inlineStr">
        <is>
          <t>Com a IA</t>
        </is>
      </c>
      <c r="B9" s="4" t="inlineStr">
        <is>
          <t>Copie os quadros 2 e 3 e use o prompt "Preço 03 · Vale a pena este convênio?" da biblioteca do kit para preparar os argumentos da negociação de tabela (sem prometer descredenciamento: é decisão da clínica, com contrato).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Dados de pacientes</t>
        </is>
      </c>
      <c r="B13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3" customWidth="1" min="9" max="9"/>
    <col width="12" customWidth="1" min="10" max="10"/>
    <col width="10" customWidth="1" min="11" max="11"/>
    <col width="14" customWidth="1" min="12" max="12"/>
    <col width="12" customWidth="1" min="13" max="13"/>
    <col width="34" customWidth="1" min="14" max="14"/>
  </cols>
  <sheetData>
    <row r="1" ht="28" customHeight="1">
      <c r="A1" s="5" t="str">
        <f>Config!$B$3&amp;" · Simulador convênio × particular · "&amp;TEXT(DAY(Config!$B$4),"00")&amp;"/"&amp;TEXT(MONTH(Config!$B$4),"00")&amp;"/"&amp;YEAR(Config!$B$4)</f>
        <v>Clínica Vida Plena (exemplo fictício) · Simulador convênio × particular · 14/09/2026</v>
      </c>
    </row>
    <row r="2">
      <c r="A2" s="6" t="inlineStr">
        <is>
          <t>Escolha o procedimento e digite o valor de tabela de cada pagador (amarelo). O resto é calculado: glosa, custo do dinheiro pelo prazo, impostos, custo cheio, margem e as duas leituras (agenda cheia × agenda vazia).</t>
        </is>
      </c>
    </row>
    <row r="3"/>
    <row r="4">
      <c r="A4" s="7" t="inlineStr">
        <is>
          <t>Custo cheio do atendimento</t>
        </is>
      </c>
      <c r="B4" s="8" t="n"/>
      <c r="C4" s="7" t="inlineStr">
        <is>
          <t>Hora mínima (05)</t>
        </is>
      </c>
      <c r="D4" s="8" t="n"/>
      <c r="E4" s="9" t="inlineStr">
        <is>
          <t>Particular · líquido por hora</t>
        </is>
      </c>
      <c r="F4" s="10" t="n"/>
      <c r="G4" s="11" t="inlineStr">
        <is>
          <t>Melhor convênio (líquido/hora)</t>
        </is>
      </c>
      <c r="H4" s="12" t="n"/>
      <c r="I4" s="12" t="n"/>
      <c r="J4" s="13" t="inlineStr">
        <is>
          <t>Pior convênio (líquido/hora)</t>
        </is>
      </c>
      <c r="K4" s="14" t="n"/>
      <c r="L4" s="14" t="n"/>
    </row>
    <row r="5" ht="30" customHeight="1">
      <c r="A5" s="15">
        <f>$B$13</f>
        <v>130.666666666667</v>
      </c>
      <c r="B5" s="8" t="n"/>
      <c r="C5" s="15">
        <f>$B$14</f>
        <v>338.983050847458</v>
      </c>
      <c r="D5" s="8" t="n"/>
      <c r="E5" s="16">
        <f>IF(L19="","",L19)</f>
        <v>534</v>
      </c>
      <c r="F5" s="10" t="n"/>
      <c r="G5" s="17" t="str">
        <f>IFERROR(INDEX($A$20:$A$24,MATCH(MAX($L$20:$L$24),$L$20:$L$24,0))&amp;": R$ "&amp;FIXED(MAX($L$20:$L$24),0),"")</f>
        <v>Saúde Total: R$ 161</v>
      </c>
      <c r="H5" s="12" t="n"/>
      <c r="I5" s="12" t="n"/>
      <c r="J5" s="18" t="str">
        <f>IFERROR(INDEX($A$20:$A$24,MATCH(MIN($L$20:$L$24),$L$20:$L$24,0))&amp;": R$ "&amp;FIXED(MIN($L$20:$L$24),0),"")</f>
        <v>Vida Care: R$ 110</v>
      </c>
      <c r="K5" s="14" t="n"/>
      <c r="L5" s="14" t="n"/>
    </row>
    <row r="6"/>
    <row r="7">
      <c r="A7" s="19" t="inlineStr">
        <is>
          <t>1. O procedimento</t>
        </is>
      </c>
    </row>
    <row r="8">
      <c r="A8" s="20" t="inlineStr">
        <is>
          <t>Procedimento</t>
        </is>
      </c>
      <c r="B8" s="21" t="inlineStr">
        <is>
          <t>Consulta</t>
        </is>
      </c>
      <c r="C8" s="22" t="inlineStr">
        <is>
          <t>Os valores de tabela do quadro 2 saem da planilha 08 · Tabela de preços (a fonte única da tabela no kit): copie de lá, não digite um preço diferente aqui.</t>
        </is>
      </c>
    </row>
    <row r="9">
      <c r="A9" s="23" t="inlineStr">
        <is>
          <t>Minutos</t>
        </is>
      </c>
      <c r="B9" s="24">
        <f>IFERROR(INDEX(Config!$B$19:$B$30,MATCH(B8,Config!$A$19:$A$30,0)),"")</f>
        <v>30</v>
      </c>
    </row>
    <row r="10">
      <c r="A10" s="23" t="inlineStr">
        <is>
          <t>Gera retorno?</t>
        </is>
      </c>
      <c r="B10" s="25" t="str">
        <f>IFERROR(INDEX(Config!$C$19:$C$30,MATCH(B8,Config!$A$19:$A$30,0)),"")</f>
        <v>Sim</v>
      </c>
    </row>
    <row r="11">
      <c r="A11" s="23" t="inlineStr">
        <is>
          <t>Material (R$)</t>
        </is>
      </c>
      <c r="B11" s="26">
        <f>IFERROR(INDEX(Config!$D$19:$D$30,MATCH(B8,Config!$A$19:$A$30,0)),0)</f>
        <v>4</v>
      </c>
    </row>
    <row r="12">
      <c r="A12" s="23" t="inlineStr">
        <is>
          <t>Tempo com retorno embutido (min)</t>
        </is>
      </c>
      <c r="B12" s="27">
        <f>IF(B9="","",B9+IF(B10="Sim",Config!$E$19*Config!$F$19,0))</f>
        <v>38</v>
      </c>
    </row>
    <row r="13">
      <c r="A13" s="23" t="inlineStr">
        <is>
          <t>Custo cheio do atendimento (R$)</t>
        </is>
      </c>
      <c r="B13" s="28">
        <f>IF(B12="","",B12/60*Config!$B$5+B11)</f>
        <v>130.666666666667</v>
      </c>
      <c r="C13" s="22" t="inlineStr">
        <is>
          <t>Tempo (com retorno) ÷ 60 × custo-hora + material. É o custo com a estrutura inteira rateada: a leitura de agenda cheia.</t>
        </is>
      </c>
    </row>
    <row r="14">
      <c r="A14" s="23" t="inlineStr">
        <is>
          <t>Hora mínima a cobrar (R$)</t>
        </is>
      </c>
      <c r="B14" s="26">
        <f>IFERROR(Config!$B$5/(1-Config!$B$6-Config!$B$7),"")</f>
        <v>338.983050847458</v>
      </c>
    </row>
    <row r="15">
      <c r="A15" s="23" t="inlineStr">
        <is>
          <t>Preço mínimo deste procedimento (R$)</t>
        </is>
      </c>
      <c r="B15" s="28">
        <f>IF(B13="","",IFERROR(B13/(1-Config!$B$6-Config!$B$7),""))</f>
        <v>221.468926553672</v>
      </c>
      <c r="C15" s="22" t="inlineStr">
        <is>
          <t>Custo cheio ÷ (1 − impostos − margem mínima). O mesmo número da planilha 06.</t>
        </is>
      </c>
    </row>
    <row r="16"/>
    <row r="17">
      <c r="A17" s="19" t="inlineStr">
        <is>
          <t>2. O que cada pagador paga por este procedimento</t>
        </is>
      </c>
    </row>
    <row r="18" ht="40" customHeight="1">
      <c r="A18" s="29" t="inlineStr">
        <is>
          <t>Pagador</t>
        </is>
      </c>
      <c r="B18" s="29" t="inlineStr">
        <is>
          <t>Valor de tabela (R$)</t>
        </is>
      </c>
      <c r="C18" s="29" t="inlineStr">
        <is>
          <t>Prazo (dias)</t>
        </is>
      </c>
      <c r="D18" s="29" t="inlineStr">
        <is>
          <t>Glosa esperada</t>
        </is>
      </c>
      <c r="E18" s="29" t="inlineStr">
        <is>
          <t>Valor após glosa</t>
        </is>
      </c>
      <c r="F18" s="29" t="inlineStr">
        <is>
          <t>Custo do dinheiro (R$)</t>
        </is>
      </c>
      <c r="G18" s="29" t="inlineStr">
        <is>
          <t>Impostos (R$)</t>
        </is>
      </c>
      <c r="H18" s="29" t="inlineStr">
        <is>
          <t>Valor líquido (R$)</t>
        </is>
      </c>
      <c r="I18" s="29" t="inlineStr">
        <is>
          <t>Custo cheio (R$)</t>
        </is>
      </c>
      <c r="J18" s="29" t="inlineStr">
        <is>
          <t>Margem (R$)</t>
        </is>
      </c>
      <c r="K18" s="29" t="inlineStr">
        <is>
          <t>Margem (%)</t>
        </is>
      </c>
      <c r="L18" s="29" t="inlineStr">
        <is>
          <t>Líquido por hora (R$)</t>
        </is>
      </c>
      <c r="M18" s="29" t="inlineStr">
        <is>
          <t>Contra a hora mínima</t>
        </is>
      </c>
      <c r="N18" s="29" t="inlineStr">
        <is>
          <t>Leitura com agenda cheia</t>
        </is>
      </c>
    </row>
    <row r="19">
      <c r="A19" s="30" t="str">
        <f>IF(Config!$A$10="","",Config!$A$10)</f>
        <v>Particular</v>
      </c>
      <c r="B19" s="31" t="n">
        <v>380</v>
      </c>
      <c r="C19" s="24">
        <f>IF(Config!$A$10="","",Config!$B$10)</f>
        <v>0</v>
      </c>
      <c r="D19" s="32">
        <f>IF(Config!$A$10="","",Config!$C$10)</f>
        <v>0</v>
      </c>
      <c r="E19" s="26">
        <f>IF(OR(Config!$A$10="",B19=""),"",B19*(1-D19))</f>
        <v>380</v>
      </c>
      <c r="F19" s="26">
        <f>IF(E19="","",E19*Config!$B$8*C19/30)</f>
        <v>0</v>
      </c>
      <c r="G19" s="26">
        <f>IF(E19="","",E19*Config!$B$6)</f>
        <v>41.8</v>
      </c>
      <c r="H19" s="28">
        <f>IF(E19="","",E19-F19-G19)</f>
        <v>338.2</v>
      </c>
      <c r="I19" s="26">
        <f>IF(E19="","",$B$13)</f>
        <v>130.666666666667</v>
      </c>
      <c r="J19" s="26">
        <f>IF(E19="","",H19-I19)</f>
        <v>207.533333333333</v>
      </c>
      <c r="K19" s="33">
        <f>IF(OR(E19="",B19=0),"",J19/B19)</f>
        <v>0.546140350877193</v>
      </c>
      <c r="L19" s="26">
        <f>IF(OR(E19="",$B$12=0),"",H19/($B$12/60))</f>
        <v>534</v>
      </c>
      <c r="M19" s="34">
        <f>IF(L19="","",L19/$B$14-1)</f>
        <v>0.5753</v>
      </c>
      <c r="N19" s="30" t="str">
        <f>IF(E19="","",IF(J19&lt;0,"Não cobre o custo cheio",IF(K19&lt;Config!$B$7,"Cobre o custo, não a margem mínima","Cobre custo e margem")))</f>
        <v>Cobre custo e margem</v>
      </c>
    </row>
    <row r="20">
      <c r="A20" s="30" t="str">
        <f>IF(Config!$A$11="","",Config!$A$11)</f>
        <v>Saúde Total</v>
      </c>
      <c r="B20" s="31" t="n">
        <v>120</v>
      </c>
      <c r="C20" s="24">
        <f>IF(Config!$A$11="","",Config!$B$11)</f>
        <v>30</v>
      </c>
      <c r="D20" s="32">
        <f>IF(Config!$A$11="","",Config!$C$11)</f>
        <v>0.03</v>
      </c>
      <c r="E20" s="26">
        <f>IF(OR(Config!$A$11="",B20=""),"",B20*(1-D20))</f>
        <v>116.4</v>
      </c>
      <c r="F20" s="26">
        <f>IF(E20="","",E20*Config!$B$8*C20/30)</f>
        <v>1.746</v>
      </c>
      <c r="G20" s="26">
        <f>IF(E20="","",E20*Config!$B$6)</f>
        <v>12.804</v>
      </c>
      <c r="H20" s="28">
        <f>IF(E20="","",E20-F20-G20)</f>
        <v>101.85</v>
      </c>
      <c r="I20" s="26">
        <f>IF(E20="","",$B$13)</f>
        <v>130.666666666667</v>
      </c>
      <c r="J20" s="26">
        <f>IF(E20="","",H20-I20)</f>
        <v>-28.8166666666667</v>
      </c>
      <c r="K20" s="33">
        <f>IF(OR(E20="",B20=0),"",J20/B20)</f>
        <v>-0.240138888888889</v>
      </c>
      <c r="L20" s="26">
        <f>IF(OR(E20="",$B$12=0),"",H20/($B$12/60))</f>
        <v>160.815789473684</v>
      </c>
      <c r="M20" s="34">
        <f>IF(L20="","",L20/$B$14-1)</f>
        <v>-0.525593421052632</v>
      </c>
      <c r="N20" s="30" t="str">
        <f>IF(E20="","",IF(J20&lt;0,"Não cobre o custo cheio",IF(K20&lt;Config!$B$7,"Cobre o custo, não a margem mínima","Cobre custo e margem")))</f>
        <v>Não cobre o custo cheio</v>
      </c>
    </row>
    <row r="21">
      <c r="A21" s="30" t="str">
        <f>IF(Config!$A$12="","",Config!$A$12)</f>
        <v>MediPlan</v>
      </c>
      <c r="B21" s="31" t="n">
        <v>100</v>
      </c>
      <c r="C21" s="24">
        <f>IF(Config!$A$12="","",Config!$B$12)</f>
        <v>45</v>
      </c>
      <c r="D21" s="32">
        <f>IF(Config!$A$12="","",Config!$C$12)</f>
        <v>0.06</v>
      </c>
      <c r="E21" s="26">
        <f>IF(OR(Config!$A$12="",B21=""),"",B21*(1-D21))</f>
        <v>94</v>
      </c>
      <c r="F21" s="26">
        <f>IF(E21="","",E21*Config!$B$8*C21/30)</f>
        <v>2.115</v>
      </c>
      <c r="G21" s="26">
        <f>IF(E21="","",E21*Config!$B$6)</f>
        <v>10.34</v>
      </c>
      <c r="H21" s="28">
        <f>IF(E21="","",E21-F21-G21)</f>
        <v>81.545</v>
      </c>
      <c r="I21" s="26">
        <f>IF(E21="","",$B$13)</f>
        <v>130.666666666667</v>
      </c>
      <c r="J21" s="26">
        <f>IF(E21="","",H21-I21)</f>
        <v>-49.1216666666667</v>
      </c>
      <c r="K21" s="33">
        <f>IF(OR(E21="",B21=0),"",J21/B21)</f>
        <v>-0.491216666666667</v>
      </c>
      <c r="L21" s="26">
        <f>IF(OR(E21="",$B$12=0),"",H21/($B$12/60))</f>
        <v>128.755263157895</v>
      </c>
      <c r="M21" s="34">
        <f>IF(L21="","",L21/$B$14-1)</f>
        <v>-0.62017197368421</v>
      </c>
      <c r="N21" s="30" t="str">
        <f>IF(E21="","",IF(J21&lt;0,"Não cobre o custo cheio",IF(K21&lt;Config!$B$7,"Cobre o custo, não a margem mínima","Cobre custo e margem")))</f>
        <v>Não cobre o custo cheio</v>
      </c>
    </row>
    <row r="22">
      <c r="A22" s="30" t="str">
        <f>IF(Config!$A$13="","",Config!$A$13)</f>
        <v>Vida Care</v>
      </c>
      <c r="B22" s="31" t="n">
        <v>90</v>
      </c>
      <c r="C22" s="24">
        <f>IF(Config!$A$13="","",Config!$B$13)</f>
        <v>60</v>
      </c>
      <c r="D22" s="32">
        <f>IF(Config!$A$13="","",Config!$C$13)</f>
        <v>0.1</v>
      </c>
      <c r="E22" s="26">
        <f>IF(OR(Config!$A$13="",B22=""),"",B22*(1-D22))</f>
        <v>81</v>
      </c>
      <c r="F22" s="26">
        <f>IF(E22="","",E22*Config!$B$8*C22/30)</f>
        <v>2.43</v>
      </c>
      <c r="G22" s="26">
        <f>IF(E22="","",E22*Config!$B$6)</f>
        <v>8.91</v>
      </c>
      <c r="H22" s="28">
        <f>IF(E22="","",E22-F22-G22)</f>
        <v>69.66</v>
      </c>
      <c r="I22" s="26">
        <f>IF(E22="","",$B$13)</f>
        <v>130.666666666667</v>
      </c>
      <c r="J22" s="26">
        <f>IF(E22="","",H22-I22)</f>
        <v>-61.0066666666667</v>
      </c>
      <c r="K22" s="33">
        <f>IF(OR(E22="",B22=0),"",J22/B22)</f>
        <v>-0.677851851851852</v>
      </c>
      <c r="L22" s="26">
        <f>IF(OR(E22="",$B$12=0),"",H22/($B$12/60))</f>
        <v>109.989473684211</v>
      </c>
      <c r="M22" s="34">
        <f>IF(L22="","",L22/$B$14-1)</f>
        <v>-0.675531052631579</v>
      </c>
      <c r="N22" s="30" t="str">
        <f>IF(E22="","",IF(J22&lt;0,"Não cobre o custo cheio",IF(K22&lt;Config!$B$7,"Cobre o custo, não a margem mínima","Cobre custo e margem")))</f>
        <v>Não cobre o custo cheio</v>
      </c>
    </row>
    <row r="23">
      <c r="A23" s="30">
        <f>IF(Config!$A$14="","",Config!$A$14)</f>
        <v/>
      </c>
      <c r="B23" s="31" t="n"/>
      <c r="C23" s="24">
        <f>IF(Config!$A$14="","",Config!$B$14)</f>
        <v/>
      </c>
      <c r="D23" s="32">
        <f>IF(Config!$A$14="","",Config!$C$14)</f>
        <v/>
      </c>
      <c r="E23" s="26">
        <f>IF(OR(Config!$A$14="",B23=""),"",B23*(1-D23))</f>
        <v/>
      </c>
      <c r="F23" s="26">
        <f>IF(E23="","",E23*Config!$B$8*C23/30)</f>
        <v/>
      </c>
      <c r="G23" s="26">
        <f>IF(E23="","",E23*Config!$B$6)</f>
        <v/>
      </c>
      <c r="H23" s="28">
        <f>IF(E23="","",E23-F23-G23)</f>
        <v/>
      </c>
      <c r="I23" s="26">
        <f>IF(E23="","",$B$13)</f>
        <v/>
      </c>
      <c r="J23" s="26">
        <f>IF(E23="","",H23-I23)</f>
        <v/>
      </c>
      <c r="K23" s="33">
        <f>IF(OR(E23="",B23=0),"",J23/B23)</f>
        <v/>
      </c>
      <c r="L23" s="26">
        <f>IF(OR(E23="",$B$12=0),"",H23/($B$12/60))</f>
        <v/>
      </c>
      <c r="M23" s="34">
        <f>IF(L23="","",L23/$B$14-1)</f>
        <v/>
      </c>
      <c r="N23" s="30">
        <f>IF(E23="","",IF(J23&lt;0,"Não cobre o custo cheio",IF(K23&lt;Config!$B$7,"Cobre o custo, não a margem mínima","Cobre custo e margem")))</f>
        <v/>
      </c>
    </row>
    <row r="24">
      <c r="A24" s="30">
        <f>IF(Config!$A$15="","",Config!$A$15)</f>
        <v/>
      </c>
      <c r="B24" s="31" t="n"/>
      <c r="C24" s="24">
        <f>IF(Config!$A$15="","",Config!$B$15)</f>
        <v/>
      </c>
      <c r="D24" s="32">
        <f>IF(Config!$A$15="","",Config!$C$15)</f>
        <v/>
      </c>
      <c r="E24" s="26">
        <f>IF(OR(Config!$A$15="",B24=""),"",B24*(1-D24))</f>
        <v/>
      </c>
      <c r="F24" s="26">
        <f>IF(E24="","",E24*Config!$B$8*C24/30)</f>
        <v/>
      </c>
      <c r="G24" s="26">
        <f>IF(E24="","",E24*Config!$B$6)</f>
        <v/>
      </c>
      <c r="H24" s="28">
        <f>IF(E24="","",E24-F24-G24)</f>
        <v/>
      </c>
      <c r="I24" s="26">
        <f>IF(E24="","",$B$13)</f>
        <v/>
      </c>
      <c r="J24" s="26">
        <f>IF(E24="","",H24-I24)</f>
        <v/>
      </c>
      <c r="K24" s="33">
        <f>IF(OR(E24="",B24=0),"",J24/B24)</f>
        <v/>
      </c>
      <c r="L24" s="26">
        <f>IF(OR(E24="",$B$12=0),"",H24/($B$12/60))</f>
        <v/>
      </c>
      <c r="M24" s="34">
        <f>IF(L24="","",L24/$B$14-1)</f>
        <v/>
      </c>
      <c r="N24" s="30">
        <f>IF(E24="","",IF(J24&lt;0,"Não cobre o custo cheio",IF(K24&lt;Config!$B$7,"Cobre o custo, não a margem mínima","Cobre custo e margem")))</f>
        <v/>
      </c>
    </row>
    <row r="25" ht="30" customHeight="1">
      <c r="A25" s="35" t="inlineStr">
        <is>
          <t>Valor líquido = tabela − glosa esperada − custo do dinheiro (juros × prazo ÷ 30) − impostos. Margem = líquido − custo cheio. Líquido por hora compara pagadores com a hora mínima da 05: é o número para negociar tabela ou decidir descredenciar.</t>
        </is>
      </c>
    </row>
    <row r="26"/>
    <row r="27"/>
    <row r="28">
      <c r="A28" s="19" t="inlineStr">
        <is>
          <t>3. A outra leitura: e se o horário ficaria vazio?</t>
        </is>
      </c>
    </row>
    <row r="29">
      <c r="A29" s="22" t="inlineStr">
        <is>
          <t>Com agenda vazia o custo fixo já está pago: o que importa é a contribuição (líquido − material). Com agenda cheia, cada horário de convênio toma o lugar de um particular, e vale a leitura do quadro 2.</t>
        </is>
      </c>
    </row>
    <row r="30" ht="40" customHeight="1">
      <c r="A30" s="29" t="inlineStr">
        <is>
          <t>Pagador</t>
        </is>
      </c>
      <c r="B30" s="29" t="inlineStr">
        <is>
          <t>Valor líquido (R$)</t>
        </is>
      </c>
      <c r="C30" s="29" t="inlineStr">
        <is>
          <t>Material (R$)</t>
        </is>
      </c>
      <c r="D30" s="29" t="inlineStr">
        <is>
          <t>Contribuição por atendimento (R$)</t>
        </is>
      </c>
      <c r="E30" s="29" t="inlineStr">
        <is>
          <t>Contribuição por hora (R$)</t>
        </is>
      </c>
      <c r="F30" s="29" t="inlineStr">
        <is>
          <t>Atendimentos deste pagador = 1 particular</t>
        </is>
      </c>
      <c r="G30" s="29" t="inlineStr">
        <is>
          <t>Leitura com agenda vazia</t>
        </is>
      </c>
    </row>
    <row r="31">
      <c r="A31" s="30" t="str">
        <f>A19</f>
        <v>Particular</v>
      </c>
      <c r="B31" s="26">
        <f>IF(H19="","",H19)</f>
        <v>338.2</v>
      </c>
      <c r="C31" s="26">
        <f>IF(H19="","",$B$11)</f>
        <v>4</v>
      </c>
      <c r="D31" s="28">
        <f>IF(B31="","",B31-C31)</f>
        <v>334.2</v>
      </c>
      <c r="E31" s="26">
        <f>IF(OR(D31="",$B$12=0),"",D31/($B$12/60))</f>
        <v>527.684210526316</v>
      </c>
      <c r="F31" s="27">
        <f>IF(OR(D31="",D31&lt;=0,$D$31=""),"",$D$31/D31)</f>
        <v>1</v>
      </c>
      <c r="G31" s="30" t="str">
        <f>IF(D31="","",IF(D31&lt;=0,"Nem com agenda vazia: perde dinheiro a cada atendimento",IF(C19&gt;45,"Contribui, mas o prazo pesa no caixa: só com reserva (12)","Contribui: melhor que o horário vazio")))</f>
        <v>Contribui: melhor que o horário vazio</v>
      </c>
    </row>
    <row r="32">
      <c r="A32" s="30" t="str">
        <f>A20</f>
        <v>Saúde Total</v>
      </c>
      <c r="B32" s="26">
        <f>IF(H20="","",H20)</f>
        <v>101.85</v>
      </c>
      <c r="C32" s="26">
        <f>IF(H20="","",$B$11)</f>
        <v>4</v>
      </c>
      <c r="D32" s="28">
        <f>IF(B32="","",B32-C32)</f>
        <v>97.85</v>
      </c>
      <c r="E32" s="26">
        <f>IF(OR(D32="",$B$12=0),"",D32/($B$12/60))</f>
        <v>154.5</v>
      </c>
      <c r="F32" s="27">
        <f>IF(OR(D32="",D32&lt;=0,$D$31=""),"",$D$31/D32)</f>
        <v>3.41543178334185</v>
      </c>
      <c r="G32" s="30" t="str">
        <f>IF(D32="","",IF(D32&lt;=0,"Nem com agenda vazia: perde dinheiro a cada atendimento",IF(C20&gt;45,"Contribui, mas o prazo pesa no caixa: só com reserva (12)","Contribui: melhor que o horário vazio")))</f>
        <v>Contribui: melhor que o horário vazio</v>
      </c>
    </row>
    <row r="33">
      <c r="A33" s="30" t="str">
        <f>A21</f>
        <v>MediPlan</v>
      </c>
      <c r="B33" s="26">
        <f>IF(H21="","",H21)</f>
        <v>81.545</v>
      </c>
      <c r="C33" s="26">
        <f>IF(H21="","",$B$11)</f>
        <v>4</v>
      </c>
      <c r="D33" s="28">
        <f>IF(B33="","",B33-C33)</f>
        <v>77.545</v>
      </c>
      <c r="E33" s="26">
        <f>IF(OR(D33="",$B$12=0),"",D33/($B$12/60))</f>
        <v>122.439473684211</v>
      </c>
      <c r="F33" s="27">
        <f>IF(OR(D33="",D33&lt;=0,$D$31=""),"",$D$31/D33)</f>
        <v>4.30975562576569</v>
      </c>
      <c r="G33" s="30" t="str">
        <f>IF(D33="","",IF(D33&lt;=0,"Nem com agenda vazia: perde dinheiro a cada atendimento",IF(C21&gt;45,"Contribui, mas o prazo pesa no caixa: só com reserva (12)","Contribui: melhor que o horário vazio")))</f>
        <v>Contribui: melhor que o horário vazio</v>
      </c>
    </row>
    <row r="34">
      <c r="A34" s="30" t="str">
        <f>A22</f>
        <v>Vida Care</v>
      </c>
      <c r="B34" s="26">
        <f>IF(H22="","",H22)</f>
        <v>69.66</v>
      </c>
      <c r="C34" s="26">
        <f>IF(H22="","",$B$11)</f>
        <v>4</v>
      </c>
      <c r="D34" s="28">
        <f>IF(B34="","",B34-C34)</f>
        <v>65.66</v>
      </c>
      <c r="E34" s="26">
        <f>IF(OR(D34="",$B$12=0),"",D34/($B$12/60))</f>
        <v>103.673684210526</v>
      </c>
      <c r="F34" s="27">
        <f>IF(OR(D34="",D34&lt;=0,$D$31=""),"",$D$31/D34)</f>
        <v>5.08985683825769</v>
      </c>
      <c r="G34" s="30" t="str">
        <f>IF(D34="","",IF(D34&lt;=0,"Nem com agenda vazia: perde dinheiro a cada atendimento",IF(C22&gt;45,"Contribui, mas o prazo pesa no caixa: só com reserva (12)","Contribui: melhor que o horário vazio")))</f>
        <v>Contribui, mas o prazo pesa no caixa: só com reserva (12)</v>
      </c>
    </row>
    <row r="35">
      <c r="A35" s="30">
        <f>A23</f>
        <v/>
      </c>
      <c r="B35" s="26">
        <f>IF(H23="","",H23)</f>
        <v/>
      </c>
      <c r="C35" s="26">
        <f>IF(H23="","",$B$11)</f>
        <v/>
      </c>
      <c r="D35" s="28">
        <f>IF(B35="","",B35-C35)</f>
        <v/>
      </c>
      <c r="E35" s="26">
        <f>IF(OR(D35="",$B$12=0),"",D35/($B$12/60))</f>
        <v/>
      </c>
      <c r="F35" s="27">
        <f>IF(OR(D35="",D35&lt;=0,$D$31=""),"",$D$31/D35)</f>
        <v/>
      </c>
      <c r="G35" s="30">
        <f>IF(D35="","",IF(D35&lt;=0,"Nem com agenda vazia: perde dinheiro a cada atendimento",IF(C23&gt;45,"Contribui, mas o prazo pesa no caixa: só com reserva (12)","Contribui: melhor que o horário vazio")))</f>
        <v/>
      </c>
    </row>
    <row r="36">
      <c r="A36" s="30">
        <f>A24</f>
        <v/>
      </c>
      <c r="B36" s="26">
        <f>IF(H24="","",H24)</f>
        <v/>
      </c>
      <c r="C36" s="26">
        <f>IF(H24="","",$B$11)</f>
        <v/>
      </c>
      <c r="D36" s="28">
        <f>IF(B36="","",B36-C36)</f>
        <v/>
      </c>
      <c r="E36" s="26">
        <f>IF(OR(D36="",$B$12=0),"",D36/($B$12/60))</f>
        <v/>
      </c>
      <c r="F36" s="27">
        <f>IF(OR(D36="",D36&lt;=0,$D$31=""),"",$D$31/D36)</f>
        <v/>
      </c>
      <c r="G36" s="30">
        <f>IF(D36="","",IF(D36&lt;=0,"Nem com agenda vazia: perde dinheiro a cada atendimento",IF(C24&gt;45,"Contribui, mas o prazo pesa no caixa: só com reserva (12)","Contribui: melhor que o horário vazio")))</f>
        <v/>
      </c>
    </row>
    <row r="37">
      <c r="A37" s="22" t="inlineStr">
        <is>
          <t>"Atendimentos = 1 particular": quantos atendimentos deste pagador rendem a contribuição de um particular. Compare com as horas vazias do mês (Painel da 01) antes de aceitar ou descredenciar um convênio.</t>
        </is>
      </c>
    </row>
    <row r="38"/>
    <row r="39"/>
    <row r="40">
      <c r="A40" s="19" t="inlineStr">
        <is>
          <t>4. O mês inteiro: mix de pagadores para este procedimento</t>
        </is>
      </c>
    </row>
    <row r="41">
      <c r="A41" s="22" t="inlineStr">
        <is>
          <t>Amarelo: quantos atendimentos de cada pagador no mês (no exemplo, as consultas realizadas em agosto de 2026, Painel da 01 por pagador). A planilha soma o líquido, o custo cheio e o resultado.</t>
        </is>
      </c>
    </row>
    <row r="42" ht="32" customHeight="1">
      <c r="A42" s="29" t="inlineStr">
        <is>
          <t>Pagador</t>
        </is>
      </c>
      <c r="B42" s="29" t="inlineStr">
        <is>
          <t>Atendimentos no mês</t>
        </is>
      </c>
      <c r="C42" s="29" t="inlineStr">
        <is>
          <t>Horas</t>
        </is>
      </c>
      <c r="D42" s="29" t="inlineStr">
        <is>
          <t>Líquido no mês (R$)</t>
        </is>
      </c>
      <c r="E42" s="29" t="inlineStr">
        <is>
          <t>Custo cheio no mês (R$)</t>
        </is>
      </c>
      <c r="F42" s="29" t="inlineStr">
        <is>
          <t>Resultado (R$)</t>
        </is>
      </c>
      <c r="G42" s="29" t="inlineStr">
        <is>
          <t>% dos atendimentos</t>
        </is>
      </c>
      <c r="H42" s="29" t="inlineStr">
        <is>
          <t>% do líquido</t>
        </is>
      </c>
    </row>
    <row r="43">
      <c r="A43" s="30" t="str">
        <f>A19</f>
        <v>Particular</v>
      </c>
      <c r="B43" s="36" t="n">
        <v>62</v>
      </c>
      <c r="C43" s="37">
        <f>IF(OR(A43="",B43=""),"",B43*$B$12/60)</f>
        <v>39.2666666666667</v>
      </c>
      <c r="D43" s="38">
        <f>IF(OR(A43="",B43="",H19=""),"",B43*H19)</f>
        <v>20968.4</v>
      </c>
      <c r="E43" s="38">
        <f>IF(D43="","",B43*$B$13)</f>
        <v>8101.33333333333</v>
      </c>
      <c r="F43" s="38">
        <f>IF(D43="","",D43-E43)</f>
        <v>12867.0666666667</v>
      </c>
      <c r="G43" s="33">
        <f>IF(OR(D43="",$B$49=0),"",B43/$B$49)</f>
        <v>0.476923076923077</v>
      </c>
      <c r="H43" s="33">
        <f>IF(OR(D43="",$D$49=0),"",D43/$D$49)</f>
        <v>0.780464056087526</v>
      </c>
    </row>
    <row r="44">
      <c r="A44" s="30" t="str">
        <f>A20</f>
        <v>Saúde Total</v>
      </c>
      <c r="B44" s="36" t="n">
        <v>25</v>
      </c>
      <c r="C44" s="37">
        <f>IF(OR(A44="",B44=""),"",B44*$B$12/60)</f>
        <v>15.8333333333333</v>
      </c>
      <c r="D44" s="38">
        <f>IF(OR(A44="",B44="",H20=""),"",B44*H20)</f>
        <v>2546.25</v>
      </c>
      <c r="E44" s="38">
        <f>IF(D44="","",B44*$B$13)</f>
        <v>3266.66666666667</v>
      </c>
      <c r="F44" s="38">
        <f>IF(D44="","",D44-E44)</f>
        <v>-720.416666666667</v>
      </c>
      <c r="G44" s="33">
        <f>IF(OR(D44="",$B$49=0),"",B44/$B$49)</f>
        <v>0.192307692307692</v>
      </c>
      <c r="H44" s="33">
        <f>IF(OR(D44="",$D$49=0),"",D44/$D$49)</f>
        <v>0.0947738789231827</v>
      </c>
    </row>
    <row r="45">
      <c r="A45" s="30" t="str">
        <f>A21</f>
        <v>MediPlan</v>
      </c>
      <c r="B45" s="36" t="n">
        <v>30</v>
      </c>
      <c r="C45" s="37">
        <f>IF(OR(A45="",B45=""),"",B45*$B$12/60)</f>
        <v>19</v>
      </c>
      <c r="D45" s="38">
        <f>IF(OR(A45="",B45="",H21=""),"",B45*H21)</f>
        <v>2446.35</v>
      </c>
      <c r="E45" s="38">
        <f>IF(D45="","",B45*$B$13)</f>
        <v>3920</v>
      </c>
      <c r="F45" s="38">
        <f>IF(D45="","",D45-E45)</f>
        <v>-1473.65</v>
      </c>
      <c r="G45" s="33">
        <f>IF(OR(D45="",$B$49=0),"",B45/$B$49)</f>
        <v>0.230769230769231</v>
      </c>
      <c r="H45" s="33">
        <f>IF(OR(D45="",$D$49=0),"",D45/$D$49)</f>
        <v>0.0910555046455485</v>
      </c>
    </row>
    <row r="46">
      <c r="A46" s="30" t="str">
        <f>A22</f>
        <v>Vida Care</v>
      </c>
      <c r="B46" s="36" t="n">
        <v>13</v>
      </c>
      <c r="C46" s="37">
        <f>IF(OR(A46="",B46=""),"",B46*$B$12/60)</f>
        <v>8.23333333333333</v>
      </c>
      <c r="D46" s="38">
        <f>IF(OR(A46="",B46="",H22=""),"",B46*H22)</f>
        <v>905.58</v>
      </c>
      <c r="E46" s="38">
        <f>IF(D46="","",B46*$B$13)</f>
        <v>1698.66666666667</v>
      </c>
      <c r="F46" s="38">
        <f>IF(D46="","",D46-E46)</f>
        <v>-793.086666666667</v>
      </c>
      <c r="G46" s="33">
        <f>IF(OR(D46="",$B$49=0),"",B46/$B$49)</f>
        <v>0.1</v>
      </c>
      <c r="H46" s="33">
        <f>IF(OR(D46="",$D$49=0),"",D46/$D$49)</f>
        <v>0.0337065603437431</v>
      </c>
    </row>
    <row r="47">
      <c r="A47" s="30">
        <f>A23</f>
        <v/>
      </c>
      <c r="B47" s="36" t="n"/>
      <c r="C47" s="37">
        <f>IF(OR(A47="",B47=""),"",B47*$B$12/60)</f>
        <v/>
      </c>
      <c r="D47" s="38">
        <f>IF(OR(A47="",B47="",H23=""),"",B47*H23)</f>
        <v/>
      </c>
      <c r="E47" s="38">
        <f>IF(D47="","",B47*$B$13)</f>
        <v/>
      </c>
      <c r="F47" s="38">
        <f>IF(D47="","",D47-E47)</f>
        <v/>
      </c>
      <c r="G47" s="33">
        <f>IF(OR(D47="",$B$49=0),"",B47/$B$49)</f>
        <v/>
      </c>
      <c r="H47" s="33">
        <f>IF(OR(D47="",$D$49=0),"",D47/$D$49)</f>
        <v/>
      </c>
    </row>
    <row r="48">
      <c r="A48" s="30">
        <f>A24</f>
        <v/>
      </c>
      <c r="B48" s="36" t="n"/>
      <c r="C48" s="37">
        <f>IF(OR(A48="",B48=""),"",B48*$B$12/60)</f>
        <v/>
      </c>
      <c r="D48" s="38">
        <f>IF(OR(A48="",B48="",H24=""),"",B48*H24)</f>
        <v/>
      </c>
      <c r="E48" s="38">
        <f>IF(D48="","",B48*$B$13)</f>
        <v/>
      </c>
      <c r="F48" s="38">
        <f>IF(D48="","",D48-E48)</f>
        <v/>
      </c>
      <c r="G48" s="33">
        <f>IF(OR(D48="",$B$49=0),"",B48/$B$49)</f>
        <v/>
      </c>
      <c r="H48" s="33">
        <f>IF(OR(D48="",$D$49=0),"",D48/$D$49)</f>
        <v/>
      </c>
    </row>
    <row r="49">
      <c r="A49" s="39" t="inlineStr">
        <is>
          <t>Total</t>
        </is>
      </c>
      <c r="B49" s="40">
        <f>SUM(B43:B48)</f>
        <v>130</v>
      </c>
      <c r="C49" s="41">
        <f>SUM(C43:C48)</f>
        <v>82.3333333333333</v>
      </c>
      <c r="D49" s="42">
        <f>SUM(D43:D48)</f>
        <v>26866.58</v>
      </c>
      <c r="E49" s="42">
        <f>SUM(E43:E48)</f>
        <v>16986.6666666667</v>
      </c>
      <c r="F49" s="42">
        <f>SUM(F43:F48)</f>
        <v>9879.91333333333</v>
      </c>
    </row>
    <row r="50">
      <c r="A50" s="22" t="inlineStr">
        <is>
          <t>Resultado negativo num pagador e positivo no total é a situação comum: o particular sustenta o convênio. Pergunta certa: o convênio traz pacientes que virariam particulares ou exames? Se não, negocie a tabela ou reduza os horários dele.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4">
    <mergeCell ref="C15:J15"/>
    <mergeCell ref="A17:J17"/>
    <mergeCell ref="C5:D5"/>
    <mergeCell ref="E5:F5"/>
    <mergeCell ref="J4:L4"/>
    <mergeCell ref="A28:J28"/>
    <mergeCell ref="C4:D4"/>
    <mergeCell ref="A1:N1"/>
    <mergeCell ref="E4:F4"/>
    <mergeCell ref="G5:I5"/>
    <mergeCell ref="A40:J40"/>
    <mergeCell ref="A25:N25"/>
    <mergeCell ref="A41:N41"/>
    <mergeCell ref="G4:I4"/>
    <mergeCell ref="A37:N37"/>
    <mergeCell ref="A50:N50"/>
    <mergeCell ref="A2:N2"/>
    <mergeCell ref="A5:B5"/>
    <mergeCell ref="A7:J7"/>
    <mergeCell ref="C8:J8"/>
    <mergeCell ref="A4:B4"/>
    <mergeCell ref="J5:L5"/>
    <mergeCell ref="A29:N29"/>
    <mergeCell ref="C13:J13"/>
  </mergeCells>
  <conditionalFormatting sqref="N19:N24">
    <cfRule type="expression" priority="1" dxfId="0">
      <formula>N19="Não cobre o custo cheio"</formula>
    </cfRule>
    <cfRule type="expression" priority="2" dxfId="1">
      <formula>N19="Cobre o custo, não a margem mínima"</formula>
    </cfRule>
    <cfRule type="expression" priority="3" dxfId="2">
      <formula>N19="Cobre custo e margem"</formula>
    </cfRule>
  </conditionalFormatting>
  <conditionalFormatting sqref="J19:J24">
    <cfRule type="expression" priority="4" dxfId="3">
      <formula>AND(ISNUMBER(J19),J19&lt;0)</formula>
    </cfRule>
  </conditionalFormatting>
  <conditionalFormatting sqref="G31:G36">
    <cfRule type="expression" priority="5" dxfId="0">
      <formula>LEFT(G31,3)="Nem"</formula>
    </cfRule>
    <cfRule type="expression" priority="6" dxfId="1">
      <formula>LEFT(G31,20)="Contribui, mas o pra"</formula>
    </cfRule>
    <cfRule type="expression" priority="7" dxfId="2">
      <formula>LEFT(G31,16)="Contribui: melho"</formula>
    </cfRule>
  </conditionalFormatting>
  <conditionalFormatting sqref="F43:F49">
    <cfRule type="expression" priority="8" dxfId="3">
      <formula>AND(ISNUMBER(F43),F43&lt;0)</formula>
    </cfRule>
  </conditionalFormatting>
  <dataValidations count="1">
    <dataValidation sqref="B8" showDropDown="0" showInputMessage="0" showErrorMessage="1" allowBlank="1" type="list">
      <formula1>=OFFSET(Config!$A$19,0,0,MAX(1,COUNTA(Config!$A$19:$A$30)),1)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0" customWidth="1" min="4" max="4"/>
    <col width="14" customWidth="1" min="5" max="5"/>
    <col width="14" customWidth="1" min="6" max="6"/>
    <col width="3" customWidth="1" min="7" max="7"/>
    <col width="3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Custo-hora da planilha 05; pagadores com prazo e glosa esperada; procedimentos com tempo e material (iguais à 06).</t>
        </is>
      </c>
    </row>
    <row r="3">
      <c r="A3" s="20" t="inlineStr">
        <is>
          <t>Nome da clínica</t>
        </is>
      </c>
      <c r="B3" s="21" t="inlineStr">
        <is>
          <t>Clínica Vida Plena (exemplo fictício)</t>
        </is>
      </c>
    </row>
    <row r="4">
      <c r="A4" s="20" t="inlineStr">
        <is>
          <t>Data de referência</t>
        </is>
      </c>
      <c r="B4" s="43" t="n">
        <v>46279</v>
      </c>
    </row>
    <row r="5">
      <c r="A5" s="20" t="inlineStr">
        <is>
          <t>Custo da hora de atendimento (R$)</t>
        </is>
      </c>
      <c r="B5" s="44" t="n">
        <v>200</v>
      </c>
      <c r="C5" s="22" t="inlineStr">
        <is>
          <t>Copie do Painel da planilha 05. No exemplo, R$ 200,00.</t>
        </is>
      </c>
    </row>
    <row r="6">
      <c r="A6" s="20" t="inlineStr">
        <is>
          <t>Impostos sobre o que entra (%)</t>
        </is>
      </c>
      <c r="B6" s="45" t="n">
        <v>0.11</v>
      </c>
      <c r="C6" s="22" t="inlineStr">
        <is>
          <t>A mesma alíquota efetiva das planilhas 05 e 06 (exemplo: 11 %). Só imposto: a taxa da maquininha não entra aqui (o convênio não passa na maquininha; o cartão é conciliado na 16).</t>
        </is>
      </c>
    </row>
    <row r="7">
      <c r="A7" s="20" t="inlineStr">
        <is>
          <t>Margem mínima sobre o preço (%)</t>
        </is>
      </c>
      <c r="B7" s="45" t="n">
        <v>0.3</v>
      </c>
      <c r="C7" s="22" t="inlineStr">
        <is>
          <t>A mesma margem mínima da 05 e da 06.</t>
        </is>
      </c>
    </row>
    <row r="8">
      <c r="A8" s="20" t="inlineStr">
        <is>
          <t>Custo do dinheiro (% ao mês)</t>
        </is>
      </c>
      <c r="B8" s="46" t="n">
        <v>0.015</v>
      </c>
      <c r="C8" s="22" t="inlineStr">
        <is>
          <t>O que custa esperar 30, 45 ou 60 dias pelo dinheiro: juros do cheque especial ou da antecipação, ou o rendimento que o dinheiro parado deixa de dar. 1,5 % ao mês é um exemplo; use o seu.</t>
        </is>
      </c>
    </row>
    <row r="9" ht="30" customHeight="1">
      <c r="A9" s="29" t="inlineStr">
        <is>
          <t>Pagador</t>
        </is>
      </c>
      <c r="B9" s="29" t="inlineStr">
        <is>
          <t>Prazo de pagamento (dias)</t>
        </is>
      </c>
      <c r="C9" s="29" t="inlineStr">
        <is>
          <t>Glosa esperada (%)</t>
        </is>
      </c>
      <c r="D9" s="29" t="inlineStr">
        <is>
          <t>Observação</t>
        </is>
      </c>
    </row>
    <row r="10">
      <c r="A10" s="21" t="inlineStr">
        <is>
          <t>Particular</t>
        </is>
      </c>
      <c r="B10" s="36" t="n">
        <v>0</v>
      </c>
      <c r="C10" s="46" t="n">
        <v>0</v>
      </c>
      <c r="D10" s="21" t="inlineStr">
        <is>
          <t>À vista no dia (Pix, dinheiro, cartão)</t>
        </is>
      </c>
    </row>
    <row r="11">
      <c r="A11" s="21" t="inlineStr">
        <is>
          <t>Saúde Total</t>
        </is>
      </c>
      <c r="B11" s="36" t="n">
        <v>30</v>
      </c>
      <c r="C11" s="46" t="n">
        <v>0.03</v>
      </c>
      <c r="D11" s="21" t="inlineStr">
        <is>
          <t>Prazo contratual a partir do envio do lote; glosa = histórico da planilha 13</t>
        </is>
      </c>
    </row>
    <row r="12">
      <c r="A12" s="21" t="inlineStr">
        <is>
          <t>MediPlan</t>
        </is>
      </c>
      <c r="B12" s="36" t="n">
        <v>45</v>
      </c>
      <c r="C12" s="46" t="n">
        <v>0.06</v>
      </c>
      <c r="D12" s="21" t="inlineStr">
        <is>
          <t>Prazo contratual a partir do envio do lote; glosa = histórico da planilha 13</t>
        </is>
      </c>
    </row>
    <row r="13">
      <c r="A13" s="21" t="inlineStr">
        <is>
          <t>Vida Care</t>
        </is>
      </c>
      <c r="B13" s="36" t="n">
        <v>60</v>
      </c>
      <c r="C13" s="46" t="n">
        <v>0.1</v>
      </c>
      <c r="D13" s="21" t="inlineStr">
        <is>
          <t>Prazo contratual a partir do envio do lote; glosa = histórico da planilha 13</t>
        </is>
      </c>
    </row>
    <row r="14">
      <c r="A14" s="21" t="n"/>
      <c r="B14" s="36" t="n"/>
      <c r="C14" s="46" t="n"/>
      <c r="D14" s="21" t="n"/>
    </row>
    <row r="15">
      <c r="A15" s="21" t="n"/>
      <c r="B15" s="36" t="n"/>
      <c r="C15" s="46" t="n"/>
      <c r="D15" s="21" t="n"/>
    </row>
    <row r="16">
      <c r="A16" s="22" t="inlineStr">
        <is>
          <t>Preencha de cima para baixo, sem pular linha. Glosa esperada: quanto o convênio costuma não pagar do que foi enviado (Painel da planilha 13, por convênio). Prazo: dias entre o envio do lote e o pagamento.</t>
        </is>
      </c>
    </row>
    <row r="18" ht="30" customHeight="1">
      <c r="A18" s="29" t="inlineStr">
        <is>
          <t>Procedimento</t>
        </is>
      </c>
      <c r="B18" s="29" t="inlineStr">
        <is>
          <t>Minutos</t>
        </is>
      </c>
      <c r="C18" s="29" t="inlineStr">
        <is>
          <t>Gera retorno?</t>
        </is>
      </c>
      <c r="D18" s="29" t="inlineStr">
        <is>
          <t>Material (R$)</t>
        </is>
      </c>
      <c r="E18" s="29" t="inlineStr">
        <is>
          <t>Retornos por consulta</t>
        </is>
      </c>
      <c r="F18" s="29" t="inlineStr">
        <is>
          <t>Minutos do retorno</t>
        </is>
      </c>
    </row>
    <row r="19">
      <c r="A19" s="21" t="inlineStr">
        <is>
          <t>Consulta</t>
        </is>
      </c>
      <c r="B19" s="36" t="n">
        <v>30</v>
      </c>
      <c r="C19" s="47" t="inlineStr">
        <is>
          <t>Sim</t>
        </is>
      </c>
      <c r="D19" s="44" t="n">
        <v>4</v>
      </c>
      <c r="E19" s="48" t="n">
        <v>0.4</v>
      </c>
      <c r="F19" s="36" t="n">
        <v>20</v>
      </c>
    </row>
    <row r="20">
      <c r="A20" s="21" t="inlineStr">
        <is>
          <t>Retorno</t>
        </is>
      </c>
      <c r="B20" s="36" t="n">
        <v>20</v>
      </c>
      <c r="C20" s="47" t="inlineStr">
        <is>
          <t>Não</t>
        </is>
      </c>
      <c r="D20" s="44" t="n">
        <v>2</v>
      </c>
      <c r="E20" s="22" t="inlineStr">
        <is>
          <t>Só na primeira linha: valem para todos os procedimentos que geram retorno (iguais à planilha 06).</t>
        </is>
      </c>
    </row>
    <row r="21">
      <c r="A21" s="21" t="inlineStr">
        <is>
          <t>ECG</t>
        </is>
      </c>
      <c r="B21" s="36" t="n">
        <v>20</v>
      </c>
      <c r="C21" s="47" t="inlineStr">
        <is>
          <t>Não</t>
        </is>
      </c>
      <c r="D21" s="44" t="n">
        <v>8</v>
      </c>
    </row>
    <row r="22">
      <c r="A22" s="21" t="inlineStr">
        <is>
          <t>MAPA</t>
        </is>
      </c>
      <c r="B22" s="36" t="n">
        <v>20</v>
      </c>
      <c r="C22" s="47" t="inlineStr">
        <is>
          <t>Não</t>
        </is>
      </c>
      <c r="D22" s="44" t="n">
        <v>15</v>
      </c>
    </row>
    <row r="23">
      <c r="A23" s="21" t="inlineStr">
        <is>
          <t>Holter</t>
        </is>
      </c>
      <c r="B23" s="36" t="n">
        <v>20</v>
      </c>
      <c r="C23" s="47" t="inlineStr">
        <is>
          <t>Não</t>
        </is>
      </c>
      <c r="D23" s="44" t="n">
        <v>18</v>
      </c>
    </row>
    <row r="24">
      <c r="A24" s="21" t="inlineStr">
        <is>
          <t>Teste ergométrico</t>
        </is>
      </c>
      <c r="B24" s="36" t="n">
        <v>40</v>
      </c>
      <c r="C24" s="47" t="inlineStr">
        <is>
          <t>Não</t>
        </is>
      </c>
      <c r="D24" s="44" t="n">
        <v>25</v>
      </c>
    </row>
    <row r="25">
      <c r="A25" s="21" t="inlineStr">
        <is>
          <t>Avaliação endócrina</t>
        </is>
      </c>
      <c r="B25" s="36" t="n">
        <v>40</v>
      </c>
      <c r="C25" s="47" t="inlineStr">
        <is>
          <t>Sim</t>
        </is>
      </c>
      <c r="D25" s="44" t="n">
        <v>4</v>
      </c>
    </row>
    <row r="26">
      <c r="A26" s="21" t="n"/>
      <c r="B26" s="36" t="n"/>
      <c r="C26" s="47" t="n"/>
      <c r="D26" s="44" t="n"/>
    </row>
    <row r="27">
      <c r="A27" s="21" t="n"/>
      <c r="B27" s="36" t="n"/>
      <c r="C27" s="47" t="n"/>
      <c r="D27" s="44" t="n"/>
    </row>
    <row r="28">
      <c r="A28" s="21" t="n"/>
      <c r="B28" s="36" t="n"/>
      <c r="C28" s="47" t="n"/>
      <c r="D28" s="44" t="n"/>
    </row>
    <row r="29">
      <c r="A29" s="21" t="n"/>
      <c r="B29" s="36" t="n"/>
      <c r="C29" s="47" t="n"/>
      <c r="D29" s="44" t="n"/>
    </row>
    <row r="30">
      <c r="A30" s="21" t="n"/>
      <c r="B30" s="36" t="n"/>
      <c r="C30" s="47" t="n"/>
      <c r="D30" s="4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dataValidations count="1">
    <dataValidation sqref="C19:C30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Simulador convênio × particular · Kit de Gestão para Médicos</dc:title>
  <dcterms:created xmlns:dcterms="http://purl.org/dc/terms/" xmlns:xsi="http://www.w3.org/2001/XMLSchema-instance" xsi:type="dcterms:W3CDTF">2026-09-18T15:07:14Z</dcterms:created>
  <dcterms:modified xmlns:dcterms="http://purl.org/dc/terms/" xmlns:xsi="http://www.w3.org/2001/XMLSchema-instance" xsi:type="dcterms:W3CDTF">2026-09-18T15:07:14Z</dcterms:modified>
</cp:coreProperties>
</file>