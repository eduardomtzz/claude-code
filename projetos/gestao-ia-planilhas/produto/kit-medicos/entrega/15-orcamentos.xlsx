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Orçamentos" sheetId="4" state="visible" r:id="rId4"/>
  </sheets>
  <definedNames>
    <definedName name="_xlnm._FilterDatabase" localSheetId="3" hidden="1">'Orçamentos'!$A$4:$P$304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;[Red]-&quot;R$&quot; #,##0"/>
    <numFmt numFmtId="166" formatCode="mm/yyyy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color rgb="00B0A6C4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" fillId="5" borderId="0" applyAlignment="1" pivotButton="0" quotePrefix="0" xfId="0">
      <alignment horizontal="center"/>
    </xf>
    <xf numFmtId="165" fontId="10" fillId="6" borderId="0" applyAlignment="1" pivotButton="0" quotePrefix="0" xfId="0">
      <alignment horizontal="center"/>
    </xf>
    <xf numFmtId="9" fontId="10" fillId="6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1" fontId="1" fillId="4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12" fillId="0" borderId="1" pivotButton="0" quotePrefix="0" xfId="0"/>
    <xf numFmtId="0" fontId="13" fillId="0" borderId="1" pivotButton="0" quotePrefix="0" xfId="0"/>
    <xf numFmtId="1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166" fontId="4" fillId="0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F4CC"/>
        </patternFill>
      </fill>
    </dxf>
    <dxf>
      <font>
        <name val="Arial"/>
        <b val="1"/>
        <color rgb="00155E3C"/>
        <sz val="10"/>
      </font>
    </dxf>
    <dxf>
      <font>
        <name val="Arial"/>
        <color rgb="008A86A0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etapa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'Painel'!C10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'Painel'!$A$11:$A$15</f>
            </numRef>
          </cat>
          <val>
            <numRef>
              <f>'Painel'!$C$11:$C$15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46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Orçamentos apresentados × aprovados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O funil da recepção: cada orçamento de exame ou pacote particular apresentado ao paciente, com valor e etapa; a previsão ponderada, o aprovado no trimestre contra a meta, a taxa de aprovação, quem retomar primeiro, os resultados por tipo e profissional e os motivos de recusa.</t>
        </is>
      </c>
    </row>
    <row r="5" ht="46" customHeight="1">
      <c r="A5" s="3" t="inlineStr">
        <is>
          <t>Passo 1</t>
        </is>
      </c>
      <c r="B5" s="4" t="inlineStr">
        <is>
          <t>Em Config, preencha a meta de orçamentos aprovados no trimestre, o limite de "parado" (7 dias é um bom padrão), os tipos, motivos de recusa, profissionais e itens mais comuns. Ajuste as probabilidades por etapa se a sua experiência for diferente.</t>
        </is>
      </c>
    </row>
    <row r="6" ht="46" customHeight="1">
      <c r="A6" s="3" t="inlineStr">
        <is>
          <t>Passo 2</t>
        </is>
      </c>
      <c r="B6" s="4" t="inlineStr">
        <is>
          <t>Em Orçamentos, uma linha por orçamento: data, paciente, profissional, tipo, itens, valor e etapa. Sempre que o paciente responder, atualize a etapa.</t>
        </is>
      </c>
    </row>
    <row r="7" ht="46" customHeight="1">
      <c r="A7" s="3" t="inlineStr">
        <is>
          <t>Passo 3</t>
        </is>
      </c>
      <c r="B7" s="4" t="inlineStr">
        <is>
          <t>Ao decidir, mude a etapa para Aprovado, Recusado ou Sem retorno e preencha a data. Se recusado, anote o motivo: é a parte mais valiosa da planilha. Aprovado vira horário na agenda (01) e, se for a prazo, parcela na 14.</t>
        </is>
      </c>
    </row>
    <row r="8" ht="46" customHeight="1">
      <c r="A8" s="3" t="inlineStr">
        <is>
          <t>Passo 4</t>
        </is>
      </c>
      <c r="B8" s="4" t="inlineStr">
        <is>
          <t>Em Painel, veja o funil, a previsão ponderada, a lista "Retomar contato primeiro", a taxa de aprovação por tipo e profissional e os motivos de recusa.</t>
        </is>
      </c>
    </row>
    <row r="9" ht="46" customHeight="1">
      <c r="A9" s="3" t="inlineStr">
        <is>
          <t>Rotina</t>
        </is>
      </c>
      <c r="B9" s="4" t="inlineStr">
        <is>
          <t>Sexta-feira, 10 minutos: atualizar etapas, retomar os parados. Dia 1 do mês: comparar o aprovado com a meta e olhar os motivos de recusa. O Painel da clínica (17) copia "Em aberto" e "Aprovado no mês" daqui.</t>
        </is>
      </c>
    </row>
    <row r="10" ht="46" customHeight="1">
      <c r="A10" s="3" t="inlineStr">
        <is>
          <t>Com a IA</t>
        </is>
      </c>
      <c r="B10" s="4" t="inlineStr">
        <is>
          <t>Copie "Motivos de recusa" e use o prompt "Recebíveis 05 · Por que os orçamentos não fecham" da biblioteca; para retomar um contato, "Agenda 04 · Mensagem de retomada de orçamento" (sem nome do paciente). Nenhum prompt do kit escreve promessa de resultado.</t>
        </is>
      </c>
    </row>
    <row r="11" ht="46" customHeight="1">
      <c r="A11" s="3" t="inlineStr">
        <is>
          <t>Exemplo</t>
        </is>
      </c>
      <c r="B11" s="4" t="inlineStr">
        <is>
          <t>O funil traz os orçamentos de junho a setembro de 2026: os aprovados são exames realizados ou agendados na planilha 01 (mesmo paciente e data); os abertos têm datas relativas a hoje.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Dados de pacientes</t>
        </is>
      </c>
      <c r="B15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6" ht="46" customHeight="1">
      <c r="A16" s="3" t="inlineStr">
        <is>
          <t>Google Sheets</t>
        </is>
      </c>
      <c r="B16" s="4" t="inlineStr">
        <is>
          <t>Faça upload no Google Drive e abra com o Google Sheets. Fórmulas, listas, cores e gráficos funcionam.</t>
        </is>
      </c>
    </row>
    <row r="17" ht="46" customHeight="1">
      <c r="A17" s="3" t="inlineStr">
        <is>
          <t>Exemplos</t>
        </is>
      </c>
      <c r="B17" s="4" t="inlineStr">
        <is>
          <t>Clínica Vida Plena é uma clínica fictícia. Pacientes, convênios, nomes, contatos e valores são inventados; não há nenhum dado clínico. Apague o exemplo antes de começar. Agenda futura e vencimentos em aberto do exemplo são relativos a hoje.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16" customWidth="1" min="4" max="4"/>
    <col width="15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5" t="str">
        <f>Config!$B$4&amp;" · Orçamentos apresentados × aprovados · "&amp;TEXT(DAY(Config!$B$5),"00")&amp;"/"&amp;TEXT(MONTH(Config!$B$5),"00")&amp;"/"&amp;YEAR(Config!$B$5)</f>
        <v>Clínica Vida Plena (exemplo fictício) · Orçamentos apresentados × aprovados · 14/09/2026</v>
      </c>
    </row>
    <row r="2">
      <c r="A2" s="6" t="inlineStr">
        <is>
          <t>Nada para digitar aqui: tudo vem de Orçamentos e Config.</t>
        </is>
      </c>
    </row>
    <row r="3"/>
    <row r="4">
      <c r="A4" s="7" t="inlineStr">
        <is>
          <t>Em aberto (R$)</t>
        </is>
      </c>
      <c r="B4" s="8" t="n"/>
      <c r="C4" s="9" t="inlineStr">
        <is>
          <t>Previsão ponderada</t>
        </is>
      </c>
      <c r="D4" s="10" t="n"/>
      <c r="E4" s="11" t="inlineStr">
        <is>
          <t>Aprovado no trimestre</t>
        </is>
      </c>
      <c r="F4" s="12" t="n"/>
      <c r="G4" s="11" t="inlineStr">
        <is>
          <t>% da meta</t>
        </is>
      </c>
      <c r="H4" s="12" t="n"/>
      <c r="I4" s="7" t="inlineStr">
        <is>
          <t>Taxa de aprovação</t>
        </is>
      </c>
      <c r="J4" s="8" t="n"/>
      <c r="K4" s="7" t="inlineStr">
        <is>
          <t>Dias até decidir (média)</t>
        </is>
      </c>
      <c r="L4" s="8" t="n"/>
    </row>
    <row r="5" ht="30" customHeight="1">
      <c r="A5" s="13">
        <f>SUMIFS(Orçamentos!$F$5:$F$304,Orçamentos!$G$5:$G$304,"&lt;&gt;Aprovado",Orçamentos!$G$5:$G$304,"&lt;&gt;Recusado",Orçamentos!$G$5:$G$304,"&lt;&gt;Sem retorno",Orçamentos!$G$5:$G$304,"&lt;&gt;")</f>
        <v>3460</v>
      </c>
      <c r="B5" s="8" t="n"/>
      <c r="C5" s="14">
        <f>SUMIFS(Orçamentos!$L$5:$L$304,Orçamentos!$G$5:$G$304,"&lt;&gt;Aprovado",Orçamentos!$G$5:$G$304,"&lt;&gt;Recusado",Orçamentos!$G$5:$G$304,"&lt;&gt;Sem retorno",Orçamentos!$G$5:$G$304,"&lt;&gt;")</f>
        <v>1318</v>
      </c>
      <c r="D5" s="10" t="n"/>
      <c r="E5" s="15">
        <f>SUMIFS(Orçamentos!$F$5:$F$304,Orçamentos!$G$5:$G$304,"Aprovado",Orçamentos!$H$5:$H$304,"&gt;="&amp;DATE(YEAR(Config!$B$5),3*INT((MONTH(Config!$B$5)-1)/3)+1,1))</f>
        <v>8510</v>
      </c>
      <c r="F5" s="12" t="n"/>
      <c r="G5" s="16">
        <f>IFERROR(E5/Config!$B$6,0)</f>
        <v>0.472777777777778</v>
      </c>
      <c r="H5" s="12" t="n"/>
      <c r="I5" s="17">
        <f>IFERROR(COUNTIFS(Orçamentos!$G$5:$G$304,"Aprovado")/(COUNTIFS(Orçamentos!$G$5:$G$304,"Aprovado")+COUNTIFS(Orçamentos!$G$5:$G$304,"Recusado")+COUNTIFS(Orçamentos!$G$5:$G$304,"Sem retorno")),0)</f>
        <v>0.724137931034483</v>
      </c>
      <c r="J5" s="8" t="n"/>
      <c r="K5" s="18">
        <f>IFERROR(AVERAGEIFS(Orçamentos!$N$5:$N$304,Orçamentos!$G$5:$G$304,"Aprovado"),0)</f>
        <v>5.90476190476191</v>
      </c>
      <c r="L5" s="8" t="n"/>
    </row>
    <row r="6"/>
    <row r="7">
      <c r="A7" s="19" t="inlineStr">
        <is>
          <t>Taxa de aprovação = aprovados ÷ (aprovados + recusados + sem retorno). Dias até decidir = da apresentação à decisão, média dos aprovados. Aprovado no trimestre soma pela data da decisão.</t>
        </is>
      </c>
    </row>
    <row r="8"/>
    <row r="9">
      <c r="A9" s="20" t="inlineStr">
        <is>
          <t>Funil por etapa</t>
        </is>
      </c>
    </row>
    <row r="10" ht="26" customHeight="1">
      <c r="A10" s="21" t="inlineStr">
        <is>
          <t>Etapa</t>
        </is>
      </c>
      <c r="B10" s="21" t="inlineStr">
        <is>
          <t>Orçamentos</t>
        </is>
      </c>
      <c r="C10" s="21" t="inlineStr">
        <is>
          <t>Valor (R$)</t>
        </is>
      </c>
      <c r="D10" s="21" t="inlineStr">
        <is>
          <t>Ponderado (R$)</t>
        </is>
      </c>
      <c r="E10" s="21" t="inlineStr">
        <is>
          <t>Barra</t>
        </is>
      </c>
      <c r="F10" s="22" t="n"/>
      <c r="G10" s="22" t="n"/>
      <c r="H10" s="23" t="n"/>
    </row>
    <row r="11">
      <c r="A11" s="24" t="str">
        <f>Config!$A$10</f>
        <v>Apresentado</v>
      </c>
      <c r="B11" s="25">
        <f>COUNTIFS(Orçamentos!$G$5:$G$304,A11)</f>
        <v>3</v>
      </c>
      <c r="C11" s="26">
        <f>SUMIFS(Orçamentos!$F$5:$F$304,Orçamentos!$G$5:$G$304,A11)</f>
        <v>2060</v>
      </c>
      <c r="D11" s="26">
        <f>SUMIFS(Orçamentos!$L$5:$L$304,Orçamentos!$G$5:$G$304,A11)</f>
        <v>618</v>
      </c>
      <c r="E11" s="27" t="str">
        <f>REPT("█",ROUND(IFERROR(C11/MAX($C$11:$C$15),0)*30,0))</f>
        <v>███████</v>
      </c>
      <c r="F11" s="22" t="n"/>
      <c r="G11" s="22" t="n"/>
      <c r="H11" s="23" t="n"/>
    </row>
    <row r="12">
      <c r="A12" s="24" t="str">
        <f>Config!$A$11</f>
        <v>Em análise</v>
      </c>
      <c r="B12" s="25">
        <f>COUNTIFS(Orçamentos!$G$5:$G$304,A12)</f>
        <v>3</v>
      </c>
      <c r="C12" s="26">
        <f>SUMIFS(Orçamentos!$F$5:$F$304,Orçamentos!$G$5:$G$304,A12)</f>
        <v>1400</v>
      </c>
      <c r="D12" s="26">
        <f>SUMIFS(Orçamentos!$L$5:$L$304,Orçamentos!$G$5:$G$304,A12)</f>
        <v>700</v>
      </c>
      <c r="E12" s="27" t="str">
        <f>REPT("█",ROUND(IFERROR(C12/MAX($C$11:$C$15),0)*30,0))</f>
        <v>█████</v>
      </c>
      <c r="F12" s="22" t="n"/>
      <c r="G12" s="22" t="n"/>
      <c r="H12" s="23" t="n"/>
    </row>
    <row r="13">
      <c r="A13" s="24" t="inlineStr">
        <is>
          <t>Aprovado (total)</t>
        </is>
      </c>
      <c r="B13" s="25">
        <f>COUNTIFS(Orçamentos!$G$5:$G$304,"Aprovado")</f>
        <v>21</v>
      </c>
      <c r="C13" s="26">
        <f>SUMIFS(Orçamentos!$F$5:$F$304,Orçamentos!$G$5:$G$304,"Aprovado")</f>
        <v>8510</v>
      </c>
      <c r="E13" s="27" t="str">
        <f>REPT("█",ROUND(IFERROR(C13/MAX($C$11:$C$15),0)*30,0))</f>
        <v>██████████████████████████████</v>
      </c>
      <c r="F13" s="22" t="n"/>
      <c r="G13" s="22" t="n"/>
      <c r="H13" s="23" t="n"/>
    </row>
    <row r="14">
      <c r="A14" s="24" t="inlineStr">
        <is>
          <t>Recusado (total)</t>
        </is>
      </c>
      <c r="B14" s="25">
        <f>COUNTIFS(Orçamentos!$G$5:$G$304,"Recusado")</f>
        <v>5</v>
      </c>
      <c r="C14" s="26">
        <f>SUMIFS(Orçamentos!$F$5:$F$304,Orçamentos!$G$5:$G$304,"Recusado")</f>
        <v>1860</v>
      </c>
      <c r="E14" s="28" t="str">
        <f>REPT("█",ROUND(IFERROR(C14/MAX($C$11:$C$15),0)*30,0))</f>
        <v>███████</v>
      </c>
      <c r="F14" s="22" t="n"/>
      <c r="G14" s="22" t="n"/>
      <c r="H14" s="23" t="n"/>
    </row>
    <row r="15">
      <c r="A15" s="24" t="inlineStr">
        <is>
          <t>Sem retorno (total)</t>
        </is>
      </c>
      <c r="B15" s="25">
        <f>COUNTIFS(Orçamentos!$G$5:$G$304,"Sem retorno")</f>
        <v>3</v>
      </c>
      <c r="C15" s="26">
        <f>SUMIFS(Orçamentos!$F$5:$F$304,Orçamentos!$G$5:$G$304,"Sem retorno")</f>
        <v>1660</v>
      </c>
      <c r="E15" s="28" t="str">
        <f>REPT("█",ROUND(IFERROR(C15/MAX($C$11:$C$15),0)*30,0))</f>
        <v>██████</v>
      </c>
      <c r="F15" s="22" t="n"/>
      <c r="G15" s="22" t="n"/>
      <c r="H15" s="23" t="n"/>
    </row>
    <row r="16">
      <c r="A16" s="24" t="inlineStr">
        <is>
          <t>Valor médio dos aprovados</t>
        </is>
      </c>
      <c r="B16" s="26">
        <f>IFERROR(C13/B13,0)</f>
        <v>405.238095238095</v>
      </c>
    </row>
    <row r="17"/>
    <row r="18">
      <c r="A18" s="20" t="inlineStr">
        <is>
          <t>Retomar contato primeiro</t>
        </is>
      </c>
    </row>
    <row r="19">
      <c r="A19" s="19" t="inlineStr">
        <is>
          <t>Orçamentos abertos parados há mais tempo; os de maior valor primeiro. Sem insistência: uma mensagem educada perguntando se ficou alguma dúvida.</t>
        </is>
      </c>
    </row>
    <row r="20" ht="26" customHeight="1">
      <c r="A20" s="21" t="inlineStr">
        <is>
          <t>#</t>
        </is>
      </c>
      <c r="B20" s="21" t="inlineStr">
        <is>
          <t>Paciente</t>
        </is>
      </c>
      <c r="C20" s="21" t="inlineStr">
        <is>
          <t>Itens</t>
        </is>
      </c>
      <c r="D20" s="21" t="inlineStr">
        <is>
          <t>Etapa</t>
        </is>
      </c>
      <c r="E20" s="21" t="inlineStr">
        <is>
          <t>Valor (R$)</t>
        </is>
      </c>
      <c r="F20" s="21" t="inlineStr">
        <is>
          <t>Dias em aberto</t>
        </is>
      </c>
      <c r="G20" s="21" t="inlineStr">
        <is>
          <t>Situação</t>
        </is>
      </c>
      <c r="H20" s="21" t="inlineStr">
        <is>
          <t>Profissional</t>
        </is>
      </c>
    </row>
    <row r="21">
      <c r="A21" s="25" t="n">
        <v>1</v>
      </c>
      <c r="B21" s="24" t="str">
        <f>IFERROR(IF(LARGE(Orçamentos!$Q$5:$Q$304,1)&gt;0,INDEX(Orçamentos!$B$5:$B$304,MATCH(LARGE(Orçamentos!$Q$5:$Q$304,1),Orçamentos!$Q$5:$Q$304,0)),""),"")</f>
        <v>Mariana Reis</v>
      </c>
      <c r="C21" s="24" t="str">
        <f>IFERROR(IF(LARGE(Orçamentos!$Q$5:$Q$304,1)&gt;0,INDEX(Orçamentos!$E$5:$E$304,MATCH(LARGE(Orçamentos!$Q$5:$Q$304,1),Orçamentos!$Q$5:$Q$304,0)),""),"")</f>
        <v>MAPA + Holter</v>
      </c>
      <c r="D21" s="25" t="str">
        <f>IFERROR(IF(LARGE(Orçamentos!$Q$5:$Q$304,1)&gt;0,INDEX(Orçamentos!$G$5:$G$304,MATCH(LARGE(Orçamentos!$Q$5:$Q$304,1),Orçamentos!$Q$5:$Q$304,0)),""),"")</f>
        <v>Em análise</v>
      </c>
      <c r="E21" s="26">
        <f>IFERROR(IF(LARGE(Orçamentos!$Q$5:$Q$304,1)&gt;0,INDEX(Orçamentos!$F$5:$F$304,MATCH(LARGE(Orçamentos!$Q$5:$Q$304,1),Orçamentos!$Q$5:$Q$304,0)),""),"")</f>
        <v>650</v>
      </c>
      <c r="F21" s="29">
        <f>IFERROR(IF(LARGE(Orçamentos!$Q$5:$Q$304,1)&gt;0,INDEX(Orçamentos!$M$5:$M$304,MATCH(LARGE(Orçamentos!$Q$5:$Q$304,1),Orçamentos!$Q$5:$Q$304,0)),""),"")</f>
        <v>12</v>
      </c>
      <c r="G21" s="25" t="str">
        <f>IFERROR(IF(LARGE(Orçamentos!$Q$5:$Q$304,1)&gt;0,INDEX(Orçamentos!$O$5:$O$304,MATCH(LARGE(Orçamentos!$Q$5:$Q$304,1),Orçamentos!$Q$5:$Q$304,0)),""),"")</f>
        <v>Parado</v>
      </c>
      <c r="H21" s="24" t="str">
        <f>IFERROR(IF(LARGE(Orçamentos!$Q$5:$Q$304,1)&gt;0,INDEX(Orçamentos!$C$5:$C$304,MATCH(LARGE(Orçamentos!$Q$5:$Q$304,1),Orçamentos!$Q$5:$Q$304,0)),""),"")</f>
        <v>Dr. Paulo Andrade</v>
      </c>
    </row>
    <row r="22">
      <c r="A22" s="25" t="n">
        <v>2</v>
      </c>
      <c r="B22" s="24" t="str">
        <f>IFERROR(IF(LARGE(Orçamentos!$Q$5:$Q$304,2)&gt;0,INDEX(Orçamentos!$B$5:$B$304,MATCH(LARGE(Orçamentos!$Q$5:$Q$304,2),Orçamentos!$Q$5:$Q$304,0)),""),"")</f>
        <v>Beatriz Monteiro</v>
      </c>
      <c r="C22" s="24" t="str">
        <f>IFERROR(IF(LARGE(Orçamentos!$Q$5:$Q$304,2)&gt;0,INDEX(Orçamentos!$E$5:$E$304,MATCH(LARGE(Orçamentos!$Q$5:$Q$304,2),Orçamentos!$Q$5:$Q$304,0)),""),"")</f>
        <v>Avaliação endócrina + retorno</v>
      </c>
      <c r="D22" s="25" t="str">
        <f>IFERROR(IF(LARGE(Orçamentos!$Q$5:$Q$304,2)&gt;0,INDEX(Orçamentos!$G$5:$G$304,MATCH(LARGE(Orçamentos!$Q$5:$Q$304,2),Orçamentos!$Q$5:$Q$304,0)),""),"")</f>
        <v>Em análise</v>
      </c>
      <c r="E22" s="26">
        <f>IFERROR(IF(LARGE(Orçamentos!$Q$5:$Q$304,2)&gt;0,INDEX(Orçamentos!$F$5:$F$304,MATCH(LARGE(Orçamentos!$Q$5:$Q$304,2),Orçamentos!$Q$5:$Q$304,0)),""),"")</f>
        <v>400</v>
      </c>
      <c r="F22" s="29">
        <f>IFERROR(IF(LARGE(Orçamentos!$Q$5:$Q$304,2)&gt;0,INDEX(Orçamentos!$M$5:$M$304,MATCH(LARGE(Orçamentos!$Q$5:$Q$304,2),Orçamentos!$Q$5:$Q$304,0)),""),"")</f>
        <v>9</v>
      </c>
      <c r="G22" s="25" t="str">
        <f>IFERROR(IF(LARGE(Orçamentos!$Q$5:$Q$304,2)&gt;0,INDEX(Orçamentos!$O$5:$O$304,MATCH(LARGE(Orçamentos!$Q$5:$Q$304,2),Orçamentos!$Q$5:$Q$304,0)),""),"")</f>
        <v>Parado</v>
      </c>
      <c r="H22" s="24" t="str">
        <f>IFERROR(IF(LARGE(Orçamentos!$Q$5:$Q$304,2)&gt;0,INDEX(Orçamentos!$C$5:$C$304,MATCH(LARGE(Orçamentos!$Q$5:$Q$304,2),Orçamentos!$Q$5:$Q$304,0)),""),"")</f>
        <v>Dra. Renata Sousa</v>
      </c>
    </row>
    <row r="23">
      <c r="A23" s="25" t="n">
        <v>3</v>
      </c>
      <c r="B23" s="24" t="str">
        <f>IFERROR(IF(LARGE(Orçamentos!$Q$5:$Q$304,3)&gt;0,INDEX(Orçamentos!$B$5:$B$304,MATCH(LARGE(Orçamentos!$Q$5:$Q$304,3),Orçamentos!$Q$5:$Q$304,0)),""),"")</f>
        <v>Rafael Dias</v>
      </c>
      <c r="C23" s="24" t="str">
        <f>IFERROR(IF(LARGE(Orçamentos!$Q$5:$Q$304,3)&gt;0,INDEX(Orçamentos!$E$5:$E$304,MATCH(LARGE(Orçamentos!$Q$5:$Q$304,3),Orçamentos!$Q$5:$Q$304,0)),""),"")</f>
        <v>Holter</v>
      </c>
      <c r="D23" s="25" t="str">
        <f>IFERROR(IF(LARGE(Orçamentos!$Q$5:$Q$304,3)&gt;0,INDEX(Orçamentos!$G$5:$G$304,MATCH(LARGE(Orçamentos!$Q$5:$Q$304,3),Orçamentos!$Q$5:$Q$304,0)),""),"")</f>
        <v>Em análise</v>
      </c>
      <c r="E23" s="26">
        <f>IFERROR(IF(LARGE(Orçamentos!$Q$5:$Q$304,3)&gt;0,INDEX(Orçamentos!$F$5:$F$304,MATCH(LARGE(Orçamentos!$Q$5:$Q$304,3),Orçamentos!$Q$5:$Q$304,0)),""),"")</f>
        <v>350</v>
      </c>
      <c r="F23" s="29">
        <f>IFERROR(IF(LARGE(Orçamentos!$Q$5:$Q$304,3)&gt;0,INDEX(Orçamentos!$M$5:$M$304,MATCH(LARGE(Orçamentos!$Q$5:$Q$304,3),Orçamentos!$Q$5:$Q$304,0)),""),"")</f>
        <v>6</v>
      </c>
      <c r="G23" s="25" t="str">
        <f>IFERROR(IF(LARGE(Orçamentos!$Q$5:$Q$304,3)&gt;0,INDEX(Orçamentos!$O$5:$O$304,MATCH(LARGE(Orçamentos!$Q$5:$Q$304,3),Orçamentos!$Q$5:$Q$304,0)),""),"")</f>
        <v>Ativo</v>
      </c>
      <c r="H23" s="24" t="str">
        <f>IFERROR(IF(LARGE(Orçamentos!$Q$5:$Q$304,3)&gt;0,INDEX(Orçamentos!$C$5:$C$304,MATCH(LARGE(Orçamentos!$Q$5:$Q$304,3),Orçamentos!$Q$5:$Q$304,0)),""),"")</f>
        <v>Dr. Paulo Andrade</v>
      </c>
    </row>
    <row r="24">
      <c r="A24" s="25" t="n">
        <v>4</v>
      </c>
      <c r="B24" s="24" t="str">
        <f>IFERROR(IF(LARGE(Orçamentos!$Q$5:$Q$304,4)&gt;0,INDEX(Orçamentos!$B$5:$B$304,MATCH(LARGE(Orçamentos!$Q$5:$Q$304,4),Orçamentos!$Q$5:$Q$304,0)),""),"")</f>
        <v>Roberta Lima</v>
      </c>
      <c r="C24" s="24" t="str">
        <f>IFERROR(IF(LARGE(Orçamentos!$Q$5:$Q$304,4)&gt;0,INDEX(Orçamentos!$E$5:$E$304,MATCH(LARGE(Orçamentos!$Q$5:$Q$304,4),Orçamentos!$Q$5:$Q$304,0)),""),"")</f>
        <v>Consulta + ECG + teste ergométrico</v>
      </c>
      <c r="D24" s="25" t="str">
        <f>IFERROR(IF(LARGE(Orçamentos!$Q$5:$Q$304,4)&gt;0,INDEX(Orçamentos!$G$5:$G$304,MATCH(LARGE(Orçamentos!$Q$5:$Q$304,4),Orçamentos!$Q$5:$Q$304,0)),""),"")</f>
        <v>Apresentado</v>
      </c>
      <c r="E24" s="26">
        <f>IFERROR(IF(LARGE(Orçamentos!$Q$5:$Q$304,4)&gt;0,INDEX(Orçamentos!$F$5:$F$304,MATCH(LARGE(Orçamentos!$Q$5:$Q$304,4),Orçamentos!$Q$5:$Q$304,0)),""),"")</f>
        <v>960</v>
      </c>
      <c r="F24" s="29">
        <f>IFERROR(IF(LARGE(Orçamentos!$Q$5:$Q$304,4)&gt;0,INDEX(Orçamentos!$M$5:$M$304,MATCH(LARGE(Orçamentos!$Q$5:$Q$304,4),Orçamentos!$Q$5:$Q$304,0)),""),"")</f>
        <v>3</v>
      </c>
      <c r="G24" s="25" t="str">
        <f>IFERROR(IF(LARGE(Orçamentos!$Q$5:$Q$304,4)&gt;0,INDEX(Orçamentos!$O$5:$O$304,MATCH(LARGE(Orçamentos!$Q$5:$Q$304,4),Orçamentos!$Q$5:$Q$304,0)),""),"")</f>
        <v>Ativo</v>
      </c>
      <c r="H24" s="24" t="str">
        <f>IFERROR(IF(LARGE(Orçamentos!$Q$5:$Q$304,4)&gt;0,INDEX(Orçamentos!$C$5:$C$304,MATCH(LARGE(Orçamentos!$Q$5:$Q$304,4),Orçamentos!$Q$5:$Q$304,0)),""),"")</f>
        <v>Dr. Paulo Andrade</v>
      </c>
    </row>
    <row r="25">
      <c r="A25" s="25" t="n">
        <v>5</v>
      </c>
      <c r="B25" s="24" t="str">
        <f>IFERROR(IF(LARGE(Orçamentos!$Q$5:$Q$304,5)&gt;0,INDEX(Orçamentos!$B$5:$B$304,MATCH(LARGE(Orçamentos!$Q$5:$Q$304,5),Orçamentos!$Q$5:$Q$304,0)),""),"")</f>
        <v>Wagner Costa</v>
      </c>
      <c r="C25" s="24" t="str">
        <f>IFERROR(IF(LARGE(Orçamentos!$Q$5:$Q$304,5)&gt;0,INDEX(Orçamentos!$E$5:$E$304,MATCH(LARGE(Orçamentos!$Q$5:$Q$304,5),Orçamentos!$Q$5:$Q$304,0)),""),"")</f>
        <v>Teste ergométrico</v>
      </c>
      <c r="D25" s="25" t="str">
        <f>IFERROR(IF(LARGE(Orçamentos!$Q$5:$Q$304,5)&gt;0,INDEX(Orçamentos!$G$5:$G$304,MATCH(LARGE(Orçamentos!$Q$5:$Q$304,5),Orçamentos!$Q$5:$Q$304,0)),""),"")</f>
        <v>Apresentado</v>
      </c>
      <c r="E25" s="26">
        <f>IFERROR(IF(LARGE(Orçamentos!$Q$5:$Q$304,5)&gt;0,INDEX(Orçamentos!$F$5:$F$304,MATCH(LARGE(Orçamentos!$Q$5:$Q$304,5),Orçamentos!$Q$5:$Q$304,0)),""),"")</f>
        <v>450</v>
      </c>
      <c r="F25" s="29">
        <f>IFERROR(IF(LARGE(Orçamentos!$Q$5:$Q$304,5)&gt;0,INDEX(Orçamentos!$M$5:$M$304,MATCH(LARGE(Orçamentos!$Q$5:$Q$304,5),Orçamentos!$Q$5:$Q$304,0)),""),"")</f>
        <v>1</v>
      </c>
      <c r="G25" s="25" t="str">
        <f>IFERROR(IF(LARGE(Orçamentos!$Q$5:$Q$304,5)&gt;0,INDEX(Orçamentos!$O$5:$O$304,MATCH(LARGE(Orçamentos!$Q$5:$Q$304,5),Orçamentos!$Q$5:$Q$304,0)),""),"")</f>
        <v>Ativo</v>
      </c>
      <c r="H25" s="24" t="str">
        <f>IFERROR(IF(LARGE(Orçamentos!$Q$5:$Q$304,5)&gt;0,INDEX(Orçamentos!$C$5:$C$304,MATCH(LARGE(Orçamentos!$Q$5:$Q$304,5),Orçamentos!$Q$5:$Q$304,0)),""),"")</f>
        <v>Dr. Paulo Andrade</v>
      </c>
    </row>
    <row r="26">
      <c r="A26" s="25" t="n">
        <v>6</v>
      </c>
      <c r="B26" s="24" t="str">
        <f>IFERROR(IF(LARGE(Orçamentos!$Q$5:$Q$304,6)&gt;0,INDEX(Orçamentos!$B$5:$B$304,MATCH(LARGE(Orçamentos!$Q$5:$Q$304,6),Orçamentos!$Q$5:$Q$304,0)),""),"")</f>
        <v>Fábio Correia</v>
      </c>
      <c r="C26" s="24" t="str">
        <f>IFERROR(IF(LARGE(Orçamentos!$Q$5:$Q$304,6)&gt;0,INDEX(Orçamentos!$E$5:$E$304,MATCH(LARGE(Orçamentos!$Q$5:$Q$304,6),Orçamentos!$Q$5:$Q$304,0)),""),"")</f>
        <v>MAPA + Holter</v>
      </c>
      <c r="D26" s="25" t="str">
        <f>IFERROR(IF(LARGE(Orçamentos!$Q$5:$Q$304,6)&gt;0,INDEX(Orçamentos!$G$5:$G$304,MATCH(LARGE(Orçamentos!$Q$5:$Q$304,6),Orçamentos!$Q$5:$Q$304,0)),""),"")</f>
        <v>Apresentado</v>
      </c>
      <c r="E26" s="26">
        <f>IFERROR(IF(LARGE(Orçamentos!$Q$5:$Q$304,6)&gt;0,INDEX(Orçamentos!$F$5:$F$304,MATCH(LARGE(Orçamentos!$Q$5:$Q$304,6),Orçamentos!$Q$5:$Q$304,0)),""),"")</f>
        <v>650</v>
      </c>
      <c r="F26" s="29">
        <f>IFERROR(IF(LARGE(Orçamentos!$Q$5:$Q$304,6)&gt;0,INDEX(Orçamentos!$M$5:$M$304,MATCH(LARGE(Orçamentos!$Q$5:$Q$304,6),Orçamentos!$Q$5:$Q$304,0)),""),"")</f>
        <v>0</v>
      </c>
      <c r="G26" s="25" t="str">
        <f>IFERROR(IF(LARGE(Orçamentos!$Q$5:$Q$304,6)&gt;0,INDEX(Orçamentos!$O$5:$O$304,MATCH(LARGE(Orçamentos!$Q$5:$Q$304,6),Orçamentos!$Q$5:$Q$304,0)),""),"")</f>
        <v>Ativo</v>
      </c>
      <c r="H26" s="24" t="str">
        <f>IFERROR(IF(LARGE(Orçamentos!$Q$5:$Q$304,6)&gt;0,INDEX(Orçamentos!$C$5:$C$304,MATCH(LARGE(Orçamentos!$Q$5:$Q$304,6),Orçamentos!$Q$5:$Q$304,0)),""),"")</f>
        <v>Dr. Paulo Andrade</v>
      </c>
    </row>
    <row r="27">
      <c r="A27" s="25" t="n">
        <v>7</v>
      </c>
      <c r="B27" s="24">
        <f>IFERROR(IF(LARGE(Orçamentos!$Q$5:$Q$304,7)&gt;0,INDEX(Orçamentos!$B$5:$B$304,MATCH(LARGE(Orçamentos!$Q$5:$Q$304,7),Orçamentos!$Q$5:$Q$304,0)),""),"")</f>
        <v/>
      </c>
      <c r="C27" s="24">
        <f>IFERROR(IF(LARGE(Orçamentos!$Q$5:$Q$304,7)&gt;0,INDEX(Orçamentos!$E$5:$E$304,MATCH(LARGE(Orçamentos!$Q$5:$Q$304,7),Orçamentos!$Q$5:$Q$304,0)),""),"")</f>
        <v/>
      </c>
      <c r="D27" s="25">
        <f>IFERROR(IF(LARGE(Orçamentos!$Q$5:$Q$304,7)&gt;0,INDEX(Orçamentos!$G$5:$G$304,MATCH(LARGE(Orçamentos!$Q$5:$Q$304,7),Orçamentos!$Q$5:$Q$304,0)),""),"")</f>
        <v/>
      </c>
      <c r="E27" s="26">
        <f>IFERROR(IF(LARGE(Orçamentos!$Q$5:$Q$304,7)&gt;0,INDEX(Orçamentos!$F$5:$F$304,MATCH(LARGE(Orçamentos!$Q$5:$Q$304,7),Orçamentos!$Q$5:$Q$304,0)),""),"")</f>
        <v/>
      </c>
      <c r="F27" s="29">
        <f>IFERROR(IF(LARGE(Orçamentos!$Q$5:$Q$304,7)&gt;0,INDEX(Orçamentos!$M$5:$M$304,MATCH(LARGE(Orçamentos!$Q$5:$Q$304,7),Orçamentos!$Q$5:$Q$304,0)),""),"")</f>
        <v/>
      </c>
      <c r="G27" s="25">
        <f>IFERROR(IF(LARGE(Orçamentos!$Q$5:$Q$304,7)&gt;0,INDEX(Orçamentos!$O$5:$O$304,MATCH(LARGE(Orçamentos!$Q$5:$Q$304,7),Orçamentos!$Q$5:$Q$304,0)),""),"")</f>
        <v/>
      </c>
      <c r="H27" s="24">
        <f>IFERROR(IF(LARGE(Orçamentos!$Q$5:$Q$304,7)&gt;0,INDEX(Orçamentos!$C$5:$C$304,MATCH(LARGE(Orçamentos!$Q$5:$Q$304,7),Orçamentos!$Q$5:$Q$304,0)),""),"")</f>
        <v/>
      </c>
    </row>
    <row r="28">
      <c r="A28" s="25" t="n">
        <v>8</v>
      </c>
      <c r="B28" s="24">
        <f>IFERROR(IF(LARGE(Orçamentos!$Q$5:$Q$304,8)&gt;0,INDEX(Orçamentos!$B$5:$B$304,MATCH(LARGE(Orçamentos!$Q$5:$Q$304,8),Orçamentos!$Q$5:$Q$304,0)),""),"")</f>
        <v/>
      </c>
      <c r="C28" s="24">
        <f>IFERROR(IF(LARGE(Orçamentos!$Q$5:$Q$304,8)&gt;0,INDEX(Orçamentos!$E$5:$E$304,MATCH(LARGE(Orçamentos!$Q$5:$Q$304,8),Orçamentos!$Q$5:$Q$304,0)),""),"")</f>
        <v/>
      </c>
      <c r="D28" s="25">
        <f>IFERROR(IF(LARGE(Orçamentos!$Q$5:$Q$304,8)&gt;0,INDEX(Orçamentos!$G$5:$G$304,MATCH(LARGE(Orçamentos!$Q$5:$Q$304,8),Orçamentos!$Q$5:$Q$304,0)),""),"")</f>
        <v/>
      </c>
      <c r="E28" s="26">
        <f>IFERROR(IF(LARGE(Orçamentos!$Q$5:$Q$304,8)&gt;0,INDEX(Orçamentos!$F$5:$F$304,MATCH(LARGE(Orçamentos!$Q$5:$Q$304,8),Orçamentos!$Q$5:$Q$304,0)),""),"")</f>
        <v/>
      </c>
      <c r="F28" s="29">
        <f>IFERROR(IF(LARGE(Orçamentos!$Q$5:$Q$304,8)&gt;0,INDEX(Orçamentos!$M$5:$M$304,MATCH(LARGE(Orçamentos!$Q$5:$Q$304,8),Orçamentos!$Q$5:$Q$304,0)),""),"")</f>
        <v/>
      </c>
      <c r="G28" s="25">
        <f>IFERROR(IF(LARGE(Orçamentos!$Q$5:$Q$304,8)&gt;0,INDEX(Orçamentos!$O$5:$O$304,MATCH(LARGE(Orçamentos!$Q$5:$Q$304,8),Orçamentos!$Q$5:$Q$304,0)),""),"")</f>
        <v/>
      </c>
      <c r="H28" s="24">
        <f>IFERROR(IF(LARGE(Orçamentos!$Q$5:$Q$304,8)&gt;0,INDEX(Orçamentos!$C$5:$C$304,MATCH(LARGE(Orçamentos!$Q$5:$Q$304,8),Orçamentos!$Q$5:$Q$304,0)),""),"")</f>
        <v/>
      </c>
    </row>
    <row r="29"/>
    <row r="30">
      <c r="A30" s="20" t="inlineStr">
        <is>
          <t>Por tipo</t>
        </is>
      </c>
    </row>
    <row r="31" ht="32" customHeight="1">
      <c r="A31" s="21" t="inlineStr">
        <is>
          <t>Tipo</t>
        </is>
      </c>
      <c r="B31" s="21" t="inlineStr">
        <is>
          <t>Orçamentos</t>
        </is>
      </c>
      <c r="C31" s="21" t="inlineStr">
        <is>
          <t>Aprovados</t>
        </is>
      </c>
      <c r="D31" s="21" t="inlineStr">
        <is>
          <t>Recusados / sem retorno</t>
        </is>
      </c>
      <c r="E31" s="21" t="inlineStr">
        <is>
          <t>Taxa de aprovação</t>
        </is>
      </c>
      <c r="F31" s="21" t="inlineStr">
        <is>
          <t>Valor aprovado (R$)</t>
        </is>
      </c>
      <c r="G31" s="21" t="inlineStr">
        <is>
          <t>Em aberto (R$)</t>
        </is>
      </c>
    </row>
    <row r="32">
      <c r="A32" s="24" t="str">
        <f>IF(Config!$A$18="","",Config!$A$18)</f>
        <v>Check-up cardiológico</v>
      </c>
      <c r="B32" s="25">
        <f>IF(Config!$A$18="","",COUNTIFS(Orçamentos!$D$5:$D$304,Config!$A$18))</f>
        <v>3</v>
      </c>
      <c r="C32" s="25">
        <f>IF(Config!$A$18="","",COUNTIFS(Orçamentos!$D$5:$D$304,Config!$A$18,Orçamentos!$G$5:$G$304,"Aprovado"))</f>
        <v>1</v>
      </c>
      <c r="D32" s="25">
        <f>IF(Config!$A$18="","",COUNTIFS(Orçamentos!$D$5:$D$304,Config!$A$18,Orçamentos!$G$5:$G$304,"Recusado")+COUNTIFS(Orçamentos!$D$5:$D$304,Config!$A$18,Orçamentos!$G$5:$G$304,"Sem retorno"))</f>
        <v>1</v>
      </c>
      <c r="E32" s="30">
        <f>IF(Config!$A$18="","",IFERROR(C32/(C32+D32),0))</f>
        <v>0.5</v>
      </c>
      <c r="F32" s="26">
        <f>IF(Config!$A$18="","",SUMIFS(Orçamentos!$F$5:$F$304,Orçamentos!$D$5:$D$304,Config!$A$18,Orçamentos!$G$5:$G$304,"Aprovado"))</f>
        <v>960</v>
      </c>
      <c r="G32" s="26">
        <f>IF(Config!$A$18="","",SUMIFS(Orçamentos!$F$5:$F$304,Orçamentos!$D$5:$D$304,Config!$A$18,Orçamentos!$G$5:$G$304,"&lt;&gt;Aprovado",Orçamentos!$G$5:$G$304,"&lt;&gt;Recusado",Orçamentos!$G$5:$G$304,"&lt;&gt;Sem retorno",Orçamentos!$G$5:$G$304,"&lt;&gt;"))</f>
        <v>960</v>
      </c>
    </row>
    <row r="33">
      <c r="A33" s="24" t="str">
        <f>IF(Config!$A$19="","",Config!$A$19)</f>
        <v>Exame cardiológico</v>
      </c>
      <c r="B33" s="25">
        <f>IF(Config!$A$19="","",COUNTIFS(Orçamentos!$D$5:$D$304,Config!$A$19))</f>
        <v>28</v>
      </c>
      <c r="C33" s="25">
        <f>IF(Config!$A$19="","",COUNTIFS(Orçamentos!$D$5:$D$304,Config!$A$19,Orçamentos!$G$5:$G$304,"Aprovado"))</f>
        <v>20</v>
      </c>
      <c r="D33" s="25">
        <f>IF(Config!$A$19="","",COUNTIFS(Orçamentos!$D$5:$D$304,Config!$A$19,Orçamentos!$G$5:$G$304,"Recusado")+COUNTIFS(Orçamentos!$D$5:$D$304,Config!$A$19,Orçamentos!$G$5:$G$304,"Sem retorno"))</f>
        <v>4</v>
      </c>
      <c r="E33" s="30">
        <f>IF(Config!$A$19="","",IFERROR(C33/(C33+D33),0))</f>
        <v>0.833333333333333</v>
      </c>
      <c r="F33" s="26">
        <f>IF(Config!$A$19="","",SUMIFS(Orçamentos!$F$5:$F$304,Orçamentos!$D$5:$D$304,Config!$A$19,Orçamentos!$G$5:$G$304,"Aprovado"))</f>
        <v>7550</v>
      </c>
      <c r="G33" s="26">
        <f>IF(Config!$A$19="","",SUMIFS(Orçamentos!$F$5:$F$304,Orçamentos!$D$5:$D$304,Config!$A$19,Orçamentos!$G$5:$G$304,"&lt;&gt;Aprovado",Orçamentos!$G$5:$G$304,"&lt;&gt;Recusado",Orçamentos!$G$5:$G$304,"&lt;&gt;Sem retorno",Orçamentos!$G$5:$G$304,"&lt;&gt;"))</f>
        <v>2100</v>
      </c>
    </row>
    <row r="34">
      <c r="A34" s="24" t="str">
        <f>IF(Config!$A$20="","",Config!$A$20)</f>
        <v>Avaliação endócrina</v>
      </c>
      <c r="B34" s="25">
        <f>IF(Config!$A$20="","",COUNTIFS(Orçamentos!$D$5:$D$304,Config!$A$20))</f>
        <v>2</v>
      </c>
      <c r="C34" s="25">
        <f>IF(Config!$A$20="","",COUNTIFS(Orçamentos!$D$5:$D$304,Config!$A$20,Orçamentos!$G$5:$G$304,"Aprovado"))</f>
        <v>0</v>
      </c>
      <c r="D34" s="25">
        <f>IF(Config!$A$20="","",COUNTIFS(Orçamentos!$D$5:$D$304,Config!$A$20,Orçamentos!$G$5:$G$304,"Recusado")+COUNTIFS(Orçamentos!$D$5:$D$304,Config!$A$20,Orçamentos!$G$5:$G$304,"Sem retorno"))</f>
        <v>1</v>
      </c>
      <c r="E34" s="30">
        <f>IF(Config!$A$20="","",IFERROR(C34/(C34+D34),0))</f>
        <v>0</v>
      </c>
      <c r="F34" s="26">
        <f>IF(Config!$A$20="","",SUMIFS(Orçamentos!$F$5:$F$304,Orçamentos!$D$5:$D$304,Config!$A$20,Orçamentos!$G$5:$G$304,"Aprovado"))</f>
        <v>0</v>
      </c>
      <c r="G34" s="26">
        <f>IF(Config!$A$20="","",SUMIFS(Orçamentos!$F$5:$F$304,Orçamentos!$D$5:$D$304,Config!$A$20,Orçamentos!$G$5:$G$304,"&lt;&gt;Aprovado",Orçamentos!$G$5:$G$304,"&lt;&gt;Recusado",Orçamentos!$G$5:$G$304,"&lt;&gt;Sem retorno",Orçamentos!$G$5:$G$304,"&lt;&gt;"))</f>
        <v>400</v>
      </c>
    </row>
    <row r="35">
      <c r="A35" s="24" t="str">
        <f>IF(Config!$A$21="","",Config!$A$21)</f>
        <v>Pacote de consultas</v>
      </c>
      <c r="B35" s="25">
        <f>IF(Config!$A$21="","",COUNTIFS(Orçamentos!$D$5:$D$304,Config!$A$21))</f>
        <v>2</v>
      </c>
      <c r="C35" s="25">
        <f>IF(Config!$A$21="","",COUNTIFS(Orçamentos!$D$5:$D$304,Config!$A$21,Orçamentos!$G$5:$G$304,"Aprovado"))</f>
        <v>0</v>
      </c>
      <c r="D35" s="25">
        <f>IF(Config!$A$21="","",COUNTIFS(Orçamentos!$D$5:$D$304,Config!$A$21,Orçamentos!$G$5:$G$304,"Recusado")+COUNTIFS(Orçamentos!$D$5:$D$304,Config!$A$21,Orçamentos!$G$5:$G$304,"Sem retorno"))</f>
        <v>2</v>
      </c>
      <c r="E35" s="30">
        <f>IF(Config!$A$21="","",IFERROR(C35/(C35+D35),0))</f>
        <v>0</v>
      </c>
      <c r="F35" s="26">
        <f>IF(Config!$A$21="","",SUMIFS(Orçamentos!$F$5:$F$304,Orçamentos!$D$5:$D$304,Config!$A$21,Orçamentos!$G$5:$G$304,"Aprovado"))</f>
        <v>0</v>
      </c>
      <c r="G35" s="26">
        <f>IF(Config!$A$21="","",SUMIFS(Orçamentos!$F$5:$F$304,Orçamentos!$D$5:$D$304,Config!$A$21,Orçamentos!$G$5:$G$304,"&lt;&gt;Aprovado",Orçamentos!$G$5:$G$304,"&lt;&gt;Recusado",Orçamentos!$G$5:$G$304,"&lt;&gt;Sem retorno",Orçamentos!$G$5:$G$304,"&lt;&gt;"))</f>
        <v>0</v>
      </c>
    </row>
    <row r="36">
      <c r="A36" s="24">
        <f>IF(Config!$A$22="","",Config!$A$22)</f>
        <v/>
      </c>
      <c r="B36" s="25">
        <f>IF(Config!$A$22="","",COUNTIFS(Orçamentos!$D$5:$D$304,Config!$A$22))</f>
        <v/>
      </c>
      <c r="C36" s="25">
        <f>IF(Config!$A$22="","",COUNTIFS(Orçamentos!$D$5:$D$304,Config!$A$22,Orçamentos!$G$5:$G$304,"Aprovado"))</f>
        <v/>
      </c>
      <c r="D36" s="25">
        <f>IF(Config!$A$22="","",COUNTIFS(Orçamentos!$D$5:$D$304,Config!$A$22,Orçamentos!$G$5:$G$304,"Recusado")+COUNTIFS(Orçamentos!$D$5:$D$304,Config!$A$22,Orçamentos!$G$5:$G$304,"Sem retorno"))</f>
        <v/>
      </c>
      <c r="E36" s="30">
        <f>IF(Config!$A$22="","",IFERROR(C36/(C36+D36),0))</f>
        <v/>
      </c>
      <c r="F36" s="26">
        <f>IF(Config!$A$22="","",SUMIFS(Orçamentos!$F$5:$F$304,Orçamentos!$D$5:$D$304,Config!$A$22,Orçamentos!$G$5:$G$304,"Aprovado"))</f>
        <v/>
      </c>
      <c r="G36" s="26">
        <f>IF(Config!$A$22="","",SUMIFS(Orçamentos!$F$5:$F$304,Orçamentos!$D$5:$D$304,Config!$A$22,Orçamentos!$G$5:$G$304,"&lt;&gt;Aprovado",Orçamentos!$G$5:$G$304,"&lt;&gt;Recusado",Orçamentos!$G$5:$G$304,"&lt;&gt;Sem retorno",Orçamentos!$G$5:$G$304,"&lt;&gt;"))</f>
        <v/>
      </c>
    </row>
    <row r="37">
      <c r="A37" s="24">
        <f>IF(Config!$A$23="","",Config!$A$23)</f>
        <v/>
      </c>
      <c r="B37" s="25">
        <f>IF(Config!$A$23="","",COUNTIFS(Orçamentos!$D$5:$D$304,Config!$A$23))</f>
        <v/>
      </c>
      <c r="C37" s="25">
        <f>IF(Config!$A$23="","",COUNTIFS(Orçamentos!$D$5:$D$304,Config!$A$23,Orçamentos!$G$5:$G$304,"Aprovado"))</f>
        <v/>
      </c>
      <c r="D37" s="25">
        <f>IF(Config!$A$23="","",COUNTIFS(Orçamentos!$D$5:$D$304,Config!$A$23,Orçamentos!$G$5:$G$304,"Recusado")+COUNTIFS(Orçamentos!$D$5:$D$304,Config!$A$23,Orçamentos!$G$5:$G$304,"Sem retorno"))</f>
        <v/>
      </c>
      <c r="E37" s="30">
        <f>IF(Config!$A$23="","",IFERROR(C37/(C37+D37),0))</f>
        <v/>
      </c>
      <c r="F37" s="26">
        <f>IF(Config!$A$23="","",SUMIFS(Orçamentos!$F$5:$F$304,Orçamentos!$D$5:$D$304,Config!$A$23,Orçamentos!$G$5:$G$304,"Aprovado"))</f>
        <v/>
      </c>
      <c r="G37" s="26">
        <f>IF(Config!$A$23="","",SUMIFS(Orçamentos!$F$5:$F$304,Orçamentos!$D$5:$D$304,Config!$A$23,Orçamentos!$G$5:$G$304,"&lt;&gt;Aprovado",Orçamentos!$G$5:$G$304,"&lt;&gt;Recusado",Orçamentos!$G$5:$G$304,"&lt;&gt;Sem retorno",Orçamentos!$G$5:$G$304,"&lt;&gt;"))</f>
        <v/>
      </c>
    </row>
    <row r="38">
      <c r="A38" s="24">
        <f>IF(Config!$A$24="","",Config!$A$24)</f>
        <v/>
      </c>
      <c r="B38" s="25">
        <f>IF(Config!$A$24="","",COUNTIFS(Orçamentos!$D$5:$D$304,Config!$A$24))</f>
        <v/>
      </c>
      <c r="C38" s="25">
        <f>IF(Config!$A$24="","",COUNTIFS(Orçamentos!$D$5:$D$304,Config!$A$24,Orçamentos!$G$5:$G$304,"Aprovado"))</f>
        <v/>
      </c>
      <c r="D38" s="25">
        <f>IF(Config!$A$24="","",COUNTIFS(Orçamentos!$D$5:$D$304,Config!$A$24,Orçamentos!$G$5:$G$304,"Recusado")+COUNTIFS(Orçamentos!$D$5:$D$304,Config!$A$24,Orçamentos!$G$5:$G$304,"Sem retorno"))</f>
        <v/>
      </c>
      <c r="E38" s="30">
        <f>IF(Config!$A$24="","",IFERROR(C38/(C38+D38),0))</f>
        <v/>
      </c>
      <c r="F38" s="26">
        <f>IF(Config!$A$24="","",SUMIFS(Orçamentos!$F$5:$F$304,Orçamentos!$D$5:$D$304,Config!$A$24,Orçamentos!$G$5:$G$304,"Aprovado"))</f>
        <v/>
      </c>
      <c r="G38" s="26">
        <f>IF(Config!$A$24="","",SUMIFS(Orçamentos!$F$5:$F$304,Orçamentos!$D$5:$D$304,Config!$A$24,Orçamentos!$G$5:$G$304,"&lt;&gt;Aprovado",Orçamentos!$G$5:$G$304,"&lt;&gt;Recusado",Orçamentos!$G$5:$G$304,"&lt;&gt;Sem retorno",Orçamentos!$G$5:$G$304,"&lt;&gt;"))</f>
        <v/>
      </c>
    </row>
    <row r="39">
      <c r="A39" s="24">
        <f>IF(Config!$A$25="","",Config!$A$25)</f>
        <v/>
      </c>
      <c r="B39" s="25">
        <f>IF(Config!$A$25="","",COUNTIFS(Orçamentos!$D$5:$D$304,Config!$A$25))</f>
        <v/>
      </c>
      <c r="C39" s="25">
        <f>IF(Config!$A$25="","",COUNTIFS(Orçamentos!$D$5:$D$304,Config!$A$25,Orçamentos!$G$5:$G$304,"Aprovado"))</f>
        <v/>
      </c>
      <c r="D39" s="25">
        <f>IF(Config!$A$25="","",COUNTIFS(Orçamentos!$D$5:$D$304,Config!$A$25,Orçamentos!$G$5:$G$304,"Recusado")+COUNTIFS(Orçamentos!$D$5:$D$304,Config!$A$25,Orçamentos!$G$5:$G$304,"Sem retorno"))</f>
        <v/>
      </c>
      <c r="E39" s="30">
        <f>IF(Config!$A$25="","",IFERROR(C39/(C39+D39),0))</f>
        <v/>
      </c>
      <c r="F39" s="26">
        <f>IF(Config!$A$25="","",SUMIFS(Orçamentos!$F$5:$F$304,Orçamentos!$D$5:$D$304,Config!$A$25,Orçamentos!$G$5:$G$304,"Aprovado"))</f>
        <v/>
      </c>
      <c r="G39" s="26">
        <f>IF(Config!$A$25="","",SUMIFS(Orçamentos!$F$5:$F$304,Orçamentos!$D$5:$D$304,Config!$A$25,Orçamentos!$G$5:$G$304,"&lt;&gt;Aprovado",Orçamentos!$G$5:$G$304,"&lt;&gt;Recusado",Orçamentos!$G$5:$G$304,"&lt;&gt;Sem retorno",Orçamentos!$G$5:$G$304,"&lt;&gt;"))</f>
        <v/>
      </c>
    </row>
    <row r="40">
      <c r="A40" s="24">
        <f>IF(Config!$A$26="","",Config!$A$26)</f>
        <v/>
      </c>
      <c r="B40" s="25">
        <f>IF(Config!$A$26="","",COUNTIFS(Orçamentos!$D$5:$D$304,Config!$A$26))</f>
        <v/>
      </c>
      <c r="C40" s="25">
        <f>IF(Config!$A$26="","",COUNTIFS(Orçamentos!$D$5:$D$304,Config!$A$26,Orçamentos!$G$5:$G$304,"Aprovado"))</f>
        <v/>
      </c>
      <c r="D40" s="25">
        <f>IF(Config!$A$26="","",COUNTIFS(Orçamentos!$D$5:$D$304,Config!$A$26,Orçamentos!$G$5:$G$304,"Recusado")+COUNTIFS(Orçamentos!$D$5:$D$304,Config!$A$26,Orçamentos!$G$5:$G$304,"Sem retorno"))</f>
        <v/>
      </c>
      <c r="E40" s="30">
        <f>IF(Config!$A$26="","",IFERROR(C40/(C40+D40),0))</f>
        <v/>
      </c>
      <c r="F40" s="26">
        <f>IF(Config!$A$26="","",SUMIFS(Orçamentos!$F$5:$F$304,Orçamentos!$D$5:$D$304,Config!$A$26,Orçamentos!$G$5:$G$304,"Aprovado"))</f>
        <v/>
      </c>
      <c r="G40" s="26">
        <f>IF(Config!$A$26="","",SUMIFS(Orçamentos!$F$5:$F$304,Orçamentos!$D$5:$D$304,Config!$A$26,Orçamentos!$G$5:$G$304,"&lt;&gt;Aprovado",Orçamentos!$G$5:$G$304,"&lt;&gt;Recusado",Orçamentos!$G$5:$G$304,"&lt;&gt;Sem retorno",Orçamentos!$G$5:$G$304,"&lt;&gt;"))</f>
        <v/>
      </c>
    </row>
    <row r="41">
      <c r="A41" s="24">
        <f>IF(Config!$A$27="","",Config!$A$27)</f>
        <v/>
      </c>
      <c r="B41" s="25">
        <f>IF(Config!$A$27="","",COUNTIFS(Orçamentos!$D$5:$D$304,Config!$A$27))</f>
        <v/>
      </c>
      <c r="C41" s="25">
        <f>IF(Config!$A$27="","",COUNTIFS(Orçamentos!$D$5:$D$304,Config!$A$27,Orçamentos!$G$5:$G$304,"Aprovado"))</f>
        <v/>
      </c>
      <c r="D41" s="25">
        <f>IF(Config!$A$27="","",COUNTIFS(Orçamentos!$D$5:$D$304,Config!$A$27,Orçamentos!$G$5:$G$304,"Recusado")+COUNTIFS(Orçamentos!$D$5:$D$304,Config!$A$27,Orçamentos!$G$5:$G$304,"Sem retorno"))</f>
        <v/>
      </c>
      <c r="E41" s="30">
        <f>IF(Config!$A$27="","",IFERROR(C41/(C41+D41),0))</f>
        <v/>
      </c>
      <c r="F41" s="26">
        <f>IF(Config!$A$27="","",SUMIFS(Orçamentos!$F$5:$F$304,Orçamentos!$D$5:$D$304,Config!$A$27,Orçamentos!$G$5:$G$304,"Aprovado"))</f>
        <v/>
      </c>
      <c r="G41" s="26">
        <f>IF(Config!$A$27="","",SUMIFS(Orçamentos!$F$5:$F$304,Orçamentos!$D$5:$D$304,Config!$A$27,Orçamentos!$G$5:$G$304,"&lt;&gt;Aprovado",Orçamentos!$G$5:$G$304,"&lt;&gt;Recusado",Orçamentos!$G$5:$G$304,"&lt;&gt;Sem retorno",Orçamentos!$G$5:$G$304,"&lt;&gt;"))</f>
        <v/>
      </c>
    </row>
    <row r="42"/>
    <row r="43">
      <c r="A43" s="20" t="inlineStr">
        <is>
          <t>Motivos de recusa</t>
        </is>
      </c>
    </row>
    <row r="44" ht="26" customHeight="1">
      <c r="A44" s="21" t="inlineStr">
        <is>
          <t>Motivo</t>
        </is>
      </c>
      <c r="B44" s="21" t="inlineStr">
        <is>
          <t>Recusados</t>
        </is>
      </c>
      <c r="C44" s="21" t="inlineStr">
        <is>
          <t>Valor (R$)</t>
        </is>
      </c>
      <c r="D44" s="21" t="inlineStr">
        <is>
          <t>% dos recusados</t>
        </is>
      </c>
      <c r="F44" s="21" t="inlineStr">
        <is>
          <t>Profissional</t>
        </is>
      </c>
      <c r="G44" s="21" t="inlineStr">
        <is>
          <t>Orçamentos</t>
        </is>
      </c>
      <c r="H44" s="21" t="inlineStr">
        <is>
          <t>Aprovados</t>
        </is>
      </c>
      <c r="I44" s="21" t="inlineStr">
        <is>
          <t>Taxa de aprovação</t>
        </is>
      </c>
      <c r="J44" s="21" t="inlineStr">
        <is>
          <t>Valor aprovado (R$)</t>
        </is>
      </c>
    </row>
    <row r="45">
      <c r="A45" s="24" t="str">
        <f>IF(Config!$C$18="","",Config!$C$18)</f>
        <v>Preço</v>
      </c>
      <c r="B45" s="25">
        <f>IF(Config!$C$18="","",COUNTIFS(Orçamentos!$I$5:$I$304,Config!$C$18,Orçamentos!$G$5:$G$304,"Recusado")+COUNTIFS(Orçamentos!$I$5:$I$304,Config!$C$18,Orçamentos!$G$5:$G$304,"Sem retorno"))</f>
        <v>2</v>
      </c>
      <c r="C45" s="26">
        <f>IF(Config!$C$18="","",SUMIFS(Orçamentos!$F$5:$F$304,Orçamentos!$I$5:$I$304,Config!$C$18,Orçamentos!$G$5:$G$304,"Recusado")+SUMIFS(Orçamentos!$F$5:$F$304,Orçamentos!$I$5:$I$304,Config!$C$18,Orçamentos!$G$5:$G$304,"Sem retorno"))</f>
        <v>680</v>
      </c>
      <c r="D45" s="30">
        <f>IF(Config!$C$18="","",IFERROR(B45/($B$14+$B$15),0))</f>
        <v>0.25</v>
      </c>
      <c r="F45" s="24" t="str">
        <f>IF(Config!$E$18="","",Config!$E$18)</f>
        <v>Dra. Carolina Mendes</v>
      </c>
      <c r="G45" s="25">
        <f>IF(Config!$E$18="","",COUNTIFS(Orçamentos!$C$5:$C$304,Config!$E$18))</f>
        <v>2</v>
      </c>
      <c r="H45" s="25">
        <f>IF(Config!$E$18="","",COUNTIFS(Orçamentos!$C$5:$C$304,Config!$E$18,Orçamentos!$G$5:$G$304,"Aprovado"))</f>
        <v>0</v>
      </c>
      <c r="I45" s="30">
        <f>IF(Config!$E$18="","",IFERROR(H45/(H45+COUNTIFS(Orçamentos!$C$5:$C$304,Config!$E$18,Orçamentos!$G$5:$G$304,"Recusado")+COUNTIFS(Orçamentos!$C$5:$C$304,Config!$E$18,Orçamentos!$G$5:$G$304,"Sem retorno")),0))</f>
        <v>0</v>
      </c>
      <c r="J45" s="26">
        <f>IF(Config!$E$18="","",SUMIFS(Orçamentos!$F$5:$F$304,Orçamentos!$C$5:$C$304,Config!$E$18,Orçamentos!$G$5:$G$304,"Aprovado"))</f>
        <v>0</v>
      </c>
    </row>
    <row r="46">
      <c r="A46" s="24" t="str">
        <f>IF(Config!$C$19="","",Config!$C$19)</f>
        <v>Vai fazer pelo convênio</v>
      </c>
      <c r="B46" s="25">
        <f>IF(Config!$C$19="","",COUNTIFS(Orçamentos!$I$5:$I$304,Config!$C$19,Orçamentos!$G$5:$G$304,"Recusado")+COUNTIFS(Orçamentos!$I$5:$I$304,Config!$C$19,Orçamentos!$G$5:$G$304,"Sem retorno"))</f>
        <v>1</v>
      </c>
      <c r="C46" s="26">
        <f>IF(Config!$C$19="","",SUMIFS(Orçamentos!$F$5:$F$304,Orçamentos!$I$5:$I$304,Config!$C$19,Orçamentos!$G$5:$G$304,"Recusado")+SUMIFS(Orçamentos!$F$5:$F$304,Orçamentos!$I$5:$I$304,Config!$C$19,Orçamentos!$G$5:$G$304,"Sem retorno"))</f>
        <v>350</v>
      </c>
      <c r="D46" s="30">
        <f>IF(Config!$C$19="","",IFERROR(B46/($B$14+$B$15),0))</f>
        <v>0.125</v>
      </c>
      <c r="F46" s="24" t="str">
        <f>IF(Config!$E$19="","",Config!$E$19)</f>
        <v>Dr. Paulo Andrade</v>
      </c>
      <c r="G46" s="25">
        <f>IF(Config!$E$19="","",COUNTIFS(Orçamentos!$C$5:$C$304,Config!$E$19))</f>
        <v>31</v>
      </c>
      <c r="H46" s="25">
        <f>IF(Config!$E$19="","",COUNTIFS(Orçamentos!$C$5:$C$304,Config!$E$19,Orçamentos!$G$5:$G$304,"Aprovado"))</f>
        <v>21</v>
      </c>
      <c r="I46" s="30">
        <f>IF(Config!$E$19="","",IFERROR(H46/(H46+COUNTIFS(Orçamentos!$C$5:$C$304,Config!$E$19,Orçamentos!$G$5:$G$304,"Recusado")+COUNTIFS(Orçamentos!$C$5:$C$304,Config!$E$19,Orçamentos!$G$5:$G$304,"Sem retorno")),0))</f>
        <v>0.807692307692308</v>
      </c>
      <c r="J46" s="26">
        <f>IF(Config!$E$19="","",SUMIFS(Orçamentos!$F$5:$F$304,Orçamentos!$C$5:$C$304,Config!$E$19,Orçamentos!$G$5:$G$304,"Aprovado"))</f>
        <v>8510</v>
      </c>
    </row>
    <row r="47">
      <c r="A47" s="24" t="str">
        <f>IF(Config!$C$20="","",Config!$C$20)</f>
        <v>Vai pensar / sem retorno</v>
      </c>
      <c r="B47" s="25">
        <f>IF(Config!$C$20="","",COUNTIFS(Orçamentos!$I$5:$I$304,Config!$C$20,Orçamentos!$G$5:$G$304,"Recusado")+COUNTIFS(Orçamentos!$I$5:$I$304,Config!$C$20,Orçamentos!$G$5:$G$304,"Sem retorno"))</f>
        <v>3</v>
      </c>
      <c r="C47" s="26">
        <f>IF(Config!$C$20="","",SUMIFS(Orçamentos!$F$5:$F$304,Orçamentos!$I$5:$I$304,Config!$C$20,Orçamentos!$G$5:$G$304,"Recusado")+SUMIFS(Orçamentos!$F$5:$F$304,Orçamentos!$I$5:$I$304,Config!$C$20,Orçamentos!$G$5:$G$304,"Sem retorno"))</f>
        <v>1660</v>
      </c>
      <c r="D47" s="30">
        <f>IF(Config!$C$20="","",IFERROR(B47/($B$14+$B$15),0))</f>
        <v>0.375</v>
      </c>
      <c r="F47" s="24" t="str">
        <f>IF(Config!$E$20="","",Config!$E$20)</f>
        <v>Dra. Renata Sousa</v>
      </c>
      <c r="G47" s="25">
        <f>IF(Config!$E$20="","",COUNTIFS(Orçamentos!$C$5:$C$304,Config!$E$20))</f>
        <v>2</v>
      </c>
      <c r="H47" s="25">
        <f>IF(Config!$E$20="","",COUNTIFS(Orçamentos!$C$5:$C$304,Config!$E$20,Orçamentos!$G$5:$G$304,"Aprovado"))</f>
        <v>0</v>
      </c>
      <c r="I47" s="30">
        <f>IF(Config!$E$20="","",IFERROR(H47/(H47+COUNTIFS(Orçamentos!$C$5:$C$304,Config!$E$20,Orçamentos!$G$5:$G$304,"Recusado")+COUNTIFS(Orçamentos!$C$5:$C$304,Config!$E$20,Orçamentos!$G$5:$G$304,"Sem retorno")),0))</f>
        <v>0</v>
      </c>
      <c r="J47" s="26">
        <f>IF(Config!$E$20="","",SUMIFS(Orçamentos!$F$5:$F$304,Orçamentos!$C$5:$C$304,Config!$E$20,Orçamentos!$G$5:$G$304,"Aprovado"))</f>
        <v>0</v>
      </c>
    </row>
    <row r="48">
      <c r="A48" s="24" t="str">
        <f>IF(Config!$C$21="","",Config!$C$21)</f>
        <v>Fez em outro lugar</v>
      </c>
      <c r="B48" s="25">
        <f>IF(Config!$C$21="","",COUNTIFS(Orçamentos!$I$5:$I$304,Config!$C$21,Orçamentos!$G$5:$G$304,"Recusado")+COUNTIFS(Orçamentos!$I$5:$I$304,Config!$C$21,Orçamentos!$G$5:$G$304,"Sem retorno"))</f>
        <v>1</v>
      </c>
      <c r="C48" s="26">
        <f>IF(Config!$C$21="","",SUMIFS(Orçamentos!$F$5:$F$304,Orçamentos!$I$5:$I$304,Config!$C$21,Orçamentos!$G$5:$G$304,"Recusado")+SUMIFS(Orçamentos!$F$5:$F$304,Orçamentos!$I$5:$I$304,Config!$C$21,Orçamentos!$G$5:$G$304,"Sem retorno"))</f>
        <v>450</v>
      </c>
      <c r="D48" s="30">
        <f>IF(Config!$C$21="","",IFERROR(B48/($B$14+$B$15),0))</f>
        <v>0.125</v>
      </c>
      <c r="F48" s="24">
        <f>IF(Config!$E$21="","",Config!$E$21)</f>
        <v/>
      </c>
      <c r="G48" s="25">
        <f>IF(Config!$E$21="","",COUNTIFS(Orçamentos!$C$5:$C$304,Config!$E$21))</f>
        <v/>
      </c>
      <c r="H48" s="25">
        <f>IF(Config!$E$21="","",COUNTIFS(Orçamentos!$C$5:$C$304,Config!$E$21,Orçamentos!$G$5:$G$304,"Aprovado"))</f>
        <v/>
      </c>
      <c r="I48" s="30">
        <f>IF(Config!$E$21="","",IFERROR(H48/(H48+COUNTIFS(Orçamentos!$C$5:$C$304,Config!$E$21,Orçamentos!$G$5:$G$304,"Recusado")+COUNTIFS(Orçamentos!$C$5:$C$304,Config!$E$21,Orçamentos!$G$5:$G$304,"Sem retorno")),0))</f>
        <v/>
      </c>
      <c r="J48" s="26">
        <f>IF(Config!$E$21="","",SUMIFS(Orçamentos!$F$5:$F$304,Orçamentos!$C$5:$C$304,Config!$E$21,Orçamentos!$G$5:$G$304,"Aprovado"))</f>
        <v/>
      </c>
    </row>
    <row r="49">
      <c r="A49" s="24" t="str">
        <f>IF(Config!$C$22="","",Config!$C$22)</f>
        <v>Sem indicação no momento</v>
      </c>
      <c r="B49" s="25">
        <f>IF(Config!$C$22="","",COUNTIFS(Orçamentos!$I$5:$I$304,Config!$C$22,Orçamentos!$G$5:$G$304,"Recusado")+COUNTIFS(Orçamentos!$I$5:$I$304,Config!$C$22,Orçamentos!$G$5:$G$304,"Sem retorno"))</f>
        <v>1</v>
      </c>
      <c r="C49" s="26">
        <f>IF(Config!$C$22="","",SUMIFS(Orçamentos!$F$5:$F$304,Orçamentos!$I$5:$I$304,Config!$C$22,Orçamentos!$G$5:$G$304,"Recusado")+SUMIFS(Orçamentos!$F$5:$F$304,Orçamentos!$I$5:$I$304,Config!$C$22,Orçamentos!$G$5:$G$304,"Sem retorno"))</f>
        <v>380</v>
      </c>
      <c r="D49" s="30">
        <f>IF(Config!$C$22="","",IFERROR(B49/($B$14+$B$15),0))</f>
        <v>0.125</v>
      </c>
      <c r="F49" s="24">
        <f>IF(Config!$E$22="","",Config!$E$22)</f>
        <v/>
      </c>
      <c r="G49" s="25">
        <f>IF(Config!$E$22="","",COUNTIFS(Orçamentos!$C$5:$C$304,Config!$E$22))</f>
        <v/>
      </c>
      <c r="H49" s="25">
        <f>IF(Config!$E$22="","",COUNTIFS(Orçamentos!$C$5:$C$304,Config!$E$22,Orçamentos!$G$5:$G$304,"Aprovado"))</f>
        <v/>
      </c>
      <c r="I49" s="30">
        <f>IF(Config!$E$22="","",IFERROR(H49/(H49+COUNTIFS(Orçamentos!$C$5:$C$304,Config!$E$22,Orçamentos!$G$5:$G$304,"Recusado")+COUNTIFS(Orçamentos!$C$5:$C$304,Config!$E$22,Orçamentos!$G$5:$G$304,"Sem retorno")),0))</f>
        <v/>
      </c>
      <c r="J49" s="26">
        <f>IF(Config!$E$22="","",SUMIFS(Orçamentos!$F$5:$F$304,Orçamentos!$C$5:$C$304,Config!$E$22,Orçamentos!$G$5:$G$304,"Aprovado"))</f>
        <v/>
      </c>
    </row>
    <row r="50">
      <c r="A50" s="24">
        <f>IF(Config!$C$23="","",Config!$C$23)</f>
        <v/>
      </c>
      <c r="B50" s="25">
        <f>IF(Config!$C$23="","",COUNTIFS(Orçamentos!$I$5:$I$304,Config!$C$23,Orçamentos!$G$5:$G$304,"Recusado")+COUNTIFS(Orçamentos!$I$5:$I$304,Config!$C$23,Orçamentos!$G$5:$G$304,"Sem retorno"))</f>
        <v/>
      </c>
      <c r="C50" s="26">
        <f>IF(Config!$C$23="","",SUMIFS(Orçamentos!$F$5:$F$304,Orçamentos!$I$5:$I$304,Config!$C$23,Orçamentos!$G$5:$G$304,"Recusado")+SUMIFS(Orçamentos!$F$5:$F$304,Orçamentos!$I$5:$I$304,Config!$C$23,Orçamentos!$G$5:$G$304,"Sem retorno"))</f>
        <v/>
      </c>
      <c r="D50" s="30">
        <f>IF(Config!$C$23="","",IFERROR(B50/($B$14+$B$15),0))</f>
        <v/>
      </c>
      <c r="F50" s="24">
        <f>IF(Config!$E$23="","",Config!$E$23)</f>
        <v/>
      </c>
      <c r="G50" s="25">
        <f>IF(Config!$E$23="","",COUNTIFS(Orçamentos!$C$5:$C$304,Config!$E$23))</f>
        <v/>
      </c>
      <c r="H50" s="25">
        <f>IF(Config!$E$23="","",COUNTIFS(Orçamentos!$C$5:$C$304,Config!$E$23,Orçamentos!$G$5:$G$304,"Aprovado"))</f>
        <v/>
      </c>
      <c r="I50" s="30">
        <f>IF(Config!$E$23="","",IFERROR(H50/(H50+COUNTIFS(Orçamentos!$C$5:$C$304,Config!$E$23,Orçamentos!$G$5:$G$304,"Recusado")+COUNTIFS(Orçamentos!$C$5:$C$304,Config!$E$23,Orçamentos!$G$5:$G$304,"Sem retorno")),0))</f>
        <v/>
      </c>
      <c r="J50" s="26">
        <f>IF(Config!$E$23="","",SUMIFS(Orçamentos!$F$5:$F$304,Orçamentos!$C$5:$C$304,Config!$E$23,Orçamentos!$G$5:$G$304,"Aprovado"))</f>
        <v/>
      </c>
    </row>
    <row r="51">
      <c r="A51" s="24">
        <f>IF(Config!$C$24="","",Config!$C$24)</f>
        <v/>
      </c>
      <c r="B51" s="25">
        <f>IF(Config!$C$24="","",COUNTIFS(Orçamentos!$I$5:$I$304,Config!$C$24,Orçamentos!$G$5:$G$304,"Recusado")+COUNTIFS(Orçamentos!$I$5:$I$304,Config!$C$24,Orçamentos!$G$5:$G$304,"Sem retorno"))</f>
        <v/>
      </c>
      <c r="C51" s="26">
        <f>IF(Config!$C$24="","",SUMIFS(Orçamentos!$F$5:$F$304,Orçamentos!$I$5:$I$304,Config!$C$24,Orçamentos!$G$5:$G$304,"Recusado")+SUMIFS(Orçamentos!$F$5:$F$304,Orçamentos!$I$5:$I$304,Config!$C$24,Orçamentos!$G$5:$G$304,"Sem retorno"))</f>
        <v/>
      </c>
      <c r="D51" s="30">
        <f>IF(Config!$C$24="","",IFERROR(B51/($B$14+$B$15),0))</f>
        <v/>
      </c>
      <c r="F51" s="24">
        <f>IF(Config!$E$24="","",Config!$E$24)</f>
        <v/>
      </c>
      <c r="G51" s="25">
        <f>IF(Config!$E$24="","",COUNTIFS(Orçamentos!$C$5:$C$304,Config!$E$24))</f>
        <v/>
      </c>
      <c r="H51" s="25">
        <f>IF(Config!$E$24="","",COUNTIFS(Orçamentos!$C$5:$C$304,Config!$E$24,Orçamentos!$G$5:$G$304,"Aprovado"))</f>
        <v/>
      </c>
      <c r="I51" s="30">
        <f>IF(Config!$E$24="","",IFERROR(H51/(H51+COUNTIFS(Orçamentos!$C$5:$C$304,Config!$E$24,Orçamentos!$G$5:$G$304,"Recusado")+COUNTIFS(Orçamentos!$C$5:$C$304,Config!$E$24,Orçamentos!$G$5:$G$304,"Sem retorno")),0))</f>
        <v/>
      </c>
      <c r="J51" s="26">
        <f>IF(Config!$E$24="","",SUMIFS(Orçamentos!$F$5:$F$304,Orçamentos!$C$5:$C$304,Config!$E$24,Orçamentos!$G$5:$G$304,"Aprovado"))</f>
        <v/>
      </c>
    </row>
    <row r="52">
      <c r="A52" s="24">
        <f>IF(Config!$C$25="","",Config!$C$25)</f>
        <v/>
      </c>
      <c r="B52" s="25">
        <f>IF(Config!$C$25="","",COUNTIFS(Orçamentos!$I$5:$I$304,Config!$C$25,Orçamentos!$G$5:$G$304,"Recusado")+COUNTIFS(Orçamentos!$I$5:$I$304,Config!$C$25,Orçamentos!$G$5:$G$304,"Sem retorno"))</f>
        <v/>
      </c>
      <c r="C52" s="26">
        <f>IF(Config!$C$25="","",SUMIFS(Orçamentos!$F$5:$F$304,Orçamentos!$I$5:$I$304,Config!$C$25,Orçamentos!$G$5:$G$304,"Recusado")+SUMIFS(Orçamentos!$F$5:$F$304,Orçamentos!$I$5:$I$304,Config!$C$25,Orçamentos!$G$5:$G$304,"Sem retorno"))</f>
        <v/>
      </c>
      <c r="D52" s="30">
        <f>IF(Config!$C$25="","",IFERROR(B52/($B$14+$B$15),0))</f>
        <v/>
      </c>
      <c r="F52" s="24">
        <f>IF(Config!$E$25="","",Config!$E$25)</f>
        <v/>
      </c>
      <c r="G52" s="25">
        <f>IF(Config!$E$25="","",COUNTIFS(Orçamentos!$C$5:$C$304,Config!$E$25))</f>
        <v/>
      </c>
      <c r="H52" s="25">
        <f>IF(Config!$E$25="","",COUNTIFS(Orçamentos!$C$5:$C$304,Config!$E$25,Orçamentos!$G$5:$G$304,"Aprovado"))</f>
        <v/>
      </c>
      <c r="I52" s="30">
        <f>IF(Config!$E$25="","",IFERROR(H52/(H52+COUNTIFS(Orçamentos!$C$5:$C$304,Config!$E$25,Orçamentos!$G$5:$G$304,"Recusado")+COUNTIFS(Orçamentos!$C$5:$C$304,Config!$E$25,Orçamentos!$G$5:$G$304,"Sem retorno")),0))</f>
        <v/>
      </c>
      <c r="J52" s="26">
        <f>IF(Config!$E$25="","",SUMIFS(Orçamentos!$F$5:$F$304,Orçamentos!$C$5:$C$304,Config!$E$25,Orçamentos!$G$5:$G$304,"Aprovado"))</f>
        <v/>
      </c>
    </row>
    <row r="53">
      <c r="A53" s="24">
        <f>IF(Config!$C$26="","",Config!$C$26)</f>
        <v/>
      </c>
      <c r="B53" s="25">
        <f>IF(Config!$C$26="","",COUNTIFS(Orçamentos!$I$5:$I$304,Config!$C$26,Orçamentos!$G$5:$G$304,"Recusado")+COUNTIFS(Orçamentos!$I$5:$I$304,Config!$C$26,Orçamentos!$G$5:$G$304,"Sem retorno"))</f>
        <v/>
      </c>
      <c r="C53" s="26">
        <f>IF(Config!$C$26="","",SUMIFS(Orçamentos!$F$5:$F$304,Orçamentos!$I$5:$I$304,Config!$C$26,Orçamentos!$G$5:$G$304,"Recusado")+SUMIFS(Orçamentos!$F$5:$F$304,Orçamentos!$I$5:$I$304,Config!$C$26,Orçamentos!$G$5:$G$304,"Sem retorno"))</f>
        <v/>
      </c>
      <c r="D53" s="30">
        <f>IF(Config!$C$26="","",IFERROR(B53/($B$14+$B$15),0))</f>
        <v/>
      </c>
      <c r="F53" s="24">
        <f>IF(Config!$E$26="","",Config!$E$26)</f>
        <v/>
      </c>
      <c r="G53" s="25">
        <f>IF(Config!$E$26="","",COUNTIFS(Orçamentos!$C$5:$C$304,Config!$E$26))</f>
        <v/>
      </c>
      <c r="H53" s="25">
        <f>IF(Config!$E$26="","",COUNTIFS(Orçamentos!$C$5:$C$304,Config!$E$26,Orçamentos!$G$5:$G$304,"Aprovado"))</f>
        <v/>
      </c>
      <c r="I53" s="30">
        <f>IF(Config!$E$26="","",IFERROR(H53/(H53+COUNTIFS(Orçamentos!$C$5:$C$304,Config!$E$26,Orçamentos!$G$5:$G$304,"Recusado")+COUNTIFS(Orçamentos!$C$5:$C$304,Config!$E$26,Orçamentos!$G$5:$G$304,"Sem retorno")),0))</f>
        <v/>
      </c>
      <c r="J53" s="26">
        <f>IF(Config!$E$26="","",SUMIFS(Orçamentos!$F$5:$F$304,Orçamentos!$C$5:$C$304,Config!$E$26,Orçamentos!$G$5:$G$304,"Aprovado"))</f>
        <v/>
      </c>
    </row>
    <row r="54">
      <c r="A54" s="24">
        <f>IF(Config!$C$27="","",Config!$C$27)</f>
        <v/>
      </c>
      <c r="B54" s="25">
        <f>IF(Config!$C$27="","",COUNTIFS(Orçamentos!$I$5:$I$304,Config!$C$27,Orçamentos!$G$5:$G$304,"Recusado")+COUNTIFS(Orçamentos!$I$5:$I$304,Config!$C$27,Orçamentos!$G$5:$G$304,"Sem retorno"))</f>
        <v/>
      </c>
      <c r="C54" s="26">
        <f>IF(Config!$C$27="","",SUMIFS(Orçamentos!$F$5:$F$304,Orçamentos!$I$5:$I$304,Config!$C$27,Orçamentos!$G$5:$G$304,"Recusado")+SUMIFS(Orçamentos!$F$5:$F$304,Orçamentos!$I$5:$I$304,Config!$C$27,Orçamentos!$G$5:$G$304,"Sem retorno"))</f>
        <v/>
      </c>
      <c r="D54" s="30">
        <f>IF(Config!$C$27="","",IFERROR(B54/($B$14+$B$15),0))</f>
        <v/>
      </c>
      <c r="F54" s="24">
        <f>IF(Config!$E$27="","",Config!$E$27)</f>
        <v/>
      </c>
      <c r="G54" s="25">
        <f>IF(Config!$E$27="","",COUNTIFS(Orçamentos!$C$5:$C$304,Config!$E$27))</f>
        <v/>
      </c>
      <c r="H54" s="25">
        <f>IF(Config!$E$27="","",COUNTIFS(Orçamentos!$C$5:$C$304,Config!$E$27,Orçamentos!$G$5:$G$304,"Aprovado"))</f>
        <v/>
      </c>
      <c r="I54" s="30">
        <f>IF(Config!$E$27="","",IFERROR(H54/(H54+COUNTIFS(Orçamentos!$C$5:$C$304,Config!$E$27,Orçamentos!$G$5:$G$304,"Recusado")+COUNTIFS(Orçamentos!$C$5:$C$304,Config!$E$27,Orçamentos!$G$5:$G$304,"Sem retorno")),0))</f>
        <v/>
      </c>
      <c r="J54" s="26">
        <f>IF(Config!$E$27="","",SUMIFS(Orçamentos!$F$5:$F$304,Orçamentos!$C$5:$C$304,Config!$E$27,Orçamentos!$G$5:$G$304,"Aprovado"))</f>
        <v/>
      </c>
    </row>
    <row r="55"/>
    <row r="56">
      <c r="A56" s="19" t="inlineStr">
        <is>
          <t>Fonte: aba Orçamentos. Um orçamento recusado com o motivo anotado vale mais que três sem: é o que mostra o que ajustar no preço, no prazo ou na forma de apresentar. Nunca prometa resultado ao paciente para fechar um orçamento.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7">
    <mergeCell ref="A7:L7"/>
    <mergeCell ref="C5:D5"/>
    <mergeCell ref="E5:F5"/>
    <mergeCell ref="K5:L5"/>
    <mergeCell ref="A43:J43"/>
    <mergeCell ref="A56:L56"/>
    <mergeCell ref="C4:D4"/>
    <mergeCell ref="A2:L2"/>
    <mergeCell ref="E4:F4"/>
    <mergeCell ref="A9:J9"/>
    <mergeCell ref="E12:H12"/>
    <mergeCell ref="A30:J30"/>
    <mergeCell ref="E14:H14"/>
    <mergeCell ref="A19:L19"/>
    <mergeCell ref="A5:B5"/>
    <mergeCell ref="G5:H5"/>
    <mergeCell ref="I5:J5"/>
    <mergeCell ref="E10:H10"/>
    <mergeCell ref="E13:H13"/>
    <mergeCell ref="A4:B4"/>
    <mergeCell ref="G4:H4"/>
    <mergeCell ref="I4:J4"/>
    <mergeCell ref="A18:J18"/>
    <mergeCell ref="A1:L1"/>
    <mergeCell ref="E15:H15"/>
    <mergeCell ref="K4:L4"/>
    <mergeCell ref="E11:H11"/>
  </mergeCells>
  <conditionalFormatting sqref="A21:H28">
    <cfRule type="expression" priority="1" dxfId="0">
      <formula>$G21="Parado"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3" customWidth="1" min="3" max="3"/>
    <col width="26" customWidth="1" min="4" max="4"/>
    <col width="3" customWidth="1" min="5" max="5"/>
    <col width="24" customWidth="1" min="6" max="6"/>
    <col width="3" customWidth="1" min="7" max="7"/>
    <col width="44" customWidth="1" min="8" max="8"/>
    <col width="3" customWidth="1" min="9" max="9"/>
    <col width="3" customWidth="1" min="10" max="1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As probabilidades por etapa alimentam a previsão ponderada.</t>
        </is>
      </c>
    </row>
    <row r="4">
      <c r="A4" s="31" t="inlineStr">
        <is>
          <t>Clínica</t>
        </is>
      </c>
      <c r="B4" s="32" t="inlineStr">
        <is>
          <t>Clínica Vida Plena (exemplo fictício)</t>
        </is>
      </c>
    </row>
    <row r="5">
      <c r="A5" s="31" t="inlineStr">
        <is>
          <t>Data de referência (hoje)</t>
        </is>
      </c>
      <c r="B5" s="33">
        <f>TODAY()</f>
        <v>46279.0</v>
      </c>
    </row>
    <row r="6">
      <c r="A6" s="31" t="inlineStr">
        <is>
          <t>Meta de orçamentos aprovados no trimestre (R$)</t>
        </is>
      </c>
      <c r="B6" s="34" t="n">
        <v>18000</v>
      </c>
    </row>
    <row r="7">
      <c r="A7" s="31" t="inlineStr">
        <is>
          <t>Orçamento parado há mais de (dias)</t>
        </is>
      </c>
      <c r="B7" s="35" t="n">
        <v>7</v>
      </c>
    </row>
    <row r="9" ht="26" customHeight="1">
      <c r="A9" s="21" t="inlineStr">
        <is>
          <t>Etapa</t>
        </is>
      </c>
      <c r="B9" s="21" t="inlineStr">
        <is>
          <t>Probabilidade de aprovar</t>
        </is>
      </c>
    </row>
    <row r="10">
      <c r="A10" s="24" t="inlineStr">
        <is>
          <t>Apresentado</t>
        </is>
      </c>
      <c r="B10" s="36" t="n">
        <v>0.3</v>
      </c>
    </row>
    <row r="11">
      <c r="A11" s="24" t="inlineStr">
        <is>
          <t>Em análise</t>
        </is>
      </c>
      <c r="B11" s="36" t="n">
        <v>0.5</v>
      </c>
    </row>
    <row r="12">
      <c r="A12" s="24" t="inlineStr">
        <is>
          <t>Aprovado</t>
        </is>
      </c>
      <c r="B12" s="36" t="n">
        <v>1</v>
      </c>
    </row>
    <row r="13">
      <c r="A13" s="24" t="inlineStr">
        <is>
          <t>Recusado</t>
        </is>
      </c>
      <c r="B13" s="36" t="n">
        <v>0</v>
      </c>
    </row>
    <row r="14">
      <c r="A14" s="24" t="inlineStr">
        <is>
          <t>Sem retorno</t>
        </is>
      </c>
      <c r="B14" s="36" t="n">
        <v>0</v>
      </c>
    </row>
    <row r="15">
      <c r="A15" s="19" t="inlineStr">
        <is>
          <t>Etapas fixas: apresentado → em análise → aprovado, recusado ou sem retorno. Ajuste só as probabilidades, pela sua experiência.</t>
        </is>
      </c>
    </row>
    <row r="17" ht="26" customHeight="1">
      <c r="A17" s="21" t="inlineStr">
        <is>
          <t>Tipos de orçamento</t>
        </is>
      </c>
      <c r="C17" s="21" t="inlineStr">
        <is>
          <t>Motivos de recusa</t>
        </is>
      </c>
      <c r="E17" s="21" t="inlineStr">
        <is>
          <t>Profissionais</t>
        </is>
      </c>
      <c r="G17" s="21" t="inlineStr">
        <is>
          <t>Itens mais comuns</t>
        </is>
      </c>
    </row>
    <row r="18">
      <c r="A18" s="32" t="inlineStr">
        <is>
          <t>Check-up cardiológico</t>
        </is>
      </c>
      <c r="C18" s="32" t="inlineStr">
        <is>
          <t>Preço</t>
        </is>
      </c>
      <c r="E18" s="32" t="inlineStr">
        <is>
          <t>Dra. Carolina Mendes</t>
        </is>
      </c>
      <c r="G18" s="32" t="inlineStr">
        <is>
          <t>Consulta + ECG + teste ergométrico</t>
        </is>
      </c>
    </row>
    <row r="19">
      <c r="A19" s="32" t="inlineStr">
        <is>
          <t>Exame cardiológico</t>
        </is>
      </c>
      <c r="C19" s="32" t="inlineStr">
        <is>
          <t>Vai fazer pelo convênio</t>
        </is>
      </c>
      <c r="E19" s="32" t="inlineStr">
        <is>
          <t>Dr. Paulo Andrade</t>
        </is>
      </c>
      <c r="G19" s="32" t="inlineStr">
        <is>
          <t>MAPA</t>
        </is>
      </c>
    </row>
    <row r="20">
      <c r="A20" s="32" t="inlineStr">
        <is>
          <t>Avaliação endócrina</t>
        </is>
      </c>
      <c r="C20" s="32" t="inlineStr">
        <is>
          <t>Vai pensar / sem retorno</t>
        </is>
      </c>
      <c r="E20" s="32" t="inlineStr">
        <is>
          <t>Dra. Renata Sousa</t>
        </is>
      </c>
      <c r="G20" s="32" t="inlineStr">
        <is>
          <t>Holter</t>
        </is>
      </c>
    </row>
    <row r="21">
      <c r="A21" s="32" t="inlineStr">
        <is>
          <t>Pacote de consultas</t>
        </is>
      </c>
      <c r="C21" s="32" t="inlineStr">
        <is>
          <t>Fez em outro lugar</t>
        </is>
      </c>
      <c r="E21" s="32" t="n"/>
      <c r="G21" s="32" t="inlineStr">
        <is>
          <t>MAPA + Holter</t>
        </is>
      </c>
    </row>
    <row r="22">
      <c r="A22" s="32" t="n"/>
      <c r="C22" s="32" t="inlineStr">
        <is>
          <t>Sem indicação no momento</t>
        </is>
      </c>
      <c r="E22" s="32" t="n"/>
      <c r="G22" s="32" t="inlineStr">
        <is>
          <t>Teste ergométrico</t>
        </is>
      </c>
    </row>
    <row r="23">
      <c r="A23" s="32" t="n"/>
      <c r="C23" s="32" t="n"/>
      <c r="E23" s="32" t="n"/>
      <c r="G23" s="32" t="inlineStr">
        <is>
          <t>Avaliação endócrina + retorno</t>
        </is>
      </c>
    </row>
    <row r="24">
      <c r="A24" s="32" t="n"/>
      <c r="C24" s="32" t="n"/>
      <c r="E24" s="32" t="n"/>
      <c r="G24" s="32" t="inlineStr">
        <is>
          <t>Consulta + 2 retornos (acompanhamento)</t>
        </is>
      </c>
    </row>
    <row r="25">
      <c r="A25" s="32" t="n"/>
      <c r="C25" s="32" t="n"/>
      <c r="E25" s="32" t="n"/>
      <c r="G25" s="32" t="n"/>
    </row>
    <row r="26">
      <c r="A26" s="32" t="n"/>
      <c r="C26" s="32" t="n"/>
      <c r="E26" s="32" t="n"/>
      <c r="G26" s="32" t="n"/>
    </row>
    <row r="27">
      <c r="A27" s="32" t="n"/>
      <c r="C27" s="32" t="n"/>
      <c r="E27" s="32" t="n"/>
      <c r="G27" s="32" t="n"/>
    </row>
    <row r="29">
      <c r="A29" s="19" t="inlineStr">
        <is>
          <t>Preencha cada lista de cima para baixo, sem pular linha: as listas suspensas de Orçamentos param na primeira célula vazia. Até 10 itens por lista. Itens é texto livre; a lista só sugere.</t>
        </is>
      </c>
    </row>
    <row r="30">
      <c r="A30" s="19" t="inlineStr">
        <is>
          <t>Orçamento aqui é o valor apresentado ao paciente para exames e pacotes particulares (nome administrativo; sem indicação clínica). Aprovado vira horário na agenda (01).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0" customWidth="1" min="4" max="4"/>
    <col width="36" customWidth="1" min="5" max="5"/>
    <col width="12" customWidth="1" min="6" max="6"/>
    <col width="13" customWidth="1" min="7" max="7"/>
    <col width="12" customWidth="1" min="8" max="8"/>
    <col width="24" customWidth="1" min="9" max="9"/>
    <col width="30" customWidth="1" min="10" max="10"/>
    <col width="11" customWidth="1" min="11" max="11"/>
    <col width="13" customWidth="1" min="12" max="12"/>
    <col width="9" customWidth="1" min="13" max="13"/>
    <col width="9" customWidth="1" min="14" max="14"/>
    <col width="12" customWidth="1" min="15" max="15"/>
    <col width="9" customWidth="1" min="16" max="16"/>
    <col hidden="1" width="13" customWidth="1" min="17" max="17"/>
  </cols>
  <sheetData>
    <row r="1" ht="28" customHeight="1">
      <c r="A1" s="5" t="inlineStr">
        <is>
          <t>Orçamentos</t>
        </is>
      </c>
    </row>
    <row r="2">
      <c r="A2" s="6" t="inlineStr">
        <is>
          <t>Uma linha por orçamento apresentado. Atualize a etapa conforme a resposta; ao decidir, marque Aprovado, Recusado ou Sem retorno, a data e, se recusado, o motivo.</t>
        </is>
      </c>
    </row>
    <row r="4" ht="32" customHeight="1">
      <c r="A4" s="21" t="inlineStr">
        <is>
          <t>Data</t>
        </is>
      </c>
      <c r="B4" s="21" t="inlineStr">
        <is>
          <t>Paciente</t>
        </is>
      </c>
      <c r="C4" s="21" t="inlineStr">
        <is>
          <t>Profissional</t>
        </is>
      </c>
      <c r="D4" s="21" t="inlineStr">
        <is>
          <t>Tipo</t>
        </is>
      </c>
      <c r="E4" s="21" t="inlineStr">
        <is>
          <t>Itens</t>
        </is>
      </c>
      <c r="F4" s="21" t="inlineStr">
        <is>
          <t>Valor (R$)</t>
        </is>
      </c>
      <c r="G4" s="21" t="inlineStr">
        <is>
          <t>Etapa</t>
        </is>
      </c>
      <c r="H4" s="21" t="inlineStr">
        <is>
          <t>Data da decisão</t>
        </is>
      </c>
      <c r="I4" s="21" t="inlineStr">
        <is>
          <t>Motivo (se recusado)</t>
        </is>
      </c>
      <c r="J4" s="21" t="inlineStr">
        <is>
          <t>Observação</t>
        </is>
      </c>
      <c r="K4" s="21" t="inlineStr">
        <is>
          <t>Probabilidade</t>
        </is>
      </c>
      <c r="L4" s="21" t="inlineStr">
        <is>
          <t>Valor ponderado</t>
        </is>
      </c>
      <c r="M4" s="21" t="inlineStr">
        <is>
          <t>Dias em aberto</t>
        </is>
      </c>
      <c r="N4" s="21" t="inlineStr">
        <is>
          <t>Dias até decidir</t>
        </is>
      </c>
      <c r="O4" s="21" t="inlineStr">
        <is>
          <t>Situação</t>
        </is>
      </c>
      <c r="P4" s="21" t="inlineStr">
        <is>
          <t>Mês</t>
        </is>
      </c>
    </row>
    <row r="5">
      <c r="A5" s="37" t="n">
        <v>46206</v>
      </c>
      <c r="B5" s="32" t="inlineStr">
        <is>
          <t>Gustavo Ferreira</t>
        </is>
      </c>
      <c r="C5" s="35" t="inlineStr">
        <is>
          <t>Dr. Paulo Andrade</t>
        </is>
      </c>
      <c r="D5" s="35" t="inlineStr">
        <is>
          <t>Exame cardiológico</t>
        </is>
      </c>
      <c r="E5" s="32" t="inlineStr">
        <is>
          <t>Holter</t>
        </is>
      </c>
      <c r="F5" s="38" t="n">
        <v>350</v>
      </c>
      <c r="G5" s="35" t="inlineStr">
        <is>
          <t>Aprovado</t>
        </is>
      </c>
      <c r="H5" s="37" t="n">
        <v>46212</v>
      </c>
      <c r="I5" s="35" t="n"/>
      <c r="J5" s="32" t="inlineStr">
        <is>
          <t>Agendado para 09/07</t>
        </is>
      </c>
      <c r="K5" s="30">
        <f>IF(G5="","",IFERROR(INDEX(Config!$B$10:$B$14,MATCH(G5,Config!$A$10:$A$14,0)),0))</f>
        <v>1</v>
      </c>
      <c r="L5" s="26">
        <f>IF(OR(G5="",F5=""),"",F5*K5)</f>
        <v>350</v>
      </c>
      <c r="M5" s="29">
        <f>IF(OR(G5="",G5="Aprovado",G5="Recusado",G5="Sem retorno",A5=""),"",Config!$B$5-A5)</f>
        <v/>
      </c>
      <c r="N5" s="29">
        <f>IF(AND(OR(G5="Aprovado",G5="Recusado"),H5&lt;&gt;"",A5&lt;&gt;""),H5-A5,"")</f>
        <v>6</v>
      </c>
      <c r="O5" s="25" t="str">
        <f>IF(G5="","",IF(OR(G5="Aprovado",G5="Recusado",G5="Sem retorno"),G5,IF(AND(M5&lt;&gt;"",M5&gt;Config!$B$7),"Parado","Ativo")))</f>
        <v>Aprovado</v>
      </c>
      <c r="P5" s="39">
        <f>IF(A5="","",DATE(YEAR(A5),MONTH(A5),1))</f>
        <v>46204.0</v>
      </c>
      <c r="Q5" s="40">
        <f>IF(OR(G5="",O5="Aprovado",O5="Recusado",O5="Sem retorno"),0,IF(O5="Parado",2000,1000)+MIN(N(M5),500)+N(F5)/1000000-ROW()/100000)</f>
        <v>0</v>
      </c>
    </row>
    <row r="6">
      <c r="A6" s="37">
        <f>TODAY()-70</f>
        <v>46209.0</v>
      </c>
      <c r="B6" s="32" t="inlineStr">
        <is>
          <t>Ana Costa</t>
        </is>
      </c>
      <c r="C6" s="35" t="inlineStr">
        <is>
          <t>Dr. Paulo Andrade</t>
        </is>
      </c>
      <c r="D6" s="35" t="inlineStr">
        <is>
          <t>Exame cardiológico</t>
        </is>
      </c>
      <c r="E6" s="32" t="inlineStr">
        <is>
          <t>MAPA</t>
        </is>
      </c>
      <c r="F6" s="38" t="n">
        <v>300</v>
      </c>
      <c r="G6" s="35" t="inlineStr">
        <is>
          <t>Recusado</t>
        </is>
      </c>
      <c r="H6" s="37">
        <f>TODAY()-61</f>
        <v>46218.0</v>
      </c>
      <c r="I6" s="35" t="inlineStr">
        <is>
          <t>Preço</t>
        </is>
      </c>
      <c r="J6" s="32" t="n"/>
      <c r="K6" s="30">
        <f>IF(G6="","",IFERROR(INDEX(Config!$B$10:$B$14,MATCH(G6,Config!$A$10:$A$14,0)),0))</f>
        <v>0</v>
      </c>
      <c r="L6" s="26">
        <f>IF(OR(G6="",F6=""),"",F6*K6)</f>
        <v>0</v>
      </c>
      <c r="M6" s="29">
        <f>IF(OR(G6="",G6="Aprovado",G6="Recusado",G6="Sem retorno",A6=""),"",Config!$B$5-A6)</f>
        <v/>
      </c>
      <c r="N6" s="29">
        <f>IF(AND(OR(G6="Aprovado",G6="Recusado"),H6&lt;&gt;"",A6&lt;&gt;""),H6-A6,"")</f>
        <v>9</v>
      </c>
      <c r="O6" s="25" t="str">
        <f>IF(G6="","",IF(OR(G6="Aprovado",G6="Recusado",G6="Sem retorno"),G6,IF(AND(M6&lt;&gt;"",M6&gt;Config!$B$7),"Parado","Ativo")))</f>
        <v>Recusado</v>
      </c>
      <c r="P6" s="39">
        <f>IF(A6="","",DATE(YEAR(A6),MONTH(A6),1))</f>
        <v>46204.0</v>
      </c>
      <c r="Q6" s="40">
        <f>IF(OR(G6="",O6="Aprovado",O6="Recusado",O6="Sem retorno"),0,IF(O6="Parado",2000,1000)+MIN(N(M6),500)+N(F6)/1000000-ROW()/100000)</f>
        <v>0</v>
      </c>
    </row>
    <row r="7">
      <c r="A7" s="37" t="n">
        <v>46213</v>
      </c>
      <c r="B7" s="32" t="inlineStr">
        <is>
          <t>Lucas Lopes</t>
        </is>
      </c>
      <c r="C7" s="35" t="inlineStr">
        <is>
          <t>Dr. Paulo Andrade</t>
        </is>
      </c>
      <c r="D7" s="35" t="inlineStr">
        <is>
          <t>Exame cardiológico</t>
        </is>
      </c>
      <c r="E7" s="32" t="inlineStr">
        <is>
          <t>Teste ergométrico</t>
        </is>
      </c>
      <c r="F7" s="38" t="n">
        <v>450</v>
      </c>
      <c r="G7" s="35" t="inlineStr">
        <is>
          <t>Aprovado</t>
        </is>
      </c>
      <c r="H7" s="37" t="n">
        <v>46226</v>
      </c>
      <c r="I7" s="35" t="n"/>
      <c r="J7" s="32" t="inlineStr">
        <is>
          <t>Agendado para 24/07</t>
        </is>
      </c>
      <c r="K7" s="30">
        <f>IF(G7="","",IFERROR(INDEX(Config!$B$10:$B$14,MATCH(G7,Config!$A$10:$A$14,0)),0))</f>
        <v>1</v>
      </c>
      <c r="L7" s="26">
        <f>IF(OR(G7="",F7=""),"",F7*K7)</f>
        <v>450</v>
      </c>
      <c r="M7" s="29">
        <f>IF(OR(G7="",G7="Aprovado",G7="Recusado",G7="Sem retorno",A7=""),"",Config!$B$5-A7)</f>
        <v/>
      </c>
      <c r="N7" s="29">
        <f>IF(AND(OR(G7="Aprovado",G7="Recusado"),H7&lt;&gt;"",A7&lt;&gt;""),H7-A7,"")</f>
        <v>13</v>
      </c>
      <c r="O7" s="25" t="str">
        <f>IF(G7="","",IF(OR(G7="Aprovado",G7="Recusado",G7="Sem retorno"),G7,IF(AND(M7&lt;&gt;"",M7&gt;Config!$B$7),"Parado","Ativo")))</f>
        <v>Aprovado</v>
      </c>
      <c r="P7" s="39">
        <f>IF(A7="","",DATE(YEAR(A7),MONTH(A7),1))</f>
        <v>46204.0</v>
      </c>
      <c r="Q7" s="40">
        <f>IF(OR(G7="",O7="Aprovado",O7="Recusado",O7="Sem retorno"),0,IF(O7="Parado",2000,1000)+MIN(N(M7),500)+N(F7)/1000000-ROW()/100000)</f>
        <v>0</v>
      </c>
    </row>
    <row r="8">
      <c r="A8" s="37" t="n">
        <v>46218</v>
      </c>
      <c r="B8" s="32" t="inlineStr">
        <is>
          <t>Eduardo Lima</t>
        </is>
      </c>
      <c r="C8" s="35" t="inlineStr">
        <is>
          <t>Dr. Paulo Andrade</t>
        </is>
      </c>
      <c r="D8" s="35" t="inlineStr">
        <is>
          <t>Exame cardiológico</t>
        </is>
      </c>
      <c r="E8" s="32" t="inlineStr">
        <is>
          <t>Teste ergométrico</t>
        </is>
      </c>
      <c r="F8" s="38" t="n">
        <v>450</v>
      </c>
      <c r="G8" s="35" t="inlineStr">
        <is>
          <t>Aprovado</t>
        </is>
      </c>
      <c r="H8" s="37" t="n">
        <v>46226</v>
      </c>
      <c r="I8" s="35" t="n"/>
      <c r="J8" s="32" t="inlineStr">
        <is>
          <t>Agendado para 24/07</t>
        </is>
      </c>
      <c r="K8" s="30">
        <f>IF(G8="","",IFERROR(INDEX(Config!$B$10:$B$14,MATCH(G8,Config!$A$10:$A$14,0)),0))</f>
        <v>1</v>
      </c>
      <c r="L8" s="26">
        <f>IF(OR(G8="",F8=""),"",F8*K8)</f>
        <v>450</v>
      </c>
      <c r="M8" s="29">
        <f>IF(OR(G8="",G8="Aprovado",G8="Recusado",G8="Sem retorno",A8=""),"",Config!$B$5-A8)</f>
        <v/>
      </c>
      <c r="N8" s="29">
        <f>IF(AND(OR(G8="Aprovado",G8="Recusado"),H8&lt;&gt;"",A8&lt;&gt;""),H8-A8,"")</f>
        <v>8</v>
      </c>
      <c r="O8" s="25" t="str">
        <f>IF(G8="","",IF(OR(G8="Aprovado",G8="Recusado",G8="Sem retorno"),G8,IF(AND(M8&lt;&gt;"",M8&gt;Config!$B$7),"Parado","Ativo")))</f>
        <v>Aprovado</v>
      </c>
      <c r="P8" s="39">
        <f>IF(A8="","",DATE(YEAR(A8),MONTH(A8),1))</f>
        <v>46204.0</v>
      </c>
      <c r="Q8" s="40">
        <f>IF(OR(G8="",O8="Aprovado",O8="Recusado",O8="Sem retorno"),0,IF(O8="Parado",2000,1000)+MIN(N(M8),500)+N(F8)/1000000-ROW()/100000)</f>
        <v>0</v>
      </c>
    </row>
    <row r="9">
      <c r="A9" s="37" t="n">
        <v>46219</v>
      </c>
      <c r="B9" s="32" t="inlineStr">
        <is>
          <t>Débora Ramos</t>
        </is>
      </c>
      <c r="C9" s="35" t="inlineStr">
        <is>
          <t>Dr. Paulo Andrade</t>
        </is>
      </c>
      <c r="D9" s="35" t="inlineStr">
        <is>
          <t>Exame cardiológico</t>
        </is>
      </c>
      <c r="E9" s="32" t="inlineStr">
        <is>
          <t>Teste ergométrico</t>
        </is>
      </c>
      <c r="F9" s="38" t="n">
        <v>450</v>
      </c>
      <c r="G9" s="35" t="inlineStr">
        <is>
          <t>Aprovado</t>
        </is>
      </c>
      <c r="H9" s="37" t="n">
        <v>46223</v>
      </c>
      <c r="I9" s="35" t="n"/>
      <c r="J9" s="32" t="inlineStr">
        <is>
          <t>Agendado para 20/07</t>
        </is>
      </c>
      <c r="K9" s="30">
        <f>IF(G9="","",IFERROR(INDEX(Config!$B$10:$B$14,MATCH(G9,Config!$A$10:$A$14,0)),0))</f>
        <v>1</v>
      </c>
      <c r="L9" s="26">
        <f>IF(OR(G9="",F9=""),"",F9*K9)</f>
        <v>450</v>
      </c>
      <c r="M9" s="29">
        <f>IF(OR(G9="",G9="Aprovado",G9="Recusado",G9="Sem retorno",A9=""),"",Config!$B$5-A9)</f>
        <v/>
      </c>
      <c r="N9" s="29">
        <f>IF(AND(OR(G9="Aprovado",G9="Recusado"),H9&lt;&gt;"",A9&lt;&gt;""),H9-A9,"")</f>
        <v>4</v>
      </c>
      <c r="O9" s="25" t="str">
        <f>IF(G9="","",IF(OR(G9="Aprovado",G9="Recusado",G9="Sem retorno"),G9,IF(AND(M9&lt;&gt;"",M9&gt;Config!$B$7),"Parado","Ativo")))</f>
        <v>Aprovado</v>
      </c>
      <c r="P9" s="39">
        <f>IF(A9="","",DATE(YEAR(A9),MONTH(A9),1))</f>
        <v>46204.0</v>
      </c>
      <c r="Q9" s="40">
        <f>IF(OR(G9="",O9="Aprovado",O9="Recusado",O9="Sem retorno"),0,IF(O9="Parado",2000,1000)+MIN(N(M9),500)+N(F9)/1000000-ROW()/100000)</f>
        <v>0</v>
      </c>
    </row>
    <row r="10">
      <c r="A10" s="37" t="n">
        <v>46220</v>
      </c>
      <c r="B10" s="32" t="inlineStr">
        <is>
          <t>Otávio Nascimento</t>
        </is>
      </c>
      <c r="C10" s="35" t="inlineStr">
        <is>
          <t>Dr. Paulo Andrade</t>
        </is>
      </c>
      <c r="D10" s="35" t="inlineStr">
        <is>
          <t>Exame cardiológico</t>
        </is>
      </c>
      <c r="E10" s="32" t="inlineStr">
        <is>
          <t>Holter</t>
        </is>
      </c>
      <c r="F10" s="38" t="n">
        <v>350</v>
      </c>
      <c r="G10" s="35" t="inlineStr">
        <is>
          <t>Aprovado</t>
        </is>
      </c>
      <c r="H10" s="37" t="n">
        <v>46227</v>
      </c>
      <c r="I10" s="35" t="n"/>
      <c r="J10" s="32" t="inlineStr">
        <is>
          <t>Agendado para 28/07</t>
        </is>
      </c>
      <c r="K10" s="30">
        <f>IF(G10="","",IFERROR(INDEX(Config!$B$10:$B$14,MATCH(G10,Config!$A$10:$A$14,0)),0))</f>
        <v>1</v>
      </c>
      <c r="L10" s="26">
        <f>IF(OR(G10="",F10=""),"",F10*K10)</f>
        <v>350</v>
      </c>
      <c r="M10" s="29">
        <f>IF(OR(G10="",G10="Aprovado",G10="Recusado",G10="Sem retorno",A10=""),"",Config!$B$5-A10)</f>
        <v/>
      </c>
      <c r="N10" s="29">
        <f>IF(AND(OR(G10="Aprovado",G10="Recusado"),H10&lt;&gt;"",A10&lt;&gt;""),H10-A10,"")</f>
        <v>7</v>
      </c>
      <c r="O10" s="25" t="str">
        <f>IF(G10="","",IF(OR(G10="Aprovado",G10="Recusado",G10="Sem retorno"),G10,IF(AND(M10&lt;&gt;"",M10&gt;Config!$B$7),"Parado","Ativo")))</f>
        <v>Aprovado</v>
      </c>
      <c r="P10" s="39">
        <f>IF(A10="","",DATE(YEAR(A10),MONTH(A10),1))</f>
        <v>46204.0</v>
      </c>
      <c r="Q10" s="40">
        <f>IF(OR(G10="",O10="Aprovado",O10="Recusado",O10="Sem retorno"),0,IF(O10="Parado",2000,1000)+MIN(N(M10),500)+N(F10)/1000000-ROW()/100000)</f>
        <v>0</v>
      </c>
    </row>
    <row r="11">
      <c r="A11" s="37">
        <f>TODAY()-55</f>
        <v>46224.0</v>
      </c>
      <c r="B11" s="32" t="inlineStr">
        <is>
          <t>Carlos Freitas</t>
        </is>
      </c>
      <c r="C11" s="35" t="inlineStr">
        <is>
          <t>Dr. Paulo Andrade</t>
        </is>
      </c>
      <c r="D11" s="35" t="inlineStr">
        <is>
          <t>Exame cardiológico</t>
        </is>
      </c>
      <c r="E11" s="32" t="inlineStr">
        <is>
          <t>Holter</t>
        </is>
      </c>
      <c r="F11" s="38" t="n">
        <v>350</v>
      </c>
      <c r="G11" s="35" t="inlineStr">
        <is>
          <t>Recusado</t>
        </is>
      </c>
      <c r="H11" s="37">
        <f>TODAY()-46</f>
        <v>46233.0</v>
      </c>
      <c r="I11" s="35" t="inlineStr">
        <is>
          <t>Vai fazer pelo convênio</t>
        </is>
      </c>
      <c r="J11" s="32" t="n"/>
      <c r="K11" s="30">
        <f>IF(G11="","",IFERROR(INDEX(Config!$B$10:$B$14,MATCH(G11,Config!$A$10:$A$14,0)),0))</f>
        <v>0</v>
      </c>
      <c r="L11" s="26">
        <f>IF(OR(G11="",F11=""),"",F11*K11)</f>
        <v>0</v>
      </c>
      <c r="M11" s="29">
        <f>IF(OR(G11="",G11="Aprovado",G11="Recusado",G11="Sem retorno",A11=""),"",Config!$B$5-A11)</f>
        <v/>
      </c>
      <c r="N11" s="29">
        <f>IF(AND(OR(G11="Aprovado",G11="Recusado"),H11&lt;&gt;"",A11&lt;&gt;""),H11-A11,"")</f>
        <v>9</v>
      </c>
      <c r="O11" s="25" t="str">
        <f>IF(G11="","",IF(OR(G11="Aprovado",G11="Recusado",G11="Sem retorno"),G11,IF(AND(M11&lt;&gt;"",M11&gt;Config!$B$7),"Parado","Ativo")))</f>
        <v>Recusado</v>
      </c>
      <c r="P11" s="39">
        <f>IF(A11="","",DATE(YEAR(A11),MONTH(A11),1))</f>
        <v>46204.0</v>
      </c>
      <c r="Q11" s="40">
        <f>IF(OR(G11="",O11="Aprovado",O11="Recusado",O11="Sem retorno"),0,IF(O11="Parado",2000,1000)+MIN(N(M11),500)+N(F11)/1000000-ROW()/100000)</f>
        <v>0</v>
      </c>
    </row>
    <row r="12">
      <c r="A12" s="37" t="n">
        <v>46230</v>
      </c>
      <c r="B12" s="32" t="inlineStr">
        <is>
          <t>Wagner Santos</t>
        </is>
      </c>
      <c r="C12" s="35" t="inlineStr">
        <is>
          <t>Dr. Paulo Andrade</t>
        </is>
      </c>
      <c r="D12" s="35" t="inlineStr">
        <is>
          <t>Exame cardiológico</t>
        </is>
      </c>
      <c r="E12" s="32" t="inlineStr">
        <is>
          <t>MAPA</t>
        </is>
      </c>
      <c r="F12" s="38" t="n">
        <v>300</v>
      </c>
      <c r="G12" s="35" t="inlineStr">
        <is>
          <t>Aprovado</t>
        </is>
      </c>
      <c r="H12" s="37" t="n">
        <v>46234</v>
      </c>
      <c r="I12" s="35" t="n"/>
      <c r="J12" s="32" t="inlineStr">
        <is>
          <t>Agendado para 03/08</t>
        </is>
      </c>
      <c r="K12" s="30">
        <f>IF(G12="","",IFERROR(INDEX(Config!$B$10:$B$14,MATCH(G12,Config!$A$10:$A$14,0)),0))</f>
        <v>1</v>
      </c>
      <c r="L12" s="26">
        <f>IF(OR(G12="",F12=""),"",F12*K12)</f>
        <v>300</v>
      </c>
      <c r="M12" s="29">
        <f>IF(OR(G12="",G12="Aprovado",G12="Recusado",G12="Sem retorno",A12=""),"",Config!$B$5-A12)</f>
        <v/>
      </c>
      <c r="N12" s="29">
        <f>IF(AND(OR(G12="Aprovado",G12="Recusado"),H12&lt;&gt;"",A12&lt;&gt;""),H12-A12,"")</f>
        <v>4</v>
      </c>
      <c r="O12" s="25" t="str">
        <f>IF(G12="","",IF(OR(G12="Aprovado",G12="Recusado",G12="Sem retorno"),G12,IF(AND(M12&lt;&gt;"",M12&gt;Config!$B$7),"Parado","Ativo")))</f>
        <v>Aprovado</v>
      </c>
      <c r="P12" s="39">
        <f>IF(A12="","",DATE(YEAR(A12),MONTH(A12),1))</f>
        <v>46204.0</v>
      </c>
      <c r="Q12" s="40">
        <f>IF(OR(G12="",O12="Aprovado",O12="Recusado",O12="Sem retorno"),0,IF(O12="Parado",2000,1000)+MIN(N(M12),500)+N(F12)/1000000-ROW()/100000)</f>
        <v>0</v>
      </c>
    </row>
    <row r="13">
      <c r="A13" s="37" t="n">
        <v>46232</v>
      </c>
      <c r="B13" s="32" t="inlineStr">
        <is>
          <t>Marcelo Moreira</t>
        </is>
      </c>
      <c r="C13" s="35" t="inlineStr">
        <is>
          <t>Dr. Paulo Andrade</t>
        </is>
      </c>
      <c r="D13" s="35" t="inlineStr">
        <is>
          <t>Exame cardiológico</t>
        </is>
      </c>
      <c r="E13" s="32" t="inlineStr">
        <is>
          <t>Holter</t>
        </is>
      </c>
      <c r="F13" s="38" t="n">
        <v>350</v>
      </c>
      <c r="G13" s="35" t="inlineStr">
        <is>
          <t>Aprovado</t>
        </is>
      </c>
      <c r="H13" s="37" t="n">
        <v>46241</v>
      </c>
      <c r="I13" s="35" t="n"/>
      <c r="J13" s="32" t="inlineStr">
        <is>
          <t>Agendado para 10/08</t>
        </is>
      </c>
      <c r="K13" s="30">
        <f>IF(G13="","",IFERROR(INDEX(Config!$B$10:$B$14,MATCH(G13,Config!$A$10:$A$14,0)),0))</f>
        <v>1</v>
      </c>
      <c r="L13" s="26">
        <f>IF(OR(G13="",F13=""),"",F13*K13)</f>
        <v>350</v>
      </c>
      <c r="M13" s="29">
        <f>IF(OR(G13="",G13="Aprovado",G13="Recusado",G13="Sem retorno",A13=""),"",Config!$B$5-A13)</f>
        <v/>
      </c>
      <c r="N13" s="29">
        <f>IF(AND(OR(G13="Aprovado",G13="Recusado"),H13&lt;&gt;"",A13&lt;&gt;""),H13-A13,"")</f>
        <v>9</v>
      </c>
      <c r="O13" s="25" t="str">
        <f>IF(G13="","",IF(OR(G13="Aprovado",G13="Recusado",G13="Sem retorno"),G13,IF(AND(M13&lt;&gt;"",M13&gt;Config!$B$7),"Parado","Ativo")))</f>
        <v>Aprovado</v>
      </c>
      <c r="P13" s="39">
        <f>IF(A13="","",DATE(YEAR(A13),MONTH(A13),1))</f>
        <v>46204.0</v>
      </c>
      <c r="Q13" s="40">
        <f>IF(OR(G13="",O13="Aprovado",O13="Recusado",O13="Sem retorno"),0,IF(O13="Parado",2000,1000)+MIN(N(M13),500)+N(F13)/1000000-ROW()/100000)</f>
        <v>0</v>
      </c>
    </row>
    <row r="14">
      <c r="A14" s="37" t="n">
        <v>46233</v>
      </c>
      <c r="B14" s="32" t="inlineStr">
        <is>
          <t>Otávio Cardoso</t>
        </is>
      </c>
      <c r="C14" s="35" t="inlineStr">
        <is>
          <t>Dr. Paulo Andrade</t>
        </is>
      </c>
      <c r="D14" s="35" t="inlineStr">
        <is>
          <t>Exame cardiológico</t>
        </is>
      </c>
      <c r="E14" s="32" t="inlineStr">
        <is>
          <t>Teste ergométrico</t>
        </is>
      </c>
      <c r="F14" s="38" t="n">
        <v>450</v>
      </c>
      <c r="G14" s="35" t="inlineStr">
        <is>
          <t>Aprovado</t>
        </is>
      </c>
      <c r="H14" s="37" t="n">
        <v>46238</v>
      </c>
      <c r="I14" s="35" t="n"/>
      <c r="J14" s="32" t="inlineStr">
        <is>
          <t>Agendado para 06/08</t>
        </is>
      </c>
      <c r="K14" s="30">
        <f>IF(G14="","",IFERROR(INDEX(Config!$B$10:$B$14,MATCH(G14,Config!$A$10:$A$14,0)),0))</f>
        <v>1</v>
      </c>
      <c r="L14" s="26">
        <f>IF(OR(G14="",F14=""),"",F14*K14)</f>
        <v>450</v>
      </c>
      <c r="M14" s="29">
        <f>IF(OR(G14="",G14="Aprovado",G14="Recusado",G14="Sem retorno",A14=""),"",Config!$B$5-A14)</f>
        <v/>
      </c>
      <c r="N14" s="29">
        <f>IF(AND(OR(G14="Aprovado",G14="Recusado"),H14&lt;&gt;"",A14&lt;&gt;""),H14-A14,"")</f>
        <v>5</v>
      </c>
      <c r="O14" s="25" t="str">
        <f>IF(G14="","",IF(OR(G14="Aprovado",G14="Recusado",G14="Sem retorno"),G14,IF(AND(M14&lt;&gt;"",M14&gt;Config!$B$7),"Parado","Ativo")))</f>
        <v>Aprovado</v>
      </c>
      <c r="P14" s="39">
        <f>IF(A14="","",DATE(YEAR(A14),MONTH(A14),1))</f>
        <v>46204.0</v>
      </c>
      <c r="Q14" s="40">
        <f>IF(OR(G14="",O14="Aprovado",O14="Recusado",O14="Sem retorno"),0,IF(O14="Parado",2000,1000)+MIN(N(M14),500)+N(F14)/1000000-ROW()/100000)</f>
        <v>0</v>
      </c>
    </row>
    <row r="15">
      <c r="A15" s="37" t="n">
        <v>46234</v>
      </c>
      <c r="B15" s="32" t="inlineStr">
        <is>
          <t>Regina Duarte</t>
        </is>
      </c>
      <c r="C15" s="35" t="inlineStr">
        <is>
          <t>Dr. Paulo Andrade</t>
        </is>
      </c>
      <c r="D15" s="35" t="inlineStr">
        <is>
          <t>Exame cardiológico</t>
        </is>
      </c>
      <c r="E15" s="32" t="inlineStr">
        <is>
          <t>Teste ergométrico</t>
        </is>
      </c>
      <c r="F15" s="38" t="n">
        <v>450</v>
      </c>
      <c r="G15" s="35" t="inlineStr">
        <is>
          <t>Aprovado</t>
        </is>
      </c>
      <c r="H15" s="37" t="n">
        <v>46241</v>
      </c>
      <c r="I15" s="35" t="n"/>
      <c r="J15" s="32" t="inlineStr">
        <is>
          <t>Agendado para 11/08</t>
        </is>
      </c>
      <c r="K15" s="30">
        <f>IF(G15="","",IFERROR(INDEX(Config!$B$10:$B$14,MATCH(G15,Config!$A$10:$A$14,0)),0))</f>
        <v>1</v>
      </c>
      <c r="L15" s="26">
        <f>IF(OR(G15="",F15=""),"",F15*K15)</f>
        <v>450</v>
      </c>
      <c r="M15" s="29">
        <f>IF(OR(G15="",G15="Aprovado",G15="Recusado",G15="Sem retorno",A15=""),"",Config!$B$5-A15)</f>
        <v/>
      </c>
      <c r="N15" s="29">
        <f>IF(AND(OR(G15="Aprovado",G15="Recusado"),H15&lt;&gt;"",A15&lt;&gt;""),H15-A15,"")</f>
        <v>7</v>
      </c>
      <c r="O15" s="25" t="str">
        <f>IF(G15="","",IF(OR(G15="Aprovado",G15="Recusado",G15="Sem retorno"),G15,IF(AND(M15&lt;&gt;"",M15&gt;Config!$B$7),"Parado","Ativo")))</f>
        <v>Aprovado</v>
      </c>
      <c r="P15" s="39">
        <f>IF(A15="","",DATE(YEAR(A15),MONTH(A15),1))</f>
        <v>46204.0</v>
      </c>
      <c r="Q15" s="40">
        <f>IF(OR(G15="",O15="Aprovado",O15="Recusado",O15="Sem retorno"),0,IF(O15="Parado",2000,1000)+MIN(N(M15),500)+N(F15)/1000000-ROW()/100000)</f>
        <v>0</v>
      </c>
    </row>
    <row r="16">
      <c r="A16" s="37" t="n">
        <v>46234</v>
      </c>
      <c r="B16" s="32" t="inlineStr">
        <is>
          <t>Regina Teixeira</t>
        </is>
      </c>
      <c r="C16" s="35" t="inlineStr">
        <is>
          <t>Dr. Paulo Andrade</t>
        </is>
      </c>
      <c r="D16" s="35" t="inlineStr">
        <is>
          <t>Check-up cardiológico</t>
        </is>
      </c>
      <c r="E16" s="32" t="inlineStr">
        <is>
          <t>Consulta + ECG + teste ergométrico</t>
        </is>
      </c>
      <c r="F16" s="38" t="n">
        <v>960</v>
      </c>
      <c r="G16" s="35" t="inlineStr">
        <is>
          <t>Aprovado</t>
        </is>
      </c>
      <c r="H16" s="37" t="n">
        <v>46251</v>
      </c>
      <c r="I16" s="35" t="n"/>
      <c r="J16" s="32" t="inlineStr">
        <is>
          <t>Agendado para 20/08</t>
        </is>
      </c>
      <c r="K16" s="30">
        <f>IF(G16="","",IFERROR(INDEX(Config!$B$10:$B$14,MATCH(G16,Config!$A$10:$A$14,0)),0))</f>
        <v>1</v>
      </c>
      <c r="L16" s="26">
        <f>IF(OR(G16="",F16=""),"",F16*K16)</f>
        <v>960</v>
      </c>
      <c r="M16" s="29">
        <f>IF(OR(G16="",G16="Aprovado",G16="Recusado",G16="Sem retorno",A16=""),"",Config!$B$5-A16)</f>
        <v/>
      </c>
      <c r="N16" s="29">
        <f>IF(AND(OR(G16="Aprovado",G16="Recusado"),H16&lt;&gt;"",A16&lt;&gt;""),H16-A16,"")</f>
        <v>17</v>
      </c>
      <c r="O16" s="25" t="str">
        <f>IF(G16="","",IF(OR(G16="Aprovado",G16="Recusado",G16="Sem retorno"),G16,IF(AND(M16&lt;&gt;"",M16&gt;Config!$B$7),"Parado","Ativo")))</f>
        <v>Aprovado</v>
      </c>
      <c r="P16" s="39">
        <f>IF(A16="","",DATE(YEAR(A16),MONTH(A16),1))</f>
        <v>46204.0</v>
      </c>
      <c r="Q16" s="40">
        <f>IF(OR(G16="",O16="Aprovado",O16="Recusado",O16="Sem retorno"),0,IF(O16="Parado",2000,1000)+MIN(N(M16),500)+N(F16)/1000000-ROW()/100000)</f>
        <v>0</v>
      </c>
    </row>
    <row r="17">
      <c r="A17" s="37">
        <f>TODAY()-45</f>
        <v>46234.0</v>
      </c>
      <c r="B17" s="32" t="inlineStr">
        <is>
          <t>Cláudia Costa</t>
        </is>
      </c>
      <c r="C17" s="35" t="inlineStr">
        <is>
          <t>Dra. Carolina Mendes</t>
        </is>
      </c>
      <c r="D17" s="35" t="inlineStr">
        <is>
          <t>Pacote de consultas</t>
        </is>
      </c>
      <c r="E17" s="32" t="inlineStr">
        <is>
          <t>Consulta + 2 retornos (acompanhamento)</t>
        </is>
      </c>
      <c r="F17" s="38" t="n">
        <v>380</v>
      </c>
      <c r="G17" s="35" t="inlineStr">
        <is>
          <t>Recusado</t>
        </is>
      </c>
      <c r="H17" s="37">
        <f>TODAY()-42</f>
        <v>46237.0</v>
      </c>
      <c r="I17" s="35" t="inlineStr">
        <is>
          <t>Sem indicação no momento</t>
        </is>
      </c>
      <c r="J17" s="32" t="n"/>
      <c r="K17" s="30">
        <f>IF(G17="","",IFERROR(INDEX(Config!$B$10:$B$14,MATCH(G17,Config!$A$10:$A$14,0)),0))</f>
        <v>0</v>
      </c>
      <c r="L17" s="26">
        <f>IF(OR(G17="",F17=""),"",F17*K17)</f>
        <v>0</v>
      </c>
      <c r="M17" s="29">
        <f>IF(OR(G17="",G17="Aprovado",G17="Recusado",G17="Sem retorno",A17=""),"",Config!$B$5-A17)</f>
        <v/>
      </c>
      <c r="N17" s="29">
        <f>IF(AND(OR(G17="Aprovado",G17="Recusado"),H17&lt;&gt;"",A17&lt;&gt;""),H17-A17,"")</f>
        <v>3</v>
      </c>
      <c r="O17" s="25" t="str">
        <f>IF(G17="","",IF(OR(G17="Aprovado",G17="Recusado",G17="Sem retorno"),G17,IF(AND(M17&lt;&gt;"",M17&gt;Config!$B$7),"Parado","Ativo")))</f>
        <v>Recusado</v>
      </c>
      <c r="P17" s="39">
        <f>IF(A17="","",DATE(YEAR(A17),MONTH(A17),1))</f>
        <v>46204.0</v>
      </c>
      <c r="Q17" s="40">
        <f>IF(OR(G17="",O17="Aprovado",O17="Recusado",O17="Sem retorno"),0,IF(O17="Parado",2000,1000)+MIN(N(M17),500)+N(F17)/1000000-ROW()/100000)</f>
        <v>0</v>
      </c>
    </row>
    <row r="18">
      <c r="A18" s="37">
        <f>TODAY()-40</f>
        <v>46239.0</v>
      </c>
      <c r="B18" s="32" t="inlineStr">
        <is>
          <t>Eduardo Lima</t>
        </is>
      </c>
      <c r="C18" s="35" t="inlineStr">
        <is>
          <t>Dr. Paulo Andrade</t>
        </is>
      </c>
      <c r="D18" s="35" t="inlineStr">
        <is>
          <t>Check-up cardiológico</t>
        </is>
      </c>
      <c r="E18" s="32" t="inlineStr">
        <is>
          <t>Consulta + ECG + teste ergométrico</t>
        </is>
      </c>
      <c r="F18" s="38" t="n">
        <v>960</v>
      </c>
      <c r="G18" s="35" t="inlineStr">
        <is>
          <t>Sem retorno</t>
        </is>
      </c>
      <c r="H18" s="37">
        <f>TODAY()-37</f>
        <v>46242.0</v>
      </c>
      <c r="I18" s="35" t="inlineStr">
        <is>
          <t>Vai pensar / sem retorno</t>
        </is>
      </c>
      <c r="J18" s="32" t="n"/>
      <c r="K18" s="30">
        <f>IF(G18="","",IFERROR(INDEX(Config!$B$10:$B$14,MATCH(G18,Config!$A$10:$A$14,0)),0))</f>
        <v>0</v>
      </c>
      <c r="L18" s="26">
        <f>IF(OR(G18="",F18=""),"",F18*K18)</f>
        <v>0</v>
      </c>
      <c r="M18" s="29">
        <f>IF(OR(G18="",G18="Aprovado",G18="Recusado",G18="Sem retorno",A18=""),"",Config!$B$5-A18)</f>
        <v/>
      </c>
      <c r="N18" s="29">
        <f>IF(AND(OR(G18="Aprovado",G18="Recusado"),H18&lt;&gt;"",A18&lt;&gt;""),H18-A18,"")</f>
        <v/>
      </c>
      <c r="O18" s="25" t="str">
        <f>IF(G18="","",IF(OR(G18="Aprovado",G18="Recusado",G18="Sem retorno"),G18,IF(AND(M18&lt;&gt;"",M18&gt;Config!$B$7),"Parado","Ativo")))</f>
        <v>Sem retorno</v>
      </c>
      <c r="P18" s="39">
        <f>IF(A18="","",DATE(YEAR(A18),MONTH(A18),1))</f>
        <v>46235.0</v>
      </c>
      <c r="Q18" s="40">
        <f>IF(OR(G18="",O18="Aprovado",O18="Recusado",O18="Sem retorno"),0,IF(O18="Parado",2000,1000)+MIN(N(M18),500)+N(F18)/1000000-ROW()/100000)</f>
        <v>0</v>
      </c>
    </row>
    <row r="19">
      <c r="A19" s="37" t="n">
        <v>46241</v>
      </c>
      <c r="B19" s="32" t="inlineStr">
        <is>
          <t>Paulo Reis</t>
        </is>
      </c>
      <c r="C19" s="35" t="inlineStr">
        <is>
          <t>Dr. Paulo Andrade</t>
        </is>
      </c>
      <c r="D19" s="35" t="inlineStr">
        <is>
          <t>Exame cardiológico</t>
        </is>
      </c>
      <c r="E19" s="32" t="inlineStr">
        <is>
          <t>Holter</t>
        </is>
      </c>
      <c r="F19" s="38" t="n">
        <v>350</v>
      </c>
      <c r="G19" s="35" t="inlineStr">
        <is>
          <t>Aprovado</t>
        </is>
      </c>
      <c r="H19" s="37" t="n">
        <v>46259</v>
      </c>
      <c r="I19" s="35" t="n"/>
      <c r="J19" s="32" t="inlineStr">
        <is>
          <t>Agendado para 25/08</t>
        </is>
      </c>
      <c r="K19" s="30">
        <f>IF(G19="","",IFERROR(INDEX(Config!$B$10:$B$14,MATCH(G19,Config!$A$10:$A$14,0)),0))</f>
        <v>1</v>
      </c>
      <c r="L19" s="26">
        <f>IF(OR(G19="",F19=""),"",F19*K19)</f>
        <v>350</v>
      </c>
      <c r="M19" s="29">
        <f>IF(OR(G19="",G19="Aprovado",G19="Recusado",G19="Sem retorno",A19=""),"",Config!$B$5-A19)</f>
        <v/>
      </c>
      <c r="N19" s="29">
        <f>IF(AND(OR(G19="Aprovado",G19="Recusado"),H19&lt;&gt;"",A19&lt;&gt;""),H19-A19,"")</f>
        <v>18</v>
      </c>
      <c r="O19" s="25" t="str">
        <f>IF(G19="","",IF(OR(G19="Aprovado",G19="Recusado",G19="Sem retorno"),G19,IF(AND(M19&lt;&gt;"",M19&gt;Config!$B$7),"Parado","Ativo")))</f>
        <v>Aprovado</v>
      </c>
      <c r="P19" s="39">
        <f>IF(A19="","",DATE(YEAR(A19),MONTH(A19),1))</f>
        <v>46235.0</v>
      </c>
      <c r="Q19" s="40">
        <f>IF(OR(G19="",O19="Aprovado",O19="Recusado",O19="Sem retorno"),0,IF(O19="Parado",2000,1000)+MIN(N(M19),500)+N(F19)/1000000-ROW()/100000)</f>
        <v>0</v>
      </c>
    </row>
    <row r="20">
      <c r="A20" s="37" t="n">
        <v>46245</v>
      </c>
      <c r="B20" s="32" t="inlineStr">
        <is>
          <t>Viviane Ribeiro</t>
        </is>
      </c>
      <c r="C20" s="35" t="inlineStr">
        <is>
          <t>Dr. Paulo Andrade</t>
        </is>
      </c>
      <c r="D20" s="35" t="inlineStr">
        <is>
          <t>Exame cardiológico</t>
        </is>
      </c>
      <c r="E20" s="32" t="inlineStr">
        <is>
          <t>Teste ergométrico</t>
        </is>
      </c>
      <c r="F20" s="38" t="n">
        <v>450</v>
      </c>
      <c r="G20" s="35" t="inlineStr">
        <is>
          <t>Aprovado</t>
        </is>
      </c>
      <c r="H20" s="37" t="n">
        <v>46251</v>
      </c>
      <c r="I20" s="35" t="n"/>
      <c r="J20" s="32" t="inlineStr">
        <is>
          <t>Agendado para 20/08</t>
        </is>
      </c>
      <c r="K20" s="30">
        <f>IF(G20="","",IFERROR(INDEX(Config!$B$10:$B$14,MATCH(G20,Config!$A$10:$A$14,0)),0))</f>
        <v>1</v>
      </c>
      <c r="L20" s="26">
        <f>IF(OR(G20="",F20=""),"",F20*K20)</f>
        <v>450</v>
      </c>
      <c r="M20" s="29">
        <f>IF(OR(G20="",G20="Aprovado",G20="Recusado",G20="Sem retorno",A20=""),"",Config!$B$5-A20)</f>
        <v/>
      </c>
      <c r="N20" s="29">
        <f>IF(AND(OR(G20="Aprovado",G20="Recusado"),H20&lt;&gt;"",A20&lt;&gt;""),H20-A20,"")</f>
        <v>6</v>
      </c>
      <c r="O20" s="25" t="str">
        <f>IF(G20="","",IF(OR(G20="Aprovado",G20="Recusado",G20="Sem retorno"),G20,IF(AND(M20&lt;&gt;"",M20&gt;Config!$B$7),"Parado","Ativo")))</f>
        <v>Aprovado</v>
      </c>
      <c r="P20" s="39">
        <f>IF(A20="","",DATE(YEAR(A20),MONTH(A20),1))</f>
        <v>46235.0</v>
      </c>
      <c r="Q20" s="40">
        <f>IF(OR(G20="",O20="Aprovado",O20="Recusado",O20="Sem retorno"),0,IF(O20="Parado",2000,1000)+MIN(N(M20),500)+N(F20)/1000000-ROW()/100000)</f>
        <v>0</v>
      </c>
    </row>
    <row r="21">
      <c r="A21" s="37">
        <f>TODAY()-32</f>
        <v>46247.0</v>
      </c>
      <c r="B21" s="32" t="inlineStr">
        <is>
          <t>Fábio Machado</t>
        </is>
      </c>
      <c r="C21" s="35" t="inlineStr">
        <is>
          <t>Dr. Paulo Andrade</t>
        </is>
      </c>
      <c r="D21" s="35" t="inlineStr">
        <is>
          <t>Exame cardiológico</t>
        </is>
      </c>
      <c r="E21" s="32" t="inlineStr">
        <is>
          <t>Teste ergométrico</t>
        </is>
      </c>
      <c r="F21" s="38" t="n">
        <v>450</v>
      </c>
      <c r="G21" s="35" t="inlineStr">
        <is>
          <t>Recusado</t>
        </is>
      </c>
      <c r="H21" s="37">
        <f>TODAY()-25</f>
        <v>46254.0</v>
      </c>
      <c r="I21" s="35" t="inlineStr">
        <is>
          <t>Fez em outro lugar</t>
        </is>
      </c>
      <c r="J21" s="32" t="n"/>
      <c r="K21" s="30">
        <f>IF(G21="","",IFERROR(INDEX(Config!$B$10:$B$14,MATCH(G21,Config!$A$10:$A$14,0)),0))</f>
        <v>0</v>
      </c>
      <c r="L21" s="26">
        <f>IF(OR(G21="",F21=""),"",F21*K21)</f>
        <v>0</v>
      </c>
      <c r="M21" s="29">
        <f>IF(OR(G21="",G21="Aprovado",G21="Recusado",G21="Sem retorno",A21=""),"",Config!$B$5-A21)</f>
        <v/>
      </c>
      <c r="N21" s="29">
        <f>IF(AND(OR(G21="Aprovado",G21="Recusado"),H21&lt;&gt;"",A21&lt;&gt;""),H21-A21,"")</f>
        <v>7</v>
      </c>
      <c r="O21" s="25" t="str">
        <f>IF(G21="","",IF(OR(G21="Aprovado",G21="Recusado",G21="Sem retorno"),G21,IF(AND(M21&lt;&gt;"",M21&gt;Config!$B$7),"Parado","Ativo")))</f>
        <v>Recusado</v>
      </c>
      <c r="P21" s="39">
        <f>IF(A21="","",DATE(YEAR(A21),MONTH(A21),1))</f>
        <v>46235.0</v>
      </c>
      <c r="Q21" s="40">
        <f>IF(OR(G21="",O21="Aprovado",O21="Recusado",O21="Sem retorno"),0,IF(O21="Parado",2000,1000)+MIN(N(M21),500)+N(F21)/1000000-ROW()/100000)</f>
        <v>0</v>
      </c>
    </row>
    <row r="22">
      <c r="A22" s="37" t="n">
        <v>46248</v>
      </c>
      <c r="B22" s="32" t="inlineStr">
        <is>
          <t>Renato Dias</t>
        </is>
      </c>
      <c r="C22" s="35" t="inlineStr">
        <is>
          <t>Dr. Paulo Andrade</t>
        </is>
      </c>
      <c r="D22" s="35" t="inlineStr">
        <is>
          <t>Exame cardiológico</t>
        </is>
      </c>
      <c r="E22" s="32" t="inlineStr">
        <is>
          <t>Holter</t>
        </is>
      </c>
      <c r="F22" s="38" t="n">
        <v>350</v>
      </c>
      <c r="G22" s="35" t="inlineStr">
        <is>
          <t>Aprovado</t>
        </is>
      </c>
      <c r="H22" s="37" t="n">
        <v>46261</v>
      </c>
      <c r="I22" s="35" t="n"/>
      <c r="J22" s="32" t="inlineStr">
        <is>
          <t>Agendado para 27/08</t>
        </is>
      </c>
      <c r="K22" s="30">
        <f>IF(G22="","",IFERROR(INDEX(Config!$B$10:$B$14,MATCH(G22,Config!$A$10:$A$14,0)),0))</f>
        <v>1</v>
      </c>
      <c r="L22" s="26">
        <f>IF(OR(G22="",F22=""),"",F22*K22)</f>
        <v>350</v>
      </c>
      <c r="M22" s="29">
        <f>IF(OR(G22="",G22="Aprovado",G22="Recusado",G22="Sem retorno",A22=""),"",Config!$B$5-A22)</f>
        <v/>
      </c>
      <c r="N22" s="29">
        <f>IF(AND(OR(G22="Aprovado",G22="Recusado"),H22&lt;&gt;"",A22&lt;&gt;""),H22-A22,"")</f>
        <v>13</v>
      </c>
      <c r="O22" s="25" t="str">
        <f>IF(G22="","",IF(OR(G22="Aprovado",G22="Recusado",G22="Sem retorno"),G22,IF(AND(M22&lt;&gt;"",M22&gt;Config!$B$7),"Parado","Ativo")))</f>
        <v>Aprovado</v>
      </c>
      <c r="P22" s="39">
        <f>IF(A22="","",DATE(YEAR(A22),MONTH(A22),1))</f>
        <v>46235.0</v>
      </c>
      <c r="Q22" s="40">
        <f>IF(OR(G22="",O22="Aprovado",O22="Recusado",O22="Sem retorno"),0,IF(O22="Parado",2000,1000)+MIN(N(M22),500)+N(F22)/1000000-ROW()/100000)</f>
        <v>0</v>
      </c>
    </row>
    <row r="23">
      <c r="A23" s="37" t="n">
        <v>46251</v>
      </c>
      <c r="B23" s="32" t="inlineStr">
        <is>
          <t>Fernanda Freitas</t>
        </is>
      </c>
      <c r="C23" s="35" t="inlineStr">
        <is>
          <t>Dr. Paulo Andrade</t>
        </is>
      </c>
      <c r="D23" s="35" t="inlineStr">
        <is>
          <t>Exame cardiológico</t>
        </is>
      </c>
      <c r="E23" s="32" t="inlineStr">
        <is>
          <t>Teste ergométrico</t>
        </is>
      </c>
      <c r="F23" s="38" t="n">
        <v>450</v>
      </c>
      <c r="G23" s="35" t="inlineStr">
        <is>
          <t>Aprovado</t>
        </is>
      </c>
      <c r="H23" s="37" t="n">
        <v>46269</v>
      </c>
      <c r="I23" s="35" t="n"/>
      <c r="J23" s="32" t="inlineStr">
        <is>
          <t>Agendado para 04/09</t>
        </is>
      </c>
      <c r="K23" s="30">
        <f>IF(G23="","",IFERROR(INDEX(Config!$B$10:$B$14,MATCH(G23,Config!$A$10:$A$14,0)),0))</f>
        <v>1</v>
      </c>
      <c r="L23" s="26">
        <f>IF(OR(G23="",F23=""),"",F23*K23)</f>
        <v>450</v>
      </c>
      <c r="M23" s="29">
        <f>IF(OR(G23="",G23="Aprovado",G23="Recusado",G23="Sem retorno",A23=""),"",Config!$B$5-A23)</f>
        <v/>
      </c>
      <c r="N23" s="29">
        <f>IF(AND(OR(G23="Aprovado",G23="Recusado"),H23&lt;&gt;"",A23&lt;&gt;""),H23-A23,"")</f>
        <v>18</v>
      </c>
      <c r="O23" s="25" t="str">
        <f>IF(G23="","",IF(OR(G23="Aprovado",G23="Recusado",G23="Sem retorno"),G23,IF(AND(M23&lt;&gt;"",M23&gt;Config!$B$7),"Parado","Ativo")))</f>
        <v>Aprovado</v>
      </c>
      <c r="P23" s="39">
        <f>IF(A23="","",DATE(YEAR(A23),MONTH(A23),1))</f>
        <v>46235.0</v>
      </c>
      <c r="Q23" s="40">
        <f>IF(OR(G23="",O23="Aprovado",O23="Recusado",O23="Sem retorno"),0,IF(O23="Parado",2000,1000)+MIN(N(M23),500)+N(F23)/1000000-ROW()/100000)</f>
        <v>0</v>
      </c>
    </row>
    <row r="24">
      <c r="A24" s="37">
        <f>TODAY()-26</f>
        <v>46253.0</v>
      </c>
      <c r="B24" s="32" t="inlineStr">
        <is>
          <t>Beatriz Gomes</t>
        </is>
      </c>
      <c r="C24" s="35" t="inlineStr">
        <is>
          <t>Dra. Renata Sousa</t>
        </is>
      </c>
      <c r="D24" s="35" t="inlineStr">
        <is>
          <t>Avaliação endócrina</t>
        </is>
      </c>
      <c r="E24" s="32" t="inlineStr">
        <is>
          <t>Avaliação endócrina + retorno</t>
        </is>
      </c>
      <c r="F24" s="38" t="n">
        <v>400</v>
      </c>
      <c r="G24" s="35" t="inlineStr">
        <is>
          <t>Sem retorno</t>
        </is>
      </c>
      <c r="H24" s="37">
        <f>TODAY()-22</f>
        <v>46257.0</v>
      </c>
      <c r="I24" s="35" t="inlineStr">
        <is>
          <t>Vai pensar / sem retorno</t>
        </is>
      </c>
      <c r="J24" s="32" t="n"/>
      <c r="K24" s="30">
        <f>IF(G24="","",IFERROR(INDEX(Config!$B$10:$B$14,MATCH(G24,Config!$A$10:$A$14,0)),0))</f>
        <v>0</v>
      </c>
      <c r="L24" s="26">
        <f>IF(OR(G24="",F24=""),"",F24*K24)</f>
        <v>0</v>
      </c>
      <c r="M24" s="29">
        <f>IF(OR(G24="",G24="Aprovado",G24="Recusado",G24="Sem retorno",A24=""),"",Config!$B$5-A24)</f>
        <v/>
      </c>
      <c r="N24" s="29">
        <f>IF(AND(OR(G24="Aprovado",G24="Recusado"),H24&lt;&gt;"",A24&lt;&gt;""),H24-A24,"")</f>
        <v/>
      </c>
      <c r="O24" s="25" t="str">
        <f>IF(G24="","",IF(OR(G24="Aprovado",G24="Recusado",G24="Sem retorno"),G24,IF(AND(M24&lt;&gt;"",M24&gt;Config!$B$7),"Parado","Ativo")))</f>
        <v>Sem retorno</v>
      </c>
      <c r="P24" s="39">
        <f>IF(A24="","",DATE(YEAR(A24),MONTH(A24),1))</f>
        <v>46235.0</v>
      </c>
      <c r="Q24" s="40">
        <f>IF(OR(G24="",O24="Aprovado",O24="Recusado",O24="Sem retorno"),0,IF(O24="Parado",2000,1000)+MIN(N(M24),500)+N(F24)/1000000-ROW()/100000)</f>
        <v>0</v>
      </c>
    </row>
    <row r="25">
      <c r="A25" s="37" t="n">
        <v>46254</v>
      </c>
      <c r="B25" s="32" t="inlineStr">
        <is>
          <t>Roberta Araújo</t>
        </is>
      </c>
      <c r="C25" s="35" t="inlineStr">
        <is>
          <t>Dr. Paulo Andrade</t>
        </is>
      </c>
      <c r="D25" s="35" t="inlineStr">
        <is>
          <t>Exame cardiológico</t>
        </is>
      </c>
      <c r="E25" s="32" t="inlineStr">
        <is>
          <t>Holter</t>
        </is>
      </c>
      <c r="F25" s="38" t="n">
        <v>350</v>
      </c>
      <c r="G25" s="35" t="inlineStr">
        <is>
          <t>Aprovado</t>
        </is>
      </c>
      <c r="H25" s="37" t="n">
        <v>46255</v>
      </c>
      <c r="I25" s="35" t="n"/>
      <c r="J25" s="32" t="inlineStr">
        <is>
          <t>Agendado para 25/08</t>
        </is>
      </c>
      <c r="K25" s="30">
        <f>IF(G25="","",IFERROR(INDEX(Config!$B$10:$B$14,MATCH(G25,Config!$A$10:$A$14,0)),0))</f>
        <v>1</v>
      </c>
      <c r="L25" s="26">
        <f>IF(OR(G25="",F25=""),"",F25*K25)</f>
        <v>350</v>
      </c>
      <c r="M25" s="29">
        <f>IF(OR(G25="",G25="Aprovado",G25="Recusado",G25="Sem retorno",A25=""),"",Config!$B$5-A25)</f>
        <v/>
      </c>
      <c r="N25" s="29">
        <f>IF(AND(OR(G25="Aprovado",G25="Recusado"),H25&lt;&gt;"",A25&lt;&gt;""),H25-A25,"")</f>
        <v>1</v>
      </c>
      <c r="O25" s="25" t="str">
        <f>IF(G25="","",IF(OR(G25="Aprovado",G25="Recusado",G25="Sem retorno"),G25,IF(AND(M25&lt;&gt;"",M25&gt;Config!$B$7),"Parado","Ativo")))</f>
        <v>Aprovado</v>
      </c>
      <c r="P25" s="39">
        <f>IF(A25="","",DATE(YEAR(A25),MONTH(A25),1))</f>
        <v>46235.0</v>
      </c>
      <c r="Q25" s="40">
        <f>IF(OR(G25="",O25="Aprovado",O25="Recusado",O25="Sem retorno"),0,IF(O25="Parado",2000,1000)+MIN(N(M25),500)+N(F25)/1000000-ROW()/100000)</f>
        <v>0</v>
      </c>
    </row>
    <row r="26">
      <c r="A26" s="37" t="n">
        <v>46255</v>
      </c>
      <c r="B26" s="32" t="inlineStr">
        <is>
          <t>Eduardo Lima</t>
        </is>
      </c>
      <c r="C26" s="35" t="inlineStr">
        <is>
          <t>Dr. Paulo Andrade</t>
        </is>
      </c>
      <c r="D26" s="35" t="inlineStr">
        <is>
          <t>Exame cardiológico</t>
        </is>
      </c>
      <c r="E26" s="32" t="inlineStr">
        <is>
          <t>MAPA</t>
        </is>
      </c>
      <c r="F26" s="38" t="n">
        <v>300</v>
      </c>
      <c r="G26" s="35" t="inlineStr">
        <is>
          <t>Aprovado</t>
        </is>
      </c>
      <c r="H26" s="37" t="n">
        <v>46273</v>
      </c>
      <c r="I26" s="35" t="n"/>
      <c r="J26" s="32" t="inlineStr">
        <is>
          <t>Agendado para 10/09</t>
        </is>
      </c>
      <c r="K26" s="30">
        <f>IF(G26="","",IFERROR(INDEX(Config!$B$10:$B$14,MATCH(G26,Config!$A$10:$A$14,0)),0))</f>
        <v>1</v>
      </c>
      <c r="L26" s="26">
        <f>IF(OR(G26="",F26=""),"",F26*K26)</f>
        <v>300</v>
      </c>
      <c r="M26" s="29">
        <f>IF(OR(G26="",G26="Aprovado",G26="Recusado",G26="Sem retorno",A26=""),"",Config!$B$5-A26)</f>
        <v/>
      </c>
      <c r="N26" s="29">
        <f>IF(AND(OR(G26="Aprovado",G26="Recusado"),H26&lt;&gt;"",A26&lt;&gt;""),H26-A26,"")</f>
        <v>18</v>
      </c>
      <c r="O26" s="25" t="str">
        <f>IF(G26="","",IF(OR(G26="Aprovado",G26="Recusado",G26="Sem retorno"),G26,IF(AND(M26&lt;&gt;"",M26&gt;Config!$B$7),"Parado","Ativo")))</f>
        <v>Aprovado</v>
      </c>
      <c r="P26" s="39">
        <f>IF(A26="","",DATE(YEAR(A26),MONTH(A26),1))</f>
        <v>46235.0</v>
      </c>
      <c r="Q26" s="40">
        <f>IF(OR(G26="",O26="Aprovado",O26="Recusado",O26="Sem retorno"),0,IF(O26="Parado",2000,1000)+MIN(N(M26),500)+N(F26)/1000000-ROW()/100000)</f>
        <v>0</v>
      </c>
    </row>
    <row r="27">
      <c r="A27" s="37" t="n">
        <v>46259</v>
      </c>
      <c r="B27" s="32" t="inlineStr">
        <is>
          <t>Rafael Dias</t>
        </is>
      </c>
      <c r="C27" s="35" t="inlineStr">
        <is>
          <t>Dr. Paulo Andrade</t>
        </is>
      </c>
      <c r="D27" s="35" t="inlineStr">
        <is>
          <t>Exame cardiológico</t>
        </is>
      </c>
      <c r="E27" s="32" t="inlineStr">
        <is>
          <t>MAPA</t>
        </is>
      </c>
      <c r="F27" s="38" t="n">
        <v>300</v>
      </c>
      <c r="G27" s="35" t="inlineStr">
        <is>
          <t>Aprovado</t>
        </is>
      </c>
      <c r="H27" s="37" t="n">
        <v>46269</v>
      </c>
      <c r="I27" s="35" t="n"/>
      <c r="J27" s="32" t="inlineStr">
        <is>
          <t>Agendado para 04/09</t>
        </is>
      </c>
      <c r="K27" s="30">
        <f>IF(G27="","",IFERROR(INDEX(Config!$B$10:$B$14,MATCH(G27,Config!$A$10:$A$14,0)),0))</f>
        <v>1</v>
      </c>
      <c r="L27" s="26">
        <f>IF(OR(G27="",F27=""),"",F27*K27)</f>
        <v>300</v>
      </c>
      <c r="M27" s="29">
        <f>IF(OR(G27="",G27="Aprovado",G27="Recusado",G27="Sem retorno",A27=""),"",Config!$B$5-A27)</f>
        <v/>
      </c>
      <c r="N27" s="29">
        <f>IF(AND(OR(G27="Aprovado",G27="Recusado"),H27&lt;&gt;"",A27&lt;&gt;""),H27-A27,"")</f>
        <v>10</v>
      </c>
      <c r="O27" s="25" t="str">
        <f>IF(G27="","",IF(OR(G27="Aprovado",G27="Recusado",G27="Sem retorno"),G27,IF(AND(M27&lt;&gt;"",M27&gt;Config!$B$7),"Parado","Ativo")))</f>
        <v>Aprovado</v>
      </c>
      <c r="P27" s="39">
        <f>IF(A27="","",DATE(YEAR(A27),MONTH(A27),1))</f>
        <v>46235.0</v>
      </c>
      <c r="Q27" s="40">
        <f>IF(OR(G27="",O27="Aprovado",O27="Recusado",O27="Sem retorno"),0,IF(O27="Parado",2000,1000)+MIN(N(M27),500)+N(F27)/1000000-ROW()/100000)</f>
        <v>0</v>
      </c>
    </row>
    <row r="28">
      <c r="A28" s="37">
        <f>TODAY()-20</f>
        <v>46259.0</v>
      </c>
      <c r="B28" s="32" t="inlineStr">
        <is>
          <t>Carlos Fernandes</t>
        </is>
      </c>
      <c r="C28" s="35" t="inlineStr">
        <is>
          <t>Dra. Carolina Mendes</t>
        </is>
      </c>
      <c r="D28" s="35" t="inlineStr">
        <is>
          <t>Pacote de consultas</t>
        </is>
      </c>
      <c r="E28" s="32" t="inlineStr">
        <is>
          <t>Consulta + 2 retornos (acompanhamento)</t>
        </is>
      </c>
      <c r="F28" s="38" t="n">
        <v>380</v>
      </c>
      <c r="G28" s="35" t="inlineStr">
        <is>
          <t>Recusado</t>
        </is>
      </c>
      <c r="H28" s="37">
        <f>TODAY()-13</f>
        <v>46266.0</v>
      </c>
      <c r="I28" s="35" t="inlineStr">
        <is>
          <t>Preço</t>
        </is>
      </c>
      <c r="J28" s="32" t="n"/>
      <c r="K28" s="30">
        <f>IF(G28="","",IFERROR(INDEX(Config!$B$10:$B$14,MATCH(G28,Config!$A$10:$A$14,0)),0))</f>
        <v>0</v>
      </c>
      <c r="L28" s="26">
        <f>IF(OR(G28="",F28=""),"",F28*K28)</f>
        <v>0</v>
      </c>
      <c r="M28" s="29">
        <f>IF(OR(G28="",G28="Aprovado",G28="Recusado",G28="Sem retorno",A28=""),"",Config!$B$5-A28)</f>
        <v/>
      </c>
      <c r="N28" s="29">
        <f>IF(AND(OR(G28="Aprovado",G28="Recusado"),H28&lt;&gt;"",A28&lt;&gt;""),H28-A28,"")</f>
        <v>7</v>
      </c>
      <c r="O28" s="25" t="str">
        <f>IF(G28="","",IF(OR(G28="Aprovado",G28="Recusado",G28="Sem retorno"),G28,IF(AND(M28&lt;&gt;"",M28&gt;Config!$B$7),"Parado","Ativo")))</f>
        <v>Recusado</v>
      </c>
      <c r="P28" s="39">
        <f>IF(A28="","",DATE(YEAR(A28),MONTH(A28),1))</f>
        <v>46235.0</v>
      </c>
      <c r="Q28" s="40">
        <f>IF(OR(G28="",O28="Aprovado",O28="Recusado",O28="Sem retorno"),0,IF(O28="Parado",2000,1000)+MIN(N(M28),500)+N(F28)/1000000-ROW()/100000)</f>
        <v>0</v>
      </c>
    </row>
    <row r="29">
      <c r="A29" s="37">
        <f>TODAY()-16</f>
        <v>46263.0</v>
      </c>
      <c r="B29" s="32" t="inlineStr">
        <is>
          <t>Patrícia Dias</t>
        </is>
      </c>
      <c r="C29" s="35" t="inlineStr">
        <is>
          <t>Dr. Paulo Andrade</t>
        </is>
      </c>
      <c r="D29" s="35" t="inlineStr">
        <is>
          <t>Exame cardiológico</t>
        </is>
      </c>
      <c r="E29" s="32" t="inlineStr">
        <is>
          <t>MAPA</t>
        </is>
      </c>
      <c r="F29" s="38" t="n">
        <v>300</v>
      </c>
      <c r="G29" s="35" t="inlineStr">
        <is>
          <t>Sem retorno</t>
        </is>
      </c>
      <c r="H29" s="37">
        <f>TODAY()-12</f>
        <v>46267.0</v>
      </c>
      <c r="I29" s="35" t="inlineStr">
        <is>
          <t>Vai pensar / sem retorno</t>
        </is>
      </c>
      <c r="J29" s="32" t="n"/>
      <c r="K29" s="30">
        <f>IF(G29="","",IFERROR(INDEX(Config!$B$10:$B$14,MATCH(G29,Config!$A$10:$A$14,0)),0))</f>
        <v>0</v>
      </c>
      <c r="L29" s="26">
        <f>IF(OR(G29="",F29=""),"",F29*K29)</f>
        <v>0</v>
      </c>
      <c r="M29" s="29">
        <f>IF(OR(G29="",G29="Aprovado",G29="Recusado",G29="Sem retorno",A29=""),"",Config!$B$5-A29)</f>
        <v/>
      </c>
      <c r="N29" s="29">
        <f>IF(AND(OR(G29="Aprovado",G29="Recusado"),H29&lt;&gt;"",A29&lt;&gt;""),H29-A29,"")</f>
        <v/>
      </c>
      <c r="O29" s="25" t="str">
        <f>IF(G29="","",IF(OR(G29="Aprovado",G29="Recusado",G29="Sem retorno"),G29,IF(AND(M29&lt;&gt;"",M29&gt;Config!$B$7),"Parado","Ativo")))</f>
        <v>Sem retorno</v>
      </c>
      <c r="P29" s="39">
        <f>IF(A29="","",DATE(YEAR(A29),MONTH(A29),1))</f>
        <v>46235.0</v>
      </c>
      <c r="Q29" s="40">
        <f>IF(OR(G29="",O29="Aprovado",O29="Recusado",O29="Sem retorno"),0,IF(O29="Parado",2000,1000)+MIN(N(M29),500)+N(F29)/1000000-ROW()/100000)</f>
        <v>0</v>
      </c>
    </row>
    <row r="30">
      <c r="A30" s="37">
        <f>TODAY()-12</f>
        <v>46267.0</v>
      </c>
      <c r="B30" s="32" t="inlineStr">
        <is>
          <t>Mariana Reis</t>
        </is>
      </c>
      <c r="C30" s="35" t="inlineStr">
        <is>
          <t>Dr. Paulo Andrade</t>
        </is>
      </c>
      <c r="D30" s="35" t="inlineStr">
        <is>
          <t>Exame cardiológico</t>
        </is>
      </c>
      <c r="E30" s="32" t="inlineStr">
        <is>
          <t>MAPA + Holter</t>
        </is>
      </c>
      <c r="F30" s="38" t="n">
        <v>650</v>
      </c>
      <c r="G30" s="35" t="inlineStr">
        <is>
          <t>Em análise</t>
        </is>
      </c>
      <c r="H30" s="37" t="n"/>
      <c r="I30" s="35" t="n"/>
      <c r="J30" s="32" t="n"/>
      <c r="K30" s="30">
        <f>IF(G30="","",IFERROR(INDEX(Config!$B$10:$B$14,MATCH(G30,Config!$A$10:$A$14,0)),0))</f>
        <v>0.5</v>
      </c>
      <c r="L30" s="26">
        <f>IF(OR(G30="",F30=""),"",F30*K30)</f>
        <v>325</v>
      </c>
      <c r="M30" s="29">
        <f>IF(OR(G30="",G30="Aprovado",G30="Recusado",G30="Sem retorno",A30=""),"",Config!$B$5-A30)</f>
        <v>12</v>
      </c>
      <c r="N30" s="29">
        <f>IF(AND(OR(G30="Aprovado",G30="Recusado"),H30&lt;&gt;"",A30&lt;&gt;""),H30-A30,"")</f>
        <v/>
      </c>
      <c r="O30" s="25" t="str">
        <f>IF(G30="","",IF(OR(G30="Aprovado",G30="Recusado",G30="Sem retorno"),G30,IF(AND(M30&lt;&gt;"",M30&gt;Config!$B$7),"Parado","Ativo")))</f>
        <v>Parado</v>
      </c>
      <c r="P30" s="39">
        <f>IF(A30="","",DATE(YEAR(A30),MONTH(A30),1))</f>
        <v>46266.0</v>
      </c>
      <c r="Q30" s="40">
        <f>IF(OR(G30="",O30="Aprovado",O30="Recusado",O30="Sem retorno"),0,IF(O30="Parado",2000,1000)+MIN(N(M30),500)+N(F30)/1000000-ROW()/100000)</f>
        <v>2012.00035</v>
      </c>
    </row>
    <row r="31">
      <c r="A31" s="37">
        <f>TODAY()-9</f>
        <v>46270.0</v>
      </c>
      <c r="B31" s="32" t="inlineStr">
        <is>
          <t>Beatriz Monteiro</t>
        </is>
      </c>
      <c r="C31" s="35" t="inlineStr">
        <is>
          <t>Dra. Renata Sousa</t>
        </is>
      </c>
      <c r="D31" s="35" t="inlineStr">
        <is>
          <t>Avaliação endócrina</t>
        </is>
      </c>
      <c r="E31" s="32" t="inlineStr">
        <is>
          <t>Avaliação endócrina + retorno</t>
        </is>
      </c>
      <c r="F31" s="38" t="n">
        <v>400</v>
      </c>
      <c r="G31" s="35" t="inlineStr">
        <is>
          <t>Em análise</t>
        </is>
      </c>
      <c r="H31" s="37" t="n"/>
      <c r="I31" s="35" t="n"/>
      <c r="J31" s="32" t="n"/>
      <c r="K31" s="30">
        <f>IF(G31="","",IFERROR(INDEX(Config!$B$10:$B$14,MATCH(G31,Config!$A$10:$A$14,0)),0))</f>
        <v>0.5</v>
      </c>
      <c r="L31" s="26">
        <f>IF(OR(G31="",F31=""),"",F31*K31)</f>
        <v>200</v>
      </c>
      <c r="M31" s="29">
        <f>IF(OR(G31="",G31="Aprovado",G31="Recusado",G31="Sem retorno",A31=""),"",Config!$B$5-A31)</f>
        <v>9</v>
      </c>
      <c r="N31" s="29">
        <f>IF(AND(OR(G31="Aprovado",G31="Recusado"),H31&lt;&gt;"",A31&lt;&gt;""),H31-A31,"")</f>
        <v/>
      </c>
      <c r="O31" s="25" t="str">
        <f>IF(G31="","",IF(OR(G31="Aprovado",G31="Recusado",G31="Sem retorno"),G31,IF(AND(M31&lt;&gt;"",M31&gt;Config!$B$7),"Parado","Ativo")))</f>
        <v>Parado</v>
      </c>
      <c r="P31" s="39">
        <f>IF(A31="","",DATE(YEAR(A31),MONTH(A31),1))</f>
        <v>46266.0</v>
      </c>
      <c r="Q31" s="40">
        <f>IF(OR(G31="",O31="Aprovado",O31="Recusado",O31="Sem retorno"),0,IF(O31="Parado",2000,1000)+MIN(N(M31),500)+N(F31)/1000000-ROW()/100000)</f>
        <v>2009.00009</v>
      </c>
    </row>
    <row r="32">
      <c r="A32" s="37">
        <f>TODAY()-6</f>
        <v>46273.0</v>
      </c>
      <c r="B32" s="32" t="inlineStr">
        <is>
          <t>Rafael Dias</t>
        </is>
      </c>
      <c r="C32" s="35" t="inlineStr">
        <is>
          <t>Dr. Paulo Andrade</t>
        </is>
      </c>
      <c r="D32" s="35" t="inlineStr">
        <is>
          <t>Exame cardiológico</t>
        </is>
      </c>
      <c r="E32" s="32" t="inlineStr">
        <is>
          <t>Holter</t>
        </is>
      </c>
      <c r="F32" s="38" t="n">
        <v>350</v>
      </c>
      <c r="G32" s="35" t="inlineStr">
        <is>
          <t>Em análise</t>
        </is>
      </c>
      <c r="H32" s="37" t="n"/>
      <c r="I32" s="35" t="n"/>
      <c r="J32" s="32" t="n"/>
      <c r="K32" s="30">
        <f>IF(G32="","",IFERROR(INDEX(Config!$B$10:$B$14,MATCH(G32,Config!$A$10:$A$14,0)),0))</f>
        <v>0.5</v>
      </c>
      <c r="L32" s="26">
        <f>IF(OR(G32="",F32=""),"",F32*K32)</f>
        <v>175</v>
      </c>
      <c r="M32" s="29">
        <f>IF(OR(G32="",G32="Aprovado",G32="Recusado",G32="Sem retorno",A32=""),"",Config!$B$5-A32)</f>
        <v>6</v>
      </c>
      <c r="N32" s="29">
        <f>IF(AND(OR(G32="Aprovado",G32="Recusado"),H32&lt;&gt;"",A32&lt;&gt;""),H32-A32,"")</f>
        <v/>
      </c>
      <c r="O32" s="25" t="str">
        <f>IF(G32="","",IF(OR(G32="Aprovado",G32="Recusado",G32="Sem retorno"),G32,IF(AND(M32&lt;&gt;"",M32&gt;Config!$B$7),"Parado","Ativo")))</f>
        <v>Ativo</v>
      </c>
      <c r="P32" s="39">
        <f>IF(A32="","",DATE(YEAR(A32),MONTH(A32),1))</f>
        <v>46266.0</v>
      </c>
      <c r="Q32" s="40">
        <f>IF(OR(G32="",O32="Aprovado",O32="Recusado",O32="Sem retorno"),0,IF(O32="Parado",2000,1000)+MIN(N(M32),500)+N(F32)/1000000-ROW()/100000)</f>
        <v>1006.00003</v>
      </c>
    </row>
    <row r="33">
      <c r="A33" s="37">
        <f>TODAY()-3</f>
        <v>46276.0</v>
      </c>
      <c r="B33" s="32" t="inlineStr">
        <is>
          <t>Roberta Lima</t>
        </is>
      </c>
      <c r="C33" s="35" t="inlineStr">
        <is>
          <t>Dr. Paulo Andrade</t>
        </is>
      </c>
      <c r="D33" s="35" t="inlineStr">
        <is>
          <t>Check-up cardiológico</t>
        </is>
      </c>
      <c r="E33" s="32" t="inlineStr">
        <is>
          <t>Consulta + ECG + teste ergométrico</t>
        </is>
      </c>
      <c r="F33" s="38" t="n">
        <v>960</v>
      </c>
      <c r="G33" s="35" t="inlineStr">
        <is>
          <t>Apresentado</t>
        </is>
      </c>
      <c r="H33" s="37" t="n"/>
      <c r="I33" s="35" t="n"/>
      <c r="J33" s="32" t="n"/>
      <c r="K33" s="30">
        <f>IF(G33="","",IFERROR(INDEX(Config!$B$10:$B$14,MATCH(G33,Config!$A$10:$A$14,0)),0))</f>
        <v>0.3</v>
      </c>
      <c r="L33" s="26">
        <f>IF(OR(G33="",F33=""),"",F33*K33)</f>
        <v>288</v>
      </c>
      <c r="M33" s="29">
        <f>IF(OR(G33="",G33="Aprovado",G33="Recusado",G33="Sem retorno",A33=""),"",Config!$B$5-A33)</f>
        <v>3</v>
      </c>
      <c r="N33" s="29">
        <f>IF(AND(OR(G33="Aprovado",G33="Recusado"),H33&lt;&gt;"",A33&lt;&gt;""),H33-A33,"")</f>
        <v/>
      </c>
      <c r="O33" s="25" t="str">
        <f>IF(G33="","",IF(OR(G33="Aprovado",G33="Recusado",G33="Sem retorno"),G33,IF(AND(M33&lt;&gt;"",M33&gt;Config!$B$7),"Parado","Ativo")))</f>
        <v>Ativo</v>
      </c>
      <c r="P33" s="39">
        <f>IF(A33="","",DATE(YEAR(A33),MONTH(A33),1))</f>
        <v>46266.0</v>
      </c>
      <c r="Q33" s="40">
        <f>IF(OR(G33="",O33="Aprovado",O33="Recusado",O33="Sem retorno"),0,IF(O33="Parado",2000,1000)+MIN(N(M33),500)+N(F33)/1000000-ROW()/100000)</f>
        <v>1003.00063</v>
      </c>
    </row>
    <row r="34">
      <c r="A34" s="37">
        <f>TODAY()-1</f>
        <v>46278.0</v>
      </c>
      <c r="B34" s="32" t="inlineStr">
        <is>
          <t>Wagner Costa</t>
        </is>
      </c>
      <c r="C34" s="35" t="inlineStr">
        <is>
          <t>Dr. Paulo Andrade</t>
        </is>
      </c>
      <c r="D34" s="35" t="inlineStr">
        <is>
          <t>Exame cardiológico</t>
        </is>
      </c>
      <c r="E34" s="32" t="inlineStr">
        <is>
          <t>Teste ergométrico</t>
        </is>
      </c>
      <c r="F34" s="38" t="n">
        <v>450</v>
      </c>
      <c r="G34" s="35" t="inlineStr">
        <is>
          <t>Apresentado</t>
        </is>
      </c>
      <c r="H34" s="37" t="n"/>
      <c r="I34" s="35" t="n"/>
      <c r="J34" s="32" t="n"/>
      <c r="K34" s="30">
        <f>IF(G34="","",IFERROR(INDEX(Config!$B$10:$B$14,MATCH(G34,Config!$A$10:$A$14,0)),0))</f>
        <v>0.3</v>
      </c>
      <c r="L34" s="26">
        <f>IF(OR(G34="",F34=""),"",F34*K34)</f>
        <v>135</v>
      </c>
      <c r="M34" s="29">
        <f>IF(OR(G34="",G34="Aprovado",G34="Recusado",G34="Sem retorno",A34=""),"",Config!$B$5-A34)</f>
        <v>1</v>
      </c>
      <c r="N34" s="29">
        <f>IF(AND(OR(G34="Aprovado",G34="Recusado"),H34&lt;&gt;"",A34&lt;&gt;""),H34-A34,"")</f>
        <v/>
      </c>
      <c r="O34" s="25" t="str">
        <f>IF(G34="","",IF(OR(G34="Aprovado",G34="Recusado",G34="Sem retorno"),G34,IF(AND(M34&lt;&gt;"",M34&gt;Config!$B$7),"Parado","Ativo")))</f>
        <v>Ativo</v>
      </c>
      <c r="P34" s="39">
        <f>IF(A34="","",DATE(YEAR(A34),MONTH(A34),1))</f>
        <v>46266.0</v>
      </c>
      <c r="Q34" s="40">
        <f>IF(OR(G34="",O34="Aprovado",O34="Recusado",O34="Sem retorno"),0,IF(O34="Parado",2000,1000)+MIN(N(M34),500)+N(F34)/1000000-ROW()/100000)</f>
        <v>1001.00011</v>
      </c>
    </row>
    <row r="35">
      <c r="A35" s="37">
        <f>TODAY()</f>
        <v>46279.0</v>
      </c>
      <c r="B35" s="32" t="inlineStr">
        <is>
          <t>Fábio Correia</t>
        </is>
      </c>
      <c r="C35" s="35" t="inlineStr">
        <is>
          <t>Dr. Paulo Andrade</t>
        </is>
      </c>
      <c r="D35" s="35" t="inlineStr">
        <is>
          <t>Exame cardiológico</t>
        </is>
      </c>
      <c r="E35" s="32" t="inlineStr">
        <is>
          <t>MAPA + Holter</t>
        </is>
      </c>
      <c r="F35" s="38" t="n">
        <v>650</v>
      </c>
      <c r="G35" s="35" t="inlineStr">
        <is>
          <t>Apresentado</t>
        </is>
      </c>
      <c r="H35" s="37" t="n"/>
      <c r="I35" s="35" t="n"/>
      <c r="J35" s="32" t="n"/>
      <c r="K35" s="30">
        <f>IF(G35="","",IFERROR(INDEX(Config!$B$10:$B$14,MATCH(G35,Config!$A$10:$A$14,0)),0))</f>
        <v>0.3</v>
      </c>
      <c r="L35" s="26">
        <f>IF(OR(G35="",F35=""),"",F35*K35)</f>
        <v>195</v>
      </c>
      <c r="M35" s="29">
        <f>IF(OR(G35="",G35="Aprovado",G35="Recusado",G35="Sem retorno",A35=""),"",Config!$B$5-A35)</f>
        <v>0</v>
      </c>
      <c r="N35" s="29">
        <f>IF(AND(OR(G35="Aprovado",G35="Recusado"),H35&lt;&gt;"",A35&lt;&gt;""),H35-A35,"")</f>
        <v/>
      </c>
      <c r="O35" s="25" t="str">
        <f>IF(G35="","",IF(OR(G35="Aprovado",G35="Recusado",G35="Sem retorno"),G35,IF(AND(M35&lt;&gt;"",M35&gt;Config!$B$7),"Parado","Ativo")))</f>
        <v>Ativo</v>
      </c>
      <c r="P35" s="39">
        <f>IF(A35="","",DATE(YEAR(A35),MONTH(A35),1))</f>
        <v>46266.0</v>
      </c>
      <c r="Q35" s="40">
        <f>IF(OR(G35="",O35="Aprovado",O35="Recusado",O35="Sem retorno"),0,IF(O35="Parado",2000,1000)+MIN(N(M35),500)+N(F35)/1000000-ROW()/100000)</f>
        <v>1000.0003</v>
      </c>
    </row>
    <row r="36">
      <c r="A36" s="37" t="n">
        <v>46280</v>
      </c>
      <c r="B36" s="32" t="inlineStr">
        <is>
          <t>Ana Costa</t>
        </is>
      </c>
      <c r="C36" s="35" t="inlineStr">
        <is>
          <t>Dr. Paulo Andrade</t>
        </is>
      </c>
      <c r="D36" s="35" t="inlineStr">
        <is>
          <t>Exame cardiológico</t>
        </is>
      </c>
      <c r="E36" s="32" t="inlineStr">
        <is>
          <t>Holter</t>
        </is>
      </c>
      <c r="F36" s="38" t="n">
        <v>350</v>
      </c>
      <c r="G36" s="35" t="inlineStr">
        <is>
          <t>Aprovado</t>
        </is>
      </c>
      <c r="H36" s="37" t="n">
        <v>46276</v>
      </c>
      <c r="I36" s="35" t="n"/>
      <c r="J36" s="32" t="inlineStr">
        <is>
          <t>Agendado para 21/09</t>
        </is>
      </c>
      <c r="K36" s="30">
        <f>IF(G36="","",IFERROR(INDEX(Config!$B$10:$B$14,MATCH(G36,Config!$A$10:$A$14,0)),0))</f>
        <v>1</v>
      </c>
      <c r="L36" s="26">
        <f>IF(OR(G36="",F36=""),"",F36*K36)</f>
        <v>350</v>
      </c>
      <c r="M36" s="29">
        <f>IF(OR(G36="",G36="Aprovado",G36="Recusado",G36="Sem retorno",A36=""),"",Config!$B$5-A36)</f>
        <v/>
      </c>
      <c r="N36" s="29">
        <f>IF(AND(OR(G36="Aprovado",G36="Recusado"),H36&lt;&gt;"",A36&lt;&gt;""),H36-A36,"")</f>
        <v>-4</v>
      </c>
      <c r="O36" s="25" t="str">
        <f>IF(G36="","",IF(OR(G36="Aprovado",G36="Recusado",G36="Sem retorno"),G36,IF(AND(M36&lt;&gt;"",M36&gt;Config!$B$7),"Parado","Ativo")))</f>
        <v>Aprovado</v>
      </c>
      <c r="P36" s="39">
        <f>IF(A36="","",DATE(YEAR(A36),MONTH(A36),1))</f>
        <v>46266.0</v>
      </c>
      <c r="Q36" s="40">
        <f>IF(OR(G36="",O36="Aprovado",O36="Recusado",O36="Sem retorno"),0,IF(O36="Parado",2000,1000)+MIN(N(M36),500)+N(F36)/1000000-ROW()/100000)</f>
        <v>0</v>
      </c>
    </row>
    <row r="37">
      <c r="A37" s="37" t="n">
        <v>46283</v>
      </c>
      <c r="B37" s="32" t="inlineStr">
        <is>
          <t>Viviane Ribeiro</t>
        </is>
      </c>
      <c r="C37" s="35" t="inlineStr">
        <is>
          <t>Dr. Paulo Andrade</t>
        </is>
      </c>
      <c r="D37" s="35" t="inlineStr">
        <is>
          <t>Exame cardiológico</t>
        </is>
      </c>
      <c r="E37" s="32" t="inlineStr">
        <is>
          <t>MAPA</t>
        </is>
      </c>
      <c r="F37" s="38" t="n">
        <v>300</v>
      </c>
      <c r="G37" s="35" t="inlineStr">
        <is>
          <t>Aprovado</t>
        </is>
      </c>
      <c r="H37" s="37" t="n">
        <v>46276</v>
      </c>
      <c r="I37" s="35" t="n"/>
      <c r="J37" s="32" t="inlineStr">
        <is>
          <t>Agendado para 05/10</t>
        </is>
      </c>
      <c r="K37" s="30">
        <f>IF(G37="","",IFERROR(INDEX(Config!$B$10:$B$14,MATCH(G37,Config!$A$10:$A$14,0)),0))</f>
        <v>1</v>
      </c>
      <c r="L37" s="26">
        <f>IF(OR(G37="",F37=""),"",F37*K37)</f>
        <v>300</v>
      </c>
      <c r="M37" s="29">
        <f>IF(OR(G37="",G37="Aprovado",G37="Recusado",G37="Sem retorno",A37=""),"",Config!$B$5-A37)</f>
        <v/>
      </c>
      <c r="N37" s="29">
        <f>IF(AND(OR(G37="Aprovado",G37="Recusado"),H37&lt;&gt;"",A37&lt;&gt;""),H37-A37,"")</f>
        <v>-7</v>
      </c>
      <c r="O37" s="25" t="str">
        <f>IF(G37="","",IF(OR(G37="Aprovado",G37="Recusado",G37="Sem retorno"),G37,IF(AND(M37&lt;&gt;"",M37&gt;Config!$B$7),"Parado","Ativo")))</f>
        <v>Aprovado</v>
      </c>
      <c r="P37" s="39">
        <f>IF(A37="","",DATE(YEAR(A37),MONTH(A37),1))</f>
        <v>46266.0</v>
      </c>
      <c r="Q37" s="40">
        <f>IF(OR(G37="",O37="Aprovado",O37="Recusado",O37="Sem retorno"),0,IF(O37="Parado",2000,1000)+MIN(N(M37),500)+N(F37)/1000000-ROW()/100000)</f>
        <v>0</v>
      </c>
    </row>
    <row r="38">
      <c r="A38" s="37" t="n">
        <v>46286</v>
      </c>
      <c r="B38" s="32" t="inlineStr">
        <is>
          <t>Wagner Costa</t>
        </is>
      </c>
      <c r="C38" s="35" t="inlineStr">
        <is>
          <t>Dr. Paulo Andrade</t>
        </is>
      </c>
      <c r="D38" s="35" t="inlineStr">
        <is>
          <t>Exame cardiológico</t>
        </is>
      </c>
      <c r="E38" s="32" t="inlineStr">
        <is>
          <t>MAPA</t>
        </is>
      </c>
      <c r="F38" s="38" t="n">
        <v>300</v>
      </c>
      <c r="G38" s="35" t="inlineStr">
        <is>
          <t>Aprovado</t>
        </is>
      </c>
      <c r="H38" s="37" t="n">
        <v>46276</v>
      </c>
      <c r="I38" s="35" t="n"/>
      <c r="J38" s="32" t="inlineStr">
        <is>
          <t>Agendado para 01/10</t>
        </is>
      </c>
      <c r="K38" s="30">
        <f>IF(G38="","",IFERROR(INDEX(Config!$B$10:$B$14,MATCH(G38,Config!$A$10:$A$14,0)),0))</f>
        <v>1</v>
      </c>
      <c r="L38" s="26">
        <f>IF(OR(G38="",F38=""),"",F38*K38)</f>
        <v>300</v>
      </c>
      <c r="M38" s="29">
        <f>IF(OR(G38="",G38="Aprovado",G38="Recusado",G38="Sem retorno",A38=""),"",Config!$B$5-A38)</f>
        <v/>
      </c>
      <c r="N38" s="29">
        <f>IF(AND(OR(G38="Aprovado",G38="Recusado"),H38&lt;&gt;"",A38&lt;&gt;""),H38-A38,"")</f>
        <v>-10</v>
      </c>
      <c r="O38" s="25" t="str">
        <f>IF(G38="","",IF(OR(G38="Aprovado",G38="Recusado",G38="Sem retorno"),G38,IF(AND(M38&lt;&gt;"",M38&gt;Config!$B$7),"Parado","Ativo")))</f>
        <v>Aprovado</v>
      </c>
      <c r="P38" s="39">
        <f>IF(A38="","",DATE(YEAR(A38),MONTH(A38),1))</f>
        <v>46266.0</v>
      </c>
      <c r="Q38" s="40">
        <f>IF(OR(G38="",O38="Aprovado",O38="Recusado",O38="Sem retorno"),0,IF(O38="Parado",2000,1000)+MIN(N(M38),500)+N(F38)/1000000-ROW()/100000)</f>
        <v>0</v>
      </c>
    </row>
    <row r="39">
      <c r="A39" s="37" t="n">
        <v>46295</v>
      </c>
      <c r="B39" s="32" t="inlineStr">
        <is>
          <t>Gisele Ribeiro</t>
        </is>
      </c>
      <c r="C39" s="35" t="inlineStr">
        <is>
          <t>Dr. Paulo Andrade</t>
        </is>
      </c>
      <c r="D39" s="35" t="inlineStr">
        <is>
          <t>Exame cardiológico</t>
        </is>
      </c>
      <c r="E39" s="32" t="inlineStr">
        <is>
          <t>Teste ergométrico</t>
        </is>
      </c>
      <c r="F39" s="38" t="n">
        <v>450</v>
      </c>
      <c r="G39" s="35" t="inlineStr">
        <is>
          <t>Aprovado</t>
        </is>
      </c>
      <c r="H39" s="37" t="n">
        <v>46276</v>
      </c>
      <c r="I39" s="35" t="n"/>
      <c r="J39" s="32" t="inlineStr">
        <is>
          <t>Agendado para 05/10</t>
        </is>
      </c>
      <c r="K39" s="30">
        <f>IF(G39="","",IFERROR(INDEX(Config!$B$10:$B$14,MATCH(G39,Config!$A$10:$A$14,0)),0))</f>
        <v>1</v>
      </c>
      <c r="L39" s="26">
        <f>IF(OR(G39="",F39=""),"",F39*K39)</f>
        <v>450</v>
      </c>
      <c r="M39" s="29">
        <f>IF(OR(G39="",G39="Aprovado",G39="Recusado",G39="Sem retorno",A39=""),"",Config!$B$5-A39)</f>
        <v/>
      </c>
      <c r="N39" s="29">
        <f>IF(AND(OR(G39="Aprovado",G39="Recusado"),H39&lt;&gt;"",A39&lt;&gt;""),H39-A39,"")</f>
        <v>-19</v>
      </c>
      <c r="O39" s="25" t="str">
        <f>IF(G39="","",IF(OR(G39="Aprovado",G39="Recusado",G39="Sem retorno"),G39,IF(AND(M39&lt;&gt;"",M39&gt;Config!$B$7),"Parado","Ativo")))</f>
        <v>Aprovado</v>
      </c>
      <c r="P39" s="39">
        <f>IF(A39="","",DATE(YEAR(A39),MONTH(A39),1))</f>
        <v>46266.0</v>
      </c>
      <c r="Q39" s="40">
        <f>IF(OR(G39="",O39="Aprovado",O39="Recusado",O39="Sem retorno"),0,IF(O39="Parado",2000,1000)+MIN(N(M39),500)+N(F39)/1000000-ROW()/100000)</f>
        <v>0</v>
      </c>
    </row>
    <row r="40">
      <c r="A40" s="37" t="n"/>
      <c r="B40" s="32" t="n"/>
      <c r="C40" s="35" t="n"/>
      <c r="D40" s="35" t="n"/>
      <c r="E40" s="32" t="n"/>
      <c r="F40" s="38" t="n"/>
      <c r="G40" s="35" t="n"/>
      <c r="H40" s="37" t="n"/>
      <c r="I40" s="35" t="n"/>
      <c r="J40" s="32" t="n"/>
      <c r="K40" s="30">
        <f>IF(G40="","",IFERROR(INDEX(Config!$B$10:$B$14,MATCH(G40,Config!$A$10:$A$14,0)),0))</f>
        <v/>
      </c>
      <c r="L40" s="26">
        <f>IF(OR(G40="",F40=""),"",F40*K40)</f>
        <v/>
      </c>
      <c r="M40" s="29">
        <f>IF(OR(G40="",G40="Aprovado",G40="Recusado",G40="Sem retorno",A40=""),"",Config!$B$5-A40)</f>
        <v/>
      </c>
      <c r="N40" s="29">
        <f>IF(AND(OR(G40="Aprovado",G40="Recusado"),H40&lt;&gt;"",A40&lt;&gt;""),H40-A40,"")</f>
        <v/>
      </c>
      <c r="O40" s="25">
        <f>IF(G40="","",IF(OR(G40="Aprovado",G40="Recusado",G40="Sem retorno"),G40,IF(AND(M40&lt;&gt;"",M40&gt;Config!$B$7),"Parado","Ativo")))</f>
        <v/>
      </c>
      <c r="P40" s="39">
        <f>IF(A40="","",DATE(YEAR(A40),MONTH(A40),1))</f>
        <v/>
      </c>
      <c r="Q40" s="40">
        <f>IF(OR(G40="",O40="Aprovado",O40="Recusado",O40="Sem retorno"),0,IF(O40="Parado",2000,1000)+MIN(N(M40),500)+N(F40)/1000000-ROW()/100000)</f>
        <v>0</v>
      </c>
    </row>
    <row r="41">
      <c r="A41" s="37" t="n"/>
      <c r="B41" s="32" t="n"/>
      <c r="C41" s="35" t="n"/>
      <c r="D41" s="35" t="n"/>
      <c r="E41" s="32" t="n"/>
      <c r="F41" s="38" t="n"/>
      <c r="G41" s="35" t="n"/>
      <c r="H41" s="37" t="n"/>
      <c r="I41" s="35" t="n"/>
      <c r="J41" s="32" t="n"/>
      <c r="K41" s="30">
        <f>IF(G41="","",IFERROR(INDEX(Config!$B$10:$B$14,MATCH(G41,Config!$A$10:$A$14,0)),0))</f>
        <v/>
      </c>
      <c r="L41" s="26">
        <f>IF(OR(G41="",F41=""),"",F41*K41)</f>
        <v/>
      </c>
      <c r="M41" s="29">
        <f>IF(OR(G41="",G41="Aprovado",G41="Recusado",G41="Sem retorno",A41=""),"",Config!$B$5-A41)</f>
        <v/>
      </c>
      <c r="N41" s="29">
        <f>IF(AND(OR(G41="Aprovado",G41="Recusado"),H41&lt;&gt;"",A41&lt;&gt;""),H41-A41,"")</f>
        <v/>
      </c>
      <c r="O41" s="25">
        <f>IF(G41="","",IF(OR(G41="Aprovado",G41="Recusado",G41="Sem retorno"),G41,IF(AND(M41&lt;&gt;"",M41&gt;Config!$B$7),"Parado","Ativo")))</f>
        <v/>
      </c>
      <c r="P41" s="39">
        <f>IF(A41="","",DATE(YEAR(A41),MONTH(A41),1))</f>
        <v/>
      </c>
      <c r="Q41" s="40">
        <f>IF(OR(G41="",O41="Aprovado",O41="Recusado",O41="Sem retorno"),0,IF(O41="Parado",2000,1000)+MIN(N(M41),500)+N(F41)/1000000-ROW()/100000)</f>
        <v>0</v>
      </c>
    </row>
    <row r="42">
      <c r="A42" s="37" t="n"/>
      <c r="B42" s="32" t="n"/>
      <c r="C42" s="35" t="n"/>
      <c r="D42" s="35" t="n"/>
      <c r="E42" s="32" t="n"/>
      <c r="F42" s="38" t="n"/>
      <c r="G42" s="35" t="n"/>
      <c r="H42" s="37" t="n"/>
      <c r="I42" s="35" t="n"/>
      <c r="J42" s="32" t="n"/>
      <c r="K42" s="30">
        <f>IF(G42="","",IFERROR(INDEX(Config!$B$10:$B$14,MATCH(G42,Config!$A$10:$A$14,0)),0))</f>
        <v/>
      </c>
      <c r="L42" s="26">
        <f>IF(OR(G42="",F42=""),"",F42*K42)</f>
        <v/>
      </c>
      <c r="M42" s="29">
        <f>IF(OR(G42="",G42="Aprovado",G42="Recusado",G42="Sem retorno",A42=""),"",Config!$B$5-A42)</f>
        <v/>
      </c>
      <c r="N42" s="29">
        <f>IF(AND(OR(G42="Aprovado",G42="Recusado"),H42&lt;&gt;"",A42&lt;&gt;""),H42-A42,"")</f>
        <v/>
      </c>
      <c r="O42" s="25">
        <f>IF(G42="","",IF(OR(G42="Aprovado",G42="Recusado",G42="Sem retorno"),G42,IF(AND(M42&lt;&gt;"",M42&gt;Config!$B$7),"Parado","Ativo")))</f>
        <v/>
      </c>
      <c r="P42" s="39">
        <f>IF(A42="","",DATE(YEAR(A42),MONTH(A42),1))</f>
        <v/>
      </c>
      <c r="Q42" s="40">
        <f>IF(OR(G42="",O42="Aprovado",O42="Recusado",O42="Sem retorno"),0,IF(O42="Parado",2000,1000)+MIN(N(M42),500)+N(F42)/1000000-ROW()/100000)</f>
        <v>0</v>
      </c>
    </row>
    <row r="43">
      <c r="A43" s="37" t="n"/>
      <c r="B43" s="32" t="n"/>
      <c r="C43" s="35" t="n"/>
      <c r="D43" s="35" t="n"/>
      <c r="E43" s="32" t="n"/>
      <c r="F43" s="38" t="n"/>
      <c r="G43" s="35" t="n"/>
      <c r="H43" s="37" t="n"/>
      <c r="I43" s="35" t="n"/>
      <c r="J43" s="32" t="n"/>
      <c r="K43" s="30">
        <f>IF(G43="","",IFERROR(INDEX(Config!$B$10:$B$14,MATCH(G43,Config!$A$10:$A$14,0)),0))</f>
        <v/>
      </c>
      <c r="L43" s="26">
        <f>IF(OR(G43="",F43=""),"",F43*K43)</f>
        <v/>
      </c>
      <c r="M43" s="29">
        <f>IF(OR(G43="",G43="Aprovado",G43="Recusado",G43="Sem retorno",A43=""),"",Config!$B$5-A43)</f>
        <v/>
      </c>
      <c r="N43" s="29">
        <f>IF(AND(OR(G43="Aprovado",G43="Recusado"),H43&lt;&gt;"",A43&lt;&gt;""),H43-A43,"")</f>
        <v/>
      </c>
      <c r="O43" s="25">
        <f>IF(G43="","",IF(OR(G43="Aprovado",G43="Recusado",G43="Sem retorno"),G43,IF(AND(M43&lt;&gt;"",M43&gt;Config!$B$7),"Parado","Ativo")))</f>
        <v/>
      </c>
      <c r="P43" s="39">
        <f>IF(A43="","",DATE(YEAR(A43),MONTH(A43),1))</f>
        <v/>
      </c>
      <c r="Q43" s="40">
        <f>IF(OR(G43="",O43="Aprovado",O43="Recusado",O43="Sem retorno"),0,IF(O43="Parado",2000,1000)+MIN(N(M43),500)+N(F43)/1000000-ROW()/100000)</f>
        <v>0</v>
      </c>
    </row>
    <row r="44">
      <c r="A44" s="37" t="n"/>
      <c r="B44" s="32" t="n"/>
      <c r="C44" s="35" t="n"/>
      <c r="D44" s="35" t="n"/>
      <c r="E44" s="32" t="n"/>
      <c r="F44" s="38" t="n"/>
      <c r="G44" s="35" t="n"/>
      <c r="H44" s="37" t="n"/>
      <c r="I44" s="35" t="n"/>
      <c r="J44" s="32" t="n"/>
      <c r="K44" s="30">
        <f>IF(G44="","",IFERROR(INDEX(Config!$B$10:$B$14,MATCH(G44,Config!$A$10:$A$14,0)),0))</f>
        <v/>
      </c>
      <c r="L44" s="26">
        <f>IF(OR(G44="",F44=""),"",F44*K44)</f>
        <v/>
      </c>
      <c r="M44" s="29">
        <f>IF(OR(G44="",G44="Aprovado",G44="Recusado",G44="Sem retorno",A44=""),"",Config!$B$5-A44)</f>
        <v/>
      </c>
      <c r="N44" s="29">
        <f>IF(AND(OR(G44="Aprovado",G44="Recusado"),H44&lt;&gt;"",A44&lt;&gt;""),H44-A44,"")</f>
        <v/>
      </c>
      <c r="O44" s="25">
        <f>IF(G44="","",IF(OR(G44="Aprovado",G44="Recusado",G44="Sem retorno"),G44,IF(AND(M44&lt;&gt;"",M44&gt;Config!$B$7),"Parado","Ativo")))</f>
        <v/>
      </c>
      <c r="P44" s="39">
        <f>IF(A44="","",DATE(YEAR(A44),MONTH(A44),1))</f>
        <v/>
      </c>
      <c r="Q44" s="40">
        <f>IF(OR(G44="",O44="Aprovado",O44="Recusado",O44="Sem retorno"),0,IF(O44="Parado",2000,1000)+MIN(N(M44),500)+N(F44)/1000000-ROW()/100000)</f>
        <v>0</v>
      </c>
    </row>
    <row r="45">
      <c r="A45" s="37" t="n"/>
      <c r="B45" s="32" t="n"/>
      <c r="C45" s="35" t="n"/>
      <c r="D45" s="35" t="n"/>
      <c r="E45" s="32" t="n"/>
      <c r="F45" s="38" t="n"/>
      <c r="G45" s="35" t="n"/>
      <c r="H45" s="37" t="n"/>
      <c r="I45" s="35" t="n"/>
      <c r="J45" s="32" t="n"/>
      <c r="K45" s="30">
        <f>IF(G45="","",IFERROR(INDEX(Config!$B$10:$B$14,MATCH(G45,Config!$A$10:$A$14,0)),0))</f>
        <v/>
      </c>
      <c r="L45" s="26">
        <f>IF(OR(G45="",F45=""),"",F45*K45)</f>
        <v/>
      </c>
      <c r="M45" s="29">
        <f>IF(OR(G45="",G45="Aprovado",G45="Recusado",G45="Sem retorno",A45=""),"",Config!$B$5-A45)</f>
        <v/>
      </c>
      <c r="N45" s="29">
        <f>IF(AND(OR(G45="Aprovado",G45="Recusado"),H45&lt;&gt;"",A45&lt;&gt;""),H45-A45,"")</f>
        <v/>
      </c>
      <c r="O45" s="25">
        <f>IF(G45="","",IF(OR(G45="Aprovado",G45="Recusado",G45="Sem retorno"),G45,IF(AND(M45&lt;&gt;"",M45&gt;Config!$B$7),"Parado","Ativo")))</f>
        <v/>
      </c>
      <c r="P45" s="39">
        <f>IF(A45="","",DATE(YEAR(A45),MONTH(A45),1))</f>
        <v/>
      </c>
      <c r="Q45" s="40">
        <f>IF(OR(G45="",O45="Aprovado",O45="Recusado",O45="Sem retorno"),0,IF(O45="Parado",2000,1000)+MIN(N(M45),500)+N(F45)/1000000-ROW()/100000)</f>
        <v>0</v>
      </c>
    </row>
    <row r="46">
      <c r="A46" s="37" t="n"/>
      <c r="B46" s="32" t="n"/>
      <c r="C46" s="35" t="n"/>
      <c r="D46" s="35" t="n"/>
      <c r="E46" s="32" t="n"/>
      <c r="F46" s="38" t="n"/>
      <c r="G46" s="35" t="n"/>
      <c r="H46" s="37" t="n"/>
      <c r="I46" s="35" t="n"/>
      <c r="J46" s="32" t="n"/>
      <c r="K46" s="30">
        <f>IF(G46="","",IFERROR(INDEX(Config!$B$10:$B$14,MATCH(G46,Config!$A$10:$A$14,0)),0))</f>
        <v/>
      </c>
      <c r="L46" s="26">
        <f>IF(OR(G46="",F46=""),"",F46*K46)</f>
        <v/>
      </c>
      <c r="M46" s="29">
        <f>IF(OR(G46="",G46="Aprovado",G46="Recusado",G46="Sem retorno",A46=""),"",Config!$B$5-A46)</f>
        <v/>
      </c>
      <c r="N46" s="29">
        <f>IF(AND(OR(G46="Aprovado",G46="Recusado"),H46&lt;&gt;"",A46&lt;&gt;""),H46-A46,"")</f>
        <v/>
      </c>
      <c r="O46" s="25">
        <f>IF(G46="","",IF(OR(G46="Aprovado",G46="Recusado",G46="Sem retorno"),G46,IF(AND(M46&lt;&gt;"",M46&gt;Config!$B$7),"Parado","Ativo")))</f>
        <v/>
      </c>
      <c r="P46" s="39">
        <f>IF(A46="","",DATE(YEAR(A46),MONTH(A46),1))</f>
        <v/>
      </c>
      <c r="Q46" s="40">
        <f>IF(OR(G46="",O46="Aprovado",O46="Recusado",O46="Sem retorno"),0,IF(O46="Parado",2000,1000)+MIN(N(M46),500)+N(F46)/1000000-ROW()/100000)</f>
        <v>0</v>
      </c>
    </row>
    <row r="47">
      <c r="A47" s="37" t="n"/>
      <c r="B47" s="32" t="n"/>
      <c r="C47" s="35" t="n"/>
      <c r="D47" s="35" t="n"/>
      <c r="E47" s="32" t="n"/>
      <c r="F47" s="38" t="n"/>
      <c r="G47" s="35" t="n"/>
      <c r="H47" s="37" t="n"/>
      <c r="I47" s="35" t="n"/>
      <c r="J47" s="32" t="n"/>
      <c r="K47" s="30">
        <f>IF(G47="","",IFERROR(INDEX(Config!$B$10:$B$14,MATCH(G47,Config!$A$10:$A$14,0)),0))</f>
        <v/>
      </c>
      <c r="L47" s="26">
        <f>IF(OR(G47="",F47=""),"",F47*K47)</f>
        <v/>
      </c>
      <c r="M47" s="29">
        <f>IF(OR(G47="",G47="Aprovado",G47="Recusado",G47="Sem retorno",A47=""),"",Config!$B$5-A47)</f>
        <v/>
      </c>
      <c r="N47" s="29">
        <f>IF(AND(OR(G47="Aprovado",G47="Recusado"),H47&lt;&gt;"",A47&lt;&gt;""),H47-A47,"")</f>
        <v/>
      </c>
      <c r="O47" s="25">
        <f>IF(G47="","",IF(OR(G47="Aprovado",G47="Recusado",G47="Sem retorno"),G47,IF(AND(M47&lt;&gt;"",M47&gt;Config!$B$7),"Parado","Ativo")))</f>
        <v/>
      </c>
      <c r="P47" s="39">
        <f>IF(A47="","",DATE(YEAR(A47),MONTH(A47),1))</f>
        <v/>
      </c>
      <c r="Q47" s="40">
        <f>IF(OR(G47="",O47="Aprovado",O47="Recusado",O47="Sem retorno"),0,IF(O47="Parado",2000,1000)+MIN(N(M47),500)+N(F47)/1000000-ROW()/100000)</f>
        <v>0</v>
      </c>
    </row>
    <row r="48">
      <c r="A48" s="37" t="n"/>
      <c r="B48" s="32" t="n"/>
      <c r="C48" s="35" t="n"/>
      <c r="D48" s="35" t="n"/>
      <c r="E48" s="32" t="n"/>
      <c r="F48" s="38" t="n"/>
      <c r="G48" s="35" t="n"/>
      <c r="H48" s="37" t="n"/>
      <c r="I48" s="35" t="n"/>
      <c r="J48" s="32" t="n"/>
      <c r="K48" s="30">
        <f>IF(G48="","",IFERROR(INDEX(Config!$B$10:$B$14,MATCH(G48,Config!$A$10:$A$14,0)),0))</f>
        <v/>
      </c>
      <c r="L48" s="26">
        <f>IF(OR(G48="",F48=""),"",F48*K48)</f>
        <v/>
      </c>
      <c r="M48" s="29">
        <f>IF(OR(G48="",G48="Aprovado",G48="Recusado",G48="Sem retorno",A48=""),"",Config!$B$5-A48)</f>
        <v/>
      </c>
      <c r="N48" s="29">
        <f>IF(AND(OR(G48="Aprovado",G48="Recusado"),H48&lt;&gt;"",A48&lt;&gt;""),H48-A48,"")</f>
        <v/>
      </c>
      <c r="O48" s="25">
        <f>IF(G48="","",IF(OR(G48="Aprovado",G48="Recusado",G48="Sem retorno"),G48,IF(AND(M48&lt;&gt;"",M48&gt;Config!$B$7),"Parado","Ativo")))</f>
        <v/>
      </c>
      <c r="P48" s="39">
        <f>IF(A48="","",DATE(YEAR(A48),MONTH(A48),1))</f>
        <v/>
      </c>
      <c r="Q48" s="40">
        <f>IF(OR(G48="",O48="Aprovado",O48="Recusado",O48="Sem retorno"),0,IF(O48="Parado",2000,1000)+MIN(N(M48),500)+N(F48)/1000000-ROW()/100000)</f>
        <v>0</v>
      </c>
    </row>
    <row r="49">
      <c r="A49" s="37" t="n"/>
      <c r="B49" s="32" t="n"/>
      <c r="C49" s="35" t="n"/>
      <c r="D49" s="35" t="n"/>
      <c r="E49" s="32" t="n"/>
      <c r="F49" s="38" t="n"/>
      <c r="G49" s="35" t="n"/>
      <c r="H49" s="37" t="n"/>
      <c r="I49" s="35" t="n"/>
      <c r="J49" s="32" t="n"/>
      <c r="K49" s="30">
        <f>IF(G49="","",IFERROR(INDEX(Config!$B$10:$B$14,MATCH(G49,Config!$A$10:$A$14,0)),0))</f>
        <v/>
      </c>
      <c r="L49" s="26">
        <f>IF(OR(G49="",F49=""),"",F49*K49)</f>
        <v/>
      </c>
      <c r="M49" s="29">
        <f>IF(OR(G49="",G49="Aprovado",G49="Recusado",G49="Sem retorno",A49=""),"",Config!$B$5-A49)</f>
        <v/>
      </c>
      <c r="N49" s="29">
        <f>IF(AND(OR(G49="Aprovado",G49="Recusado"),H49&lt;&gt;"",A49&lt;&gt;""),H49-A49,"")</f>
        <v/>
      </c>
      <c r="O49" s="25">
        <f>IF(G49="","",IF(OR(G49="Aprovado",G49="Recusado",G49="Sem retorno"),G49,IF(AND(M49&lt;&gt;"",M49&gt;Config!$B$7),"Parado","Ativo")))</f>
        <v/>
      </c>
      <c r="P49" s="39">
        <f>IF(A49="","",DATE(YEAR(A49),MONTH(A49),1))</f>
        <v/>
      </c>
      <c r="Q49" s="40">
        <f>IF(OR(G49="",O49="Aprovado",O49="Recusado",O49="Sem retorno"),0,IF(O49="Parado",2000,1000)+MIN(N(M49),500)+N(F49)/1000000-ROW()/100000)</f>
        <v>0</v>
      </c>
    </row>
    <row r="50">
      <c r="A50" s="37" t="n"/>
      <c r="B50" s="32" t="n"/>
      <c r="C50" s="35" t="n"/>
      <c r="D50" s="35" t="n"/>
      <c r="E50" s="32" t="n"/>
      <c r="F50" s="38" t="n"/>
      <c r="G50" s="35" t="n"/>
      <c r="H50" s="37" t="n"/>
      <c r="I50" s="35" t="n"/>
      <c r="J50" s="32" t="n"/>
      <c r="K50" s="30">
        <f>IF(G50="","",IFERROR(INDEX(Config!$B$10:$B$14,MATCH(G50,Config!$A$10:$A$14,0)),0))</f>
        <v/>
      </c>
      <c r="L50" s="26">
        <f>IF(OR(G50="",F50=""),"",F50*K50)</f>
        <v/>
      </c>
      <c r="M50" s="29">
        <f>IF(OR(G50="",G50="Aprovado",G50="Recusado",G50="Sem retorno",A50=""),"",Config!$B$5-A50)</f>
        <v/>
      </c>
      <c r="N50" s="29">
        <f>IF(AND(OR(G50="Aprovado",G50="Recusado"),H50&lt;&gt;"",A50&lt;&gt;""),H50-A50,"")</f>
        <v/>
      </c>
      <c r="O50" s="25">
        <f>IF(G50="","",IF(OR(G50="Aprovado",G50="Recusado",G50="Sem retorno"),G50,IF(AND(M50&lt;&gt;"",M50&gt;Config!$B$7),"Parado","Ativo")))</f>
        <v/>
      </c>
      <c r="P50" s="39">
        <f>IF(A50="","",DATE(YEAR(A50),MONTH(A50),1))</f>
        <v/>
      </c>
      <c r="Q50" s="40">
        <f>IF(OR(G50="",O50="Aprovado",O50="Recusado",O50="Sem retorno"),0,IF(O50="Parado",2000,1000)+MIN(N(M50),500)+N(F50)/1000000-ROW()/100000)</f>
        <v>0</v>
      </c>
    </row>
    <row r="51">
      <c r="A51" s="37" t="n"/>
      <c r="B51" s="32" t="n"/>
      <c r="C51" s="35" t="n"/>
      <c r="D51" s="35" t="n"/>
      <c r="E51" s="32" t="n"/>
      <c r="F51" s="38" t="n"/>
      <c r="G51" s="35" t="n"/>
      <c r="H51" s="37" t="n"/>
      <c r="I51" s="35" t="n"/>
      <c r="J51" s="32" t="n"/>
      <c r="K51" s="30">
        <f>IF(G51="","",IFERROR(INDEX(Config!$B$10:$B$14,MATCH(G51,Config!$A$10:$A$14,0)),0))</f>
        <v/>
      </c>
      <c r="L51" s="26">
        <f>IF(OR(G51="",F51=""),"",F51*K51)</f>
        <v/>
      </c>
      <c r="M51" s="29">
        <f>IF(OR(G51="",G51="Aprovado",G51="Recusado",G51="Sem retorno",A51=""),"",Config!$B$5-A51)</f>
        <v/>
      </c>
      <c r="N51" s="29">
        <f>IF(AND(OR(G51="Aprovado",G51="Recusado"),H51&lt;&gt;"",A51&lt;&gt;""),H51-A51,"")</f>
        <v/>
      </c>
      <c r="O51" s="25">
        <f>IF(G51="","",IF(OR(G51="Aprovado",G51="Recusado",G51="Sem retorno"),G51,IF(AND(M51&lt;&gt;"",M51&gt;Config!$B$7),"Parado","Ativo")))</f>
        <v/>
      </c>
      <c r="P51" s="39">
        <f>IF(A51="","",DATE(YEAR(A51),MONTH(A51),1))</f>
        <v/>
      </c>
      <c r="Q51" s="40">
        <f>IF(OR(G51="",O51="Aprovado",O51="Recusado",O51="Sem retorno"),0,IF(O51="Parado",2000,1000)+MIN(N(M51),500)+N(F51)/1000000-ROW()/100000)</f>
        <v>0</v>
      </c>
    </row>
    <row r="52">
      <c r="A52" s="37" t="n"/>
      <c r="B52" s="32" t="n"/>
      <c r="C52" s="35" t="n"/>
      <c r="D52" s="35" t="n"/>
      <c r="E52" s="32" t="n"/>
      <c r="F52" s="38" t="n"/>
      <c r="G52" s="35" t="n"/>
      <c r="H52" s="37" t="n"/>
      <c r="I52" s="35" t="n"/>
      <c r="J52" s="32" t="n"/>
      <c r="K52" s="30">
        <f>IF(G52="","",IFERROR(INDEX(Config!$B$10:$B$14,MATCH(G52,Config!$A$10:$A$14,0)),0))</f>
        <v/>
      </c>
      <c r="L52" s="26">
        <f>IF(OR(G52="",F52=""),"",F52*K52)</f>
        <v/>
      </c>
      <c r="M52" s="29">
        <f>IF(OR(G52="",G52="Aprovado",G52="Recusado",G52="Sem retorno",A52=""),"",Config!$B$5-A52)</f>
        <v/>
      </c>
      <c r="N52" s="29">
        <f>IF(AND(OR(G52="Aprovado",G52="Recusado"),H52&lt;&gt;"",A52&lt;&gt;""),H52-A52,"")</f>
        <v/>
      </c>
      <c r="O52" s="25">
        <f>IF(G52="","",IF(OR(G52="Aprovado",G52="Recusado",G52="Sem retorno"),G52,IF(AND(M52&lt;&gt;"",M52&gt;Config!$B$7),"Parado","Ativo")))</f>
        <v/>
      </c>
      <c r="P52" s="39">
        <f>IF(A52="","",DATE(YEAR(A52),MONTH(A52),1))</f>
        <v/>
      </c>
      <c r="Q52" s="40">
        <f>IF(OR(G52="",O52="Aprovado",O52="Recusado",O52="Sem retorno"),0,IF(O52="Parado",2000,1000)+MIN(N(M52),500)+N(F52)/1000000-ROW()/100000)</f>
        <v>0</v>
      </c>
    </row>
    <row r="53">
      <c r="A53" s="37" t="n"/>
      <c r="B53" s="32" t="n"/>
      <c r="C53" s="35" t="n"/>
      <c r="D53" s="35" t="n"/>
      <c r="E53" s="32" t="n"/>
      <c r="F53" s="38" t="n"/>
      <c r="G53" s="35" t="n"/>
      <c r="H53" s="37" t="n"/>
      <c r="I53" s="35" t="n"/>
      <c r="J53" s="32" t="n"/>
      <c r="K53" s="30">
        <f>IF(G53="","",IFERROR(INDEX(Config!$B$10:$B$14,MATCH(G53,Config!$A$10:$A$14,0)),0))</f>
        <v/>
      </c>
      <c r="L53" s="26">
        <f>IF(OR(G53="",F53=""),"",F53*K53)</f>
        <v/>
      </c>
      <c r="M53" s="29">
        <f>IF(OR(G53="",G53="Aprovado",G53="Recusado",G53="Sem retorno",A53=""),"",Config!$B$5-A53)</f>
        <v/>
      </c>
      <c r="N53" s="29">
        <f>IF(AND(OR(G53="Aprovado",G53="Recusado"),H53&lt;&gt;"",A53&lt;&gt;""),H53-A53,"")</f>
        <v/>
      </c>
      <c r="O53" s="25">
        <f>IF(G53="","",IF(OR(G53="Aprovado",G53="Recusado",G53="Sem retorno"),G53,IF(AND(M53&lt;&gt;"",M53&gt;Config!$B$7),"Parado","Ativo")))</f>
        <v/>
      </c>
      <c r="P53" s="39">
        <f>IF(A53="","",DATE(YEAR(A53),MONTH(A53),1))</f>
        <v/>
      </c>
      <c r="Q53" s="40">
        <f>IF(OR(G53="",O53="Aprovado",O53="Recusado",O53="Sem retorno"),0,IF(O53="Parado",2000,1000)+MIN(N(M53),500)+N(F53)/1000000-ROW()/100000)</f>
        <v>0</v>
      </c>
    </row>
    <row r="54">
      <c r="A54" s="37" t="n"/>
      <c r="B54" s="32" t="n"/>
      <c r="C54" s="35" t="n"/>
      <c r="D54" s="35" t="n"/>
      <c r="E54" s="32" t="n"/>
      <c r="F54" s="38" t="n"/>
      <c r="G54" s="35" t="n"/>
      <c r="H54" s="37" t="n"/>
      <c r="I54" s="35" t="n"/>
      <c r="J54" s="32" t="n"/>
      <c r="K54" s="30">
        <f>IF(G54="","",IFERROR(INDEX(Config!$B$10:$B$14,MATCH(G54,Config!$A$10:$A$14,0)),0))</f>
        <v/>
      </c>
      <c r="L54" s="26">
        <f>IF(OR(G54="",F54=""),"",F54*K54)</f>
        <v/>
      </c>
      <c r="M54" s="29">
        <f>IF(OR(G54="",G54="Aprovado",G54="Recusado",G54="Sem retorno",A54=""),"",Config!$B$5-A54)</f>
        <v/>
      </c>
      <c r="N54" s="29">
        <f>IF(AND(OR(G54="Aprovado",G54="Recusado"),H54&lt;&gt;"",A54&lt;&gt;""),H54-A54,"")</f>
        <v/>
      </c>
      <c r="O54" s="25">
        <f>IF(G54="","",IF(OR(G54="Aprovado",G54="Recusado",G54="Sem retorno"),G54,IF(AND(M54&lt;&gt;"",M54&gt;Config!$B$7),"Parado","Ativo")))</f>
        <v/>
      </c>
      <c r="P54" s="39">
        <f>IF(A54="","",DATE(YEAR(A54),MONTH(A54),1))</f>
        <v/>
      </c>
      <c r="Q54" s="40">
        <f>IF(OR(G54="",O54="Aprovado",O54="Recusado",O54="Sem retorno"),0,IF(O54="Parado",2000,1000)+MIN(N(M54),500)+N(F54)/1000000-ROW()/100000)</f>
        <v>0</v>
      </c>
    </row>
    <row r="55">
      <c r="A55" s="37" t="n"/>
      <c r="B55" s="32" t="n"/>
      <c r="C55" s="35" t="n"/>
      <c r="D55" s="35" t="n"/>
      <c r="E55" s="32" t="n"/>
      <c r="F55" s="38" t="n"/>
      <c r="G55" s="35" t="n"/>
      <c r="H55" s="37" t="n"/>
      <c r="I55" s="35" t="n"/>
      <c r="J55" s="32" t="n"/>
      <c r="K55" s="30">
        <f>IF(G55="","",IFERROR(INDEX(Config!$B$10:$B$14,MATCH(G55,Config!$A$10:$A$14,0)),0))</f>
        <v/>
      </c>
      <c r="L55" s="26">
        <f>IF(OR(G55="",F55=""),"",F55*K55)</f>
        <v/>
      </c>
      <c r="M55" s="29">
        <f>IF(OR(G55="",G55="Aprovado",G55="Recusado",G55="Sem retorno",A55=""),"",Config!$B$5-A55)</f>
        <v/>
      </c>
      <c r="N55" s="29">
        <f>IF(AND(OR(G55="Aprovado",G55="Recusado"),H55&lt;&gt;"",A55&lt;&gt;""),H55-A55,"")</f>
        <v/>
      </c>
      <c r="O55" s="25">
        <f>IF(G55="","",IF(OR(G55="Aprovado",G55="Recusado",G55="Sem retorno"),G55,IF(AND(M55&lt;&gt;"",M55&gt;Config!$B$7),"Parado","Ativo")))</f>
        <v/>
      </c>
      <c r="P55" s="39">
        <f>IF(A55="","",DATE(YEAR(A55),MONTH(A55),1))</f>
        <v/>
      </c>
      <c r="Q55" s="40">
        <f>IF(OR(G55="",O55="Aprovado",O55="Recusado",O55="Sem retorno"),0,IF(O55="Parado",2000,1000)+MIN(N(M55),500)+N(F55)/1000000-ROW()/100000)</f>
        <v>0</v>
      </c>
    </row>
    <row r="56">
      <c r="A56" s="37" t="n"/>
      <c r="B56" s="32" t="n"/>
      <c r="C56" s="35" t="n"/>
      <c r="D56" s="35" t="n"/>
      <c r="E56" s="32" t="n"/>
      <c r="F56" s="38" t="n"/>
      <c r="G56" s="35" t="n"/>
      <c r="H56" s="37" t="n"/>
      <c r="I56" s="35" t="n"/>
      <c r="J56" s="32" t="n"/>
      <c r="K56" s="30">
        <f>IF(G56="","",IFERROR(INDEX(Config!$B$10:$B$14,MATCH(G56,Config!$A$10:$A$14,0)),0))</f>
        <v/>
      </c>
      <c r="L56" s="26">
        <f>IF(OR(G56="",F56=""),"",F56*K56)</f>
        <v/>
      </c>
      <c r="M56" s="29">
        <f>IF(OR(G56="",G56="Aprovado",G56="Recusado",G56="Sem retorno",A56=""),"",Config!$B$5-A56)</f>
        <v/>
      </c>
      <c r="N56" s="29">
        <f>IF(AND(OR(G56="Aprovado",G56="Recusado"),H56&lt;&gt;"",A56&lt;&gt;""),H56-A56,"")</f>
        <v/>
      </c>
      <c r="O56" s="25">
        <f>IF(G56="","",IF(OR(G56="Aprovado",G56="Recusado",G56="Sem retorno"),G56,IF(AND(M56&lt;&gt;"",M56&gt;Config!$B$7),"Parado","Ativo")))</f>
        <v/>
      </c>
      <c r="P56" s="39">
        <f>IF(A56="","",DATE(YEAR(A56),MONTH(A56),1))</f>
        <v/>
      </c>
      <c r="Q56" s="40">
        <f>IF(OR(G56="",O56="Aprovado",O56="Recusado",O56="Sem retorno"),0,IF(O56="Parado",2000,1000)+MIN(N(M56),500)+N(F56)/1000000-ROW()/100000)</f>
        <v>0</v>
      </c>
    </row>
    <row r="57">
      <c r="A57" s="37" t="n"/>
      <c r="B57" s="32" t="n"/>
      <c r="C57" s="35" t="n"/>
      <c r="D57" s="35" t="n"/>
      <c r="E57" s="32" t="n"/>
      <c r="F57" s="38" t="n"/>
      <c r="G57" s="35" t="n"/>
      <c r="H57" s="37" t="n"/>
      <c r="I57" s="35" t="n"/>
      <c r="J57" s="32" t="n"/>
      <c r="K57" s="30">
        <f>IF(G57="","",IFERROR(INDEX(Config!$B$10:$B$14,MATCH(G57,Config!$A$10:$A$14,0)),0))</f>
        <v/>
      </c>
      <c r="L57" s="26">
        <f>IF(OR(G57="",F57=""),"",F57*K57)</f>
        <v/>
      </c>
      <c r="M57" s="29">
        <f>IF(OR(G57="",G57="Aprovado",G57="Recusado",G57="Sem retorno",A57=""),"",Config!$B$5-A57)</f>
        <v/>
      </c>
      <c r="N57" s="29">
        <f>IF(AND(OR(G57="Aprovado",G57="Recusado"),H57&lt;&gt;"",A57&lt;&gt;""),H57-A57,"")</f>
        <v/>
      </c>
      <c r="O57" s="25">
        <f>IF(G57="","",IF(OR(G57="Aprovado",G57="Recusado",G57="Sem retorno"),G57,IF(AND(M57&lt;&gt;"",M57&gt;Config!$B$7),"Parado","Ativo")))</f>
        <v/>
      </c>
      <c r="P57" s="39">
        <f>IF(A57="","",DATE(YEAR(A57),MONTH(A57),1))</f>
        <v/>
      </c>
      <c r="Q57" s="40">
        <f>IF(OR(G57="",O57="Aprovado",O57="Recusado",O57="Sem retorno"),0,IF(O57="Parado",2000,1000)+MIN(N(M57),500)+N(F57)/1000000-ROW()/100000)</f>
        <v>0</v>
      </c>
    </row>
    <row r="58">
      <c r="A58" s="37" t="n"/>
      <c r="B58" s="32" t="n"/>
      <c r="C58" s="35" t="n"/>
      <c r="D58" s="35" t="n"/>
      <c r="E58" s="32" t="n"/>
      <c r="F58" s="38" t="n"/>
      <c r="G58" s="35" t="n"/>
      <c r="H58" s="37" t="n"/>
      <c r="I58" s="35" t="n"/>
      <c r="J58" s="32" t="n"/>
      <c r="K58" s="30">
        <f>IF(G58="","",IFERROR(INDEX(Config!$B$10:$B$14,MATCH(G58,Config!$A$10:$A$14,0)),0))</f>
        <v/>
      </c>
      <c r="L58" s="26">
        <f>IF(OR(G58="",F58=""),"",F58*K58)</f>
        <v/>
      </c>
      <c r="M58" s="29">
        <f>IF(OR(G58="",G58="Aprovado",G58="Recusado",G58="Sem retorno",A58=""),"",Config!$B$5-A58)</f>
        <v/>
      </c>
      <c r="N58" s="29">
        <f>IF(AND(OR(G58="Aprovado",G58="Recusado"),H58&lt;&gt;"",A58&lt;&gt;""),H58-A58,"")</f>
        <v/>
      </c>
      <c r="O58" s="25">
        <f>IF(G58="","",IF(OR(G58="Aprovado",G58="Recusado",G58="Sem retorno"),G58,IF(AND(M58&lt;&gt;"",M58&gt;Config!$B$7),"Parado","Ativo")))</f>
        <v/>
      </c>
      <c r="P58" s="39">
        <f>IF(A58="","",DATE(YEAR(A58),MONTH(A58),1))</f>
        <v/>
      </c>
      <c r="Q58" s="40">
        <f>IF(OR(G58="",O58="Aprovado",O58="Recusado",O58="Sem retorno"),0,IF(O58="Parado",2000,1000)+MIN(N(M58),500)+N(F58)/1000000-ROW()/100000)</f>
        <v>0</v>
      </c>
    </row>
    <row r="59">
      <c r="A59" s="37" t="n"/>
      <c r="B59" s="32" t="n"/>
      <c r="C59" s="35" t="n"/>
      <c r="D59" s="35" t="n"/>
      <c r="E59" s="32" t="n"/>
      <c r="F59" s="38" t="n"/>
      <c r="G59" s="35" t="n"/>
      <c r="H59" s="37" t="n"/>
      <c r="I59" s="35" t="n"/>
      <c r="J59" s="32" t="n"/>
      <c r="K59" s="30">
        <f>IF(G59="","",IFERROR(INDEX(Config!$B$10:$B$14,MATCH(G59,Config!$A$10:$A$14,0)),0))</f>
        <v/>
      </c>
      <c r="L59" s="26">
        <f>IF(OR(G59="",F59=""),"",F59*K59)</f>
        <v/>
      </c>
      <c r="M59" s="29">
        <f>IF(OR(G59="",G59="Aprovado",G59="Recusado",G59="Sem retorno",A59=""),"",Config!$B$5-A59)</f>
        <v/>
      </c>
      <c r="N59" s="29">
        <f>IF(AND(OR(G59="Aprovado",G59="Recusado"),H59&lt;&gt;"",A59&lt;&gt;""),H59-A59,"")</f>
        <v/>
      </c>
      <c r="O59" s="25">
        <f>IF(G59="","",IF(OR(G59="Aprovado",G59="Recusado",G59="Sem retorno"),G59,IF(AND(M59&lt;&gt;"",M59&gt;Config!$B$7),"Parado","Ativo")))</f>
        <v/>
      </c>
      <c r="P59" s="39">
        <f>IF(A59="","",DATE(YEAR(A59),MONTH(A59),1))</f>
        <v/>
      </c>
      <c r="Q59" s="40">
        <f>IF(OR(G59="",O59="Aprovado",O59="Recusado",O59="Sem retorno"),0,IF(O59="Parado",2000,1000)+MIN(N(M59),500)+N(F59)/1000000-ROW()/100000)</f>
        <v>0</v>
      </c>
    </row>
    <row r="60">
      <c r="A60" s="37" t="n"/>
      <c r="B60" s="32" t="n"/>
      <c r="C60" s="35" t="n"/>
      <c r="D60" s="35" t="n"/>
      <c r="E60" s="32" t="n"/>
      <c r="F60" s="38" t="n"/>
      <c r="G60" s="35" t="n"/>
      <c r="H60" s="37" t="n"/>
      <c r="I60" s="35" t="n"/>
      <c r="J60" s="32" t="n"/>
      <c r="K60" s="30">
        <f>IF(G60="","",IFERROR(INDEX(Config!$B$10:$B$14,MATCH(G60,Config!$A$10:$A$14,0)),0))</f>
        <v/>
      </c>
      <c r="L60" s="26">
        <f>IF(OR(G60="",F60=""),"",F60*K60)</f>
        <v/>
      </c>
      <c r="M60" s="29">
        <f>IF(OR(G60="",G60="Aprovado",G60="Recusado",G60="Sem retorno",A60=""),"",Config!$B$5-A60)</f>
        <v/>
      </c>
      <c r="N60" s="29">
        <f>IF(AND(OR(G60="Aprovado",G60="Recusado"),H60&lt;&gt;"",A60&lt;&gt;""),H60-A60,"")</f>
        <v/>
      </c>
      <c r="O60" s="25">
        <f>IF(G60="","",IF(OR(G60="Aprovado",G60="Recusado",G60="Sem retorno"),G60,IF(AND(M60&lt;&gt;"",M60&gt;Config!$B$7),"Parado","Ativo")))</f>
        <v/>
      </c>
      <c r="P60" s="39">
        <f>IF(A60="","",DATE(YEAR(A60),MONTH(A60),1))</f>
        <v/>
      </c>
      <c r="Q60" s="40">
        <f>IF(OR(G60="",O60="Aprovado",O60="Recusado",O60="Sem retorno"),0,IF(O60="Parado",2000,1000)+MIN(N(M60),500)+N(F60)/1000000-ROW()/100000)</f>
        <v>0</v>
      </c>
    </row>
    <row r="61">
      <c r="A61" s="37" t="n"/>
      <c r="B61" s="32" t="n"/>
      <c r="C61" s="35" t="n"/>
      <c r="D61" s="35" t="n"/>
      <c r="E61" s="32" t="n"/>
      <c r="F61" s="38" t="n"/>
      <c r="G61" s="35" t="n"/>
      <c r="H61" s="37" t="n"/>
      <c r="I61" s="35" t="n"/>
      <c r="J61" s="32" t="n"/>
      <c r="K61" s="30">
        <f>IF(G61="","",IFERROR(INDEX(Config!$B$10:$B$14,MATCH(G61,Config!$A$10:$A$14,0)),0))</f>
        <v/>
      </c>
      <c r="L61" s="26">
        <f>IF(OR(G61="",F61=""),"",F61*K61)</f>
        <v/>
      </c>
      <c r="M61" s="29">
        <f>IF(OR(G61="",G61="Aprovado",G61="Recusado",G61="Sem retorno",A61=""),"",Config!$B$5-A61)</f>
        <v/>
      </c>
      <c r="N61" s="29">
        <f>IF(AND(OR(G61="Aprovado",G61="Recusado"),H61&lt;&gt;"",A61&lt;&gt;""),H61-A61,"")</f>
        <v/>
      </c>
      <c r="O61" s="25">
        <f>IF(G61="","",IF(OR(G61="Aprovado",G61="Recusado",G61="Sem retorno"),G61,IF(AND(M61&lt;&gt;"",M61&gt;Config!$B$7),"Parado","Ativo")))</f>
        <v/>
      </c>
      <c r="P61" s="39">
        <f>IF(A61="","",DATE(YEAR(A61),MONTH(A61),1))</f>
        <v/>
      </c>
      <c r="Q61" s="40">
        <f>IF(OR(G61="",O61="Aprovado",O61="Recusado",O61="Sem retorno"),0,IF(O61="Parado",2000,1000)+MIN(N(M61),500)+N(F61)/1000000-ROW()/100000)</f>
        <v>0</v>
      </c>
    </row>
    <row r="62">
      <c r="A62" s="37" t="n"/>
      <c r="B62" s="32" t="n"/>
      <c r="C62" s="35" t="n"/>
      <c r="D62" s="35" t="n"/>
      <c r="E62" s="32" t="n"/>
      <c r="F62" s="38" t="n"/>
      <c r="G62" s="35" t="n"/>
      <c r="H62" s="37" t="n"/>
      <c r="I62" s="35" t="n"/>
      <c r="J62" s="32" t="n"/>
      <c r="K62" s="30">
        <f>IF(G62="","",IFERROR(INDEX(Config!$B$10:$B$14,MATCH(G62,Config!$A$10:$A$14,0)),0))</f>
        <v/>
      </c>
      <c r="L62" s="26">
        <f>IF(OR(G62="",F62=""),"",F62*K62)</f>
        <v/>
      </c>
      <c r="M62" s="29">
        <f>IF(OR(G62="",G62="Aprovado",G62="Recusado",G62="Sem retorno",A62=""),"",Config!$B$5-A62)</f>
        <v/>
      </c>
      <c r="N62" s="29">
        <f>IF(AND(OR(G62="Aprovado",G62="Recusado"),H62&lt;&gt;"",A62&lt;&gt;""),H62-A62,"")</f>
        <v/>
      </c>
      <c r="O62" s="25">
        <f>IF(G62="","",IF(OR(G62="Aprovado",G62="Recusado",G62="Sem retorno"),G62,IF(AND(M62&lt;&gt;"",M62&gt;Config!$B$7),"Parado","Ativo")))</f>
        <v/>
      </c>
      <c r="P62" s="39">
        <f>IF(A62="","",DATE(YEAR(A62),MONTH(A62),1))</f>
        <v/>
      </c>
      <c r="Q62" s="40">
        <f>IF(OR(G62="",O62="Aprovado",O62="Recusado",O62="Sem retorno"),0,IF(O62="Parado",2000,1000)+MIN(N(M62),500)+N(F62)/1000000-ROW()/100000)</f>
        <v>0</v>
      </c>
    </row>
    <row r="63">
      <c r="A63" s="37" t="n"/>
      <c r="B63" s="32" t="n"/>
      <c r="C63" s="35" t="n"/>
      <c r="D63" s="35" t="n"/>
      <c r="E63" s="32" t="n"/>
      <c r="F63" s="38" t="n"/>
      <c r="G63" s="35" t="n"/>
      <c r="H63" s="37" t="n"/>
      <c r="I63" s="35" t="n"/>
      <c r="J63" s="32" t="n"/>
      <c r="K63" s="30">
        <f>IF(G63="","",IFERROR(INDEX(Config!$B$10:$B$14,MATCH(G63,Config!$A$10:$A$14,0)),0))</f>
        <v/>
      </c>
      <c r="L63" s="26">
        <f>IF(OR(G63="",F63=""),"",F63*K63)</f>
        <v/>
      </c>
      <c r="M63" s="29">
        <f>IF(OR(G63="",G63="Aprovado",G63="Recusado",G63="Sem retorno",A63=""),"",Config!$B$5-A63)</f>
        <v/>
      </c>
      <c r="N63" s="29">
        <f>IF(AND(OR(G63="Aprovado",G63="Recusado"),H63&lt;&gt;"",A63&lt;&gt;""),H63-A63,"")</f>
        <v/>
      </c>
      <c r="O63" s="25">
        <f>IF(G63="","",IF(OR(G63="Aprovado",G63="Recusado",G63="Sem retorno"),G63,IF(AND(M63&lt;&gt;"",M63&gt;Config!$B$7),"Parado","Ativo")))</f>
        <v/>
      </c>
      <c r="P63" s="39">
        <f>IF(A63="","",DATE(YEAR(A63),MONTH(A63),1))</f>
        <v/>
      </c>
      <c r="Q63" s="40">
        <f>IF(OR(G63="",O63="Aprovado",O63="Recusado",O63="Sem retorno"),0,IF(O63="Parado",2000,1000)+MIN(N(M63),500)+N(F63)/1000000-ROW()/100000)</f>
        <v>0</v>
      </c>
    </row>
    <row r="64">
      <c r="A64" s="37" t="n"/>
      <c r="B64" s="32" t="n"/>
      <c r="C64" s="35" t="n"/>
      <c r="D64" s="35" t="n"/>
      <c r="E64" s="32" t="n"/>
      <c r="F64" s="38" t="n"/>
      <c r="G64" s="35" t="n"/>
      <c r="H64" s="37" t="n"/>
      <c r="I64" s="35" t="n"/>
      <c r="J64" s="32" t="n"/>
      <c r="K64" s="30">
        <f>IF(G64="","",IFERROR(INDEX(Config!$B$10:$B$14,MATCH(G64,Config!$A$10:$A$14,0)),0))</f>
        <v/>
      </c>
      <c r="L64" s="26">
        <f>IF(OR(G64="",F64=""),"",F64*K64)</f>
        <v/>
      </c>
      <c r="M64" s="29">
        <f>IF(OR(G64="",G64="Aprovado",G64="Recusado",G64="Sem retorno",A64=""),"",Config!$B$5-A64)</f>
        <v/>
      </c>
      <c r="N64" s="29">
        <f>IF(AND(OR(G64="Aprovado",G64="Recusado"),H64&lt;&gt;"",A64&lt;&gt;""),H64-A64,"")</f>
        <v/>
      </c>
      <c r="O64" s="25">
        <f>IF(G64="","",IF(OR(G64="Aprovado",G64="Recusado",G64="Sem retorno"),G64,IF(AND(M64&lt;&gt;"",M64&gt;Config!$B$7),"Parado","Ativo")))</f>
        <v/>
      </c>
      <c r="P64" s="39">
        <f>IF(A64="","",DATE(YEAR(A64),MONTH(A64),1))</f>
        <v/>
      </c>
      <c r="Q64" s="40">
        <f>IF(OR(G64="",O64="Aprovado",O64="Recusado",O64="Sem retorno"),0,IF(O64="Parado",2000,1000)+MIN(N(M64),500)+N(F64)/1000000-ROW()/100000)</f>
        <v>0</v>
      </c>
    </row>
    <row r="65">
      <c r="A65" s="37" t="n"/>
      <c r="B65" s="32" t="n"/>
      <c r="C65" s="35" t="n"/>
      <c r="D65" s="35" t="n"/>
      <c r="E65" s="32" t="n"/>
      <c r="F65" s="38" t="n"/>
      <c r="G65" s="35" t="n"/>
      <c r="H65" s="37" t="n"/>
      <c r="I65" s="35" t="n"/>
      <c r="J65" s="32" t="n"/>
      <c r="K65" s="30">
        <f>IF(G65="","",IFERROR(INDEX(Config!$B$10:$B$14,MATCH(G65,Config!$A$10:$A$14,0)),0))</f>
        <v/>
      </c>
      <c r="L65" s="26">
        <f>IF(OR(G65="",F65=""),"",F65*K65)</f>
        <v/>
      </c>
      <c r="M65" s="29">
        <f>IF(OR(G65="",G65="Aprovado",G65="Recusado",G65="Sem retorno",A65=""),"",Config!$B$5-A65)</f>
        <v/>
      </c>
      <c r="N65" s="29">
        <f>IF(AND(OR(G65="Aprovado",G65="Recusado"),H65&lt;&gt;"",A65&lt;&gt;""),H65-A65,"")</f>
        <v/>
      </c>
      <c r="O65" s="25">
        <f>IF(G65="","",IF(OR(G65="Aprovado",G65="Recusado",G65="Sem retorno"),G65,IF(AND(M65&lt;&gt;"",M65&gt;Config!$B$7),"Parado","Ativo")))</f>
        <v/>
      </c>
      <c r="P65" s="39">
        <f>IF(A65="","",DATE(YEAR(A65),MONTH(A65),1))</f>
        <v/>
      </c>
      <c r="Q65" s="40">
        <f>IF(OR(G65="",O65="Aprovado",O65="Recusado",O65="Sem retorno"),0,IF(O65="Parado",2000,1000)+MIN(N(M65),500)+N(F65)/1000000-ROW()/100000)</f>
        <v>0</v>
      </c>
    </row>
    <row r="66">
      <c r="A66" s="37" t="n"/>
      <c r="B66" s="32" t="n"/>
      <c r="C66" s="35" t="n"/>
      <c r="D66" s="35" t="n"/>
      <c r="E66" s="32" t="n"/>
      <c r="F66" s="38" t="n"/>
      <c r="G66" s="35" t="n"/>
      <c r="H66" s="37" t="n"/>
      <c r="I66" s="35" t="n"/>
      <c r="J66" s="32" t="n"/>
      <c r="K66" s="30">
        <f>IF(G66="","",IFERROR(INDEX(Config!$B$10:$B$14,MATCH(G66,Config!$A$10:$A$14,0)),0))</f>
        <v/>
      </c>
      <c r="L66" s="26">
        <f>IF(OR(G66="",F66=""),"",F66*K66)</f>
        <v/>
      </c>
      <c r="M66" s="29">
        <f>IF(OR(G66="",G66="Aprovado",G66="Recusado",G66="Sem retorno",A66=""),"",Config!$B$5-A66)</f>
        <v/>
      </c>
      <c r="N66" s="29">
        <f>IF(AND(OR(G66="Aprovado",G66="Recusado"),H66&lt;&gt;"",A66&lt;&gt;""),H66-A66,"")</f>
        <v/>
      </c>
      <c r="O66" s="25">
        <f>IF(G66="","",IF(OR(G66="Aprovado",G66="Recusado",G66="Sem retorno"),G66,IF(AND(M66&lt;&gt;"",M66&gt;Config!$B$7),"Parado","Ativo")))</f>
        <v/>
      </c>
      <c r="P66" s="39">
        <f>IF(A66="","",DATE(YEAR(A66),MONTH(A66),1))</f>
        <v/>
      </c>
      <c r="Q66" s="40">
        <f>IF(OR(G66="",O66="Aprovado",O66="Recusado",O66="Sem retorno"),0,IF(O66="Parado",2000,1000)+MIN(N(M66),500)+N(F66)/1000000-ROW()/100000)</f>
        <v>0</v>
      </c>
    </row>
    <row r="67">
      <c r="A67" s="37" t="n"/>
      <c r="B67" s="32" t="n"/>
      <c r="C67" s="35" t="n"/>
      <c r="D67" s="35" t="n"/>
      <c r="E67" s="32" t="n"/>
      <c r="F67" s="38" t="n"/>
      <c r="G67" s="35" t="n"/>
      <c r="H67" s="37" t="n"/>
      <c r="I67" s="35" t="n"/>
      <c r="J67" s="32" t="n"/>
      <c r="K67" s="30">
        <f>IF(G67="","",IFERROR(INDEX(Config!$B$10:$B$14,MATCH(G67,Config!$A$10:$A$14,0)),0))</f>
        <v/>
      </c>
      <c r="L67" s="26">
        <f>IF(OR(G67="",F67=""),"",F67*K67)</f>
        <v/>
      </c>
      <c r="M67" s="29">
        <f>IF(OR(G67="",G67="Aprovado",G67="Recusado",G67="Sem retorno",A67=""),"",Config!$B$5-A67)</f>
        <v/>
      </c>
      <c r="N67" s="29">
        <f>IF(AND(OR(G67="Aprovado",G67="Recusado"),H67&lt;&gt;"",A67&lt;&gt;""),H67-A67,"")</f>
        <v/>
      </c>
      <c r="O67" s="25">
        <f>IF(G67="","",IF(OR(G67="Aprovado",G67="Recusado",G67="Sem retorno"),G67,IF(AND(M67&lt;&gt;"",M67&gt;Config!$B$7),"Parado","Ativo")))</f>
        <v/>
      </c>
      <c r="P67" s="39">
        <f>IF(A67="","",DATE(YEAR(A67),MONTH(A67),1))</f>
        <v/>
      </c>
      <c r="Q67" s="40">
        <f>IF(OR(G67="",O67="Aprovado",O67="Recusado",O67="Sem retorno"),0,IF(O67="Parado",2000,1000)+MIN(N(M67),500)+N(F67)/1000000-ROW()/100000)</f>
        <v>0</v>
      </c>
    </row>
    <row r="68">
      <c r="A68" s="37" t="n"/>
      <c r="B68" s="32" t="n"/>
      <c r="C68" s="35" t="n"/>
      <c r="D68" s="35" t="n"/>
      <c r="E68" s="32" t="n"/>
      <c r="F68" s="38" t="n"/>
      <c r="G68" s="35" t="n"/>
      <c r="H68" s="37" t="n"/>
      <c r="I68" s="35" t="n"/>
      <c r="J68" s="32" t="n"/>
      <c r="K68" s="30">
        <f>IF(G68="","",IFERROR(INDEX(Config!$B$10:$B$14,MATCH(G68,Config!$A$10:$A$14,0)),0))</f>
        <v/>
      </c>
      <c r="L68" s="26">
        <f>IF(OR(G68="",F68=""),"",F68*K68)</f>
        <v/>
      </c>
      <c r="M68" s="29">
        <f>IF(OR(G68="",G68="Aprovado",G68="Recusado",G68="Sem retorno",A68=""),"",Config!$B$5-A68)</f>
        <v/>
      </c>
      <c r="N68" s="29">
        <f>IF(AND(OR(G68="Aprovado",G68="Recusado"),H68&lt;&gt;"",A68&lt;&gt;""),H68-A68,"")</f>
        <v/>
      </c>
      <c r="O68" s="25">
        <f>IF(G68="","",IF(OR(G68="Aprovado",G68="Recusado",G68="Sem retorno"),G68,IF(AND(M68&lt;&gt;"",M68&gt;Config!$B$7),"Parado","Ativo")))</f>
        <v/>
      </c>
      <c r="P68" s="39">
        <f>IF(A68="","",DATE(YEAR(A68),MONTH(A68),1))</f>
        <v/>
      </c>
      <c r="Q68" s="40">
        <f>IF(OR(G68="",O68="Aprovado",O68="Recusado",O68="Sem retorno"),0,IF(O68="Parado",2000,1000)+MIN(N(M68),500)+N(F68)/1000000-ROW()/100000)</f>
        <v>0</v>
      </c>
    </row>
    <row r="69">
      <c r="A69" s="37" t="n"/>
      <c r="B69" s="32" t="n"/>
      <c r="C69" s="35" t="n"/>
      <c r="D69" s="35" t="n"/>
      <c r="E69" s="32" t="n"/>
      <c r="F69" s="38" t="n"/>
      <c r="G69" s="35" t="n"/>
      <c r="H69" s="37" t="n"/>
      <c r="I69" s="35" t="n"/>
      <c r="J69" s="32" t="n"/>
      <c r="K69" s="30">
        <f>IF(G69="","",IFERROR(INDEX(Config!$B$10:$B$14,MATCH(G69,Config!$A$10:$A$14,0)),0))</f>
        <v/>
      </c>
      <c r="L69" s="26">
        <f>IF(OR(G69="",F69=""),"",F69*K69)</f>
        <v/>
      </c>
      <c r="M69" s="29">
        <f>IF(OR(G69="",G69="Aprovado",G69="Recusado",G69="Sem retorno",A69=""),"",Config!$B$5-A69)</f>
        <v/>
      </c>
      <c r="N69" s="29">
        <f>IF(AND(OR(G69="Aprovado",G69="Recusado"),H69&lt;&gt;"",A69&lt;&gt;""),H69-A69,"")</f>
        <v/>
      </c>
      <c r="O69" s="25">
        <f>IF(G69="","",IF(OR(G69="Aprovado",G69="Recusado",G69="Sem retorno"),G69,IF(AND(M69&lt;&gt;"",M69&gt;Config!$B$7),"Parado","Ativo")))</f>
        <v/>
      </c>
      <c r="P69" s="39">
        <f>IF(A69="","",DATE(YEAR(A69),MONTH(A69),1))</f>
        <v/>
      </c>
      <c r="Q69" s="40">
        <f>IF(OR(G69="",O69="Aprovado",O69="Recusado",O69="Sem retorno"),0,IF(O69="Parado",2000,1000)+MIN(N(M69),500)+N(F69)/1000000-ROW()/100000)</f>
        <v>0</v>
      </c>
    </row>
    <row r="70">
      <c r="A70" s="37" t="n"/>
      <c r="B70" s="32" t="n"/>
      <c r="C70" s="35" t="n"/>
      <c r="D70" s="35" t="n"/>
      <c r="E70" s="32" t="n"/>
      <c r="F70" s="38" t="n"/>
      <c r="G70" s="35" t="n"/>
      <c r="H70" s="37" t="n"/>
      <c r="I70" s="35" t="n"/>
      <c r="J70" s="32" t="n"/>
      <c r="K70" s="30">
        <f>IF(G70="","",IFERROR(INDEX(Config!$B$10:$B$14,MATCH(G70,Config!$A$10:$A$14,0)),0))</f>
        <v/>
      </c>
      <c r="L70" s="26">
        <f>IF(OR(G70="",F70=""),"",F70*K70)</f>
        <v/>
      </c>
      <c r="M70" s="29">
        <f>IF(OR(G70="",G70="Aprovado",G70="Recusado",G70="Sem retorno",A70=""),"",Config!$B$5-A70)</f>
        <v/>
      </c>
      <c r="N70" s="29">
        <f>IF(AND(OR(G70="Aprovado",G70="Recusado"),H70&lt;&gt;"",A70&lt;&gt;""),H70-A70,"")</f>
        <v/>
      </c>
      <c r="O70" s="25">
        <f>IF(G70="","",IF(OR(G70="Aprovado",G70="Recusado",G70="Sem retorno"),G70,IF(AND(M70&lt;&gt;"",M70&gt;Config!$B$7),"Parado","Ativo")))</f>
        <v/>
      </c>
      <c r="P70" s="39">
        <f>IF(A70="","",DATE(YEAR(A70),MONTH(A70),1))</f>
        <v/>
      </c>
      <c r="Q70" s="40">
        <f>IF(OR(G70="",O70="Aprovado",O70="Recusado",O70="Sem retorno"),0,IF(O70="Parado",2000,1000)+MIN(N(M70),500)+N(F70)/1000000-ROW()/100000)</f>
        <v>0</v>
      </c>
    </row>
    <row r="71">
      <c r="A71" s="37" t="n"/>
      <c r="B71" s="32" t="n"/>
      <c r="C71" s="35" t="n"/>
      <c r="D71" s="35" t="n"/>
      <c r="E71" s="32" t="n"/>
      <c r="F71" s="38" t="n"/>
      <c r="G71" s="35" t="n"/>
      <c r="H71" s="37" t="n"/>
      <c r="I71" s="35" t="n"/>
      <c r="J71" s="32" t="n"/>
      <c r="K71" s="30">
        <f>IF(G71="","",IFERROR(INDEX(Config!$B$10:$B$14,MATCH(G71,Config!$A$10:$A$14,0)),0))</f>
        <v/>
      </c>
      <c r="L71" s="26">
        <f>IF(OR(G71="",F71=""),"",F71*K71)</f>
        <v/>
      </c>
      <c r="M71" s="29">
        <f>IF(OR(G71="",G71="Aprovado",G71="Recusado",G71="Sem retorno",A71=""),"",Config!$B$5-A71)</f>
        <v/>
      </c>
      <c r="N71" s="29">
        <f>IF(AND(OR(G71="Aprovado",G71="Recusado"),H71&lt;&gt;"",A71&lt;&gt;""),H71-A71,"")</f>
        <v/>
      </c>
      <c r="O71" s="25">
        <f>IF(G71="","",IF(OR(G71="Aprovado",G71="Recusado",G71="Sem retorno"),G71,IF(AND(M71&lt;&gt;"",M71&gt;Config!$B$7),"Parado","Ativo")))</f>
        <v/>
      </c>
      <c r="P71" s="39">
        <f>IF(A71="","",DATE(YEAR(A71),MONTH(A71),1))</f>
        <v/>
      </c>
      <c r="Q71" s="40">
        <f>IF(OR(G71="",O71="Aprovado",O71="Recusado",O71="Sem retorno"),0,IF(O71="Parado",2000,1000)+MIN(N(M71),500)+N(F71)/1000000-ROW()/100000)</f>
        <v>0</v>
      </c>
    </row>
    <row r="72">
      <c r="A72" s="37" t="n"/>
      <c r="B72" s="32" t="n"/>
      <c r="C72" s="35" t="n"/>
      <c r="D72" s="35" t="n"/>
      <c r="E72" s="32" t="n"/>
      <c r="F72" s="38" t="n"/>
      <c r="G72" s="35" t="n"/>
      <c r="H72" s="37" t="n"/>
      <c r="I72" s="35" t="n"/>
      <c r="J72" s="32" t="n"/>
      <c r="K72" s="30">
        <f>IF(G72="","",IFERROR(INDEX(Config!$B$10:$B$14,MATCH(G72,Config!$A$10:$A$14,0)),0))</f>
        <v/>
      </c>
      <c r="L72" s="26">
        <f>IF(OR(G72="",F72=""),"",F72*K72)</f>
        <v/>
      </c>
      <c r="M72" s="29">
        <f>IF(OR(G72="",G72="Aprovado",G72="Recusado",G72="Sem retorno",A72=""),"",Config!$B$5-A72)</f>
        <v/>
      </c>
      <c r="N72" s="29">
        <f>IF(AND(OR(G72="Aprovado",G72="Recusado"),H72&lt;&gt;"",A72&lt;&gt;""),H72-A72,"")</f>
        <v/>
      </c>
      <c r="O72" s="25">
        <f>IF(G72="","",IF(OR(G72="Aprovado",G72="Recusado",G72="Sem retorno"),G72,IF(AND(M72&lt;&gt;"",M72&gt;Config!$B$7),"Parado","Ativo")))</f>
        <v/>
      </c>
      <c r="P72" s="39">
        <f>IF(A72="","",DATE(YEAR(A72),MONTH(A72),1))</f>
        <v/>
      </c>
      <c r="Q72" s="40">
        <f>IF(OR(G72="",O72="Aprovado",O72="Recusado",O72="Sem retorno"),0,IF(O72="Parado",2000,1000)+MIN(N(M72),500)+N(F72)/1000000-ROW()/100000)</f>
        <v>0</v>
      </c>
    </row>
    <row r="73">
      <c r="A73" s="37" t="n"/>
      <c r="B73" s="32" t="n"/>
      <c r="C73" s="35" t="n"/>
      <c r="D73" s="35" t="n"/>
      <c r="E73" s="32" t="n"/>
      <c r="F73" s="38" t="n"/>
      <c r="G73" s="35" t="n"/>
      <c r="H73" s="37" t="n"/>
      <c r="I73" s="35" t="n"/>
      <c r="J73" s="32" t="n"/>
      <c r="K73" s="30">
        <f>IF(G73="","",IFERROR(INDEX(Config!$B$10:$B$14,MATCH(G73,Config!$A$10:$A$14,0)),0))</f>
        <v/>
      </c>
      <c r="L73" s="26">
        <f>IF(OR(G73="",F73=""),"",F73*K73)</f>
        <v/>
      </c>
      <c r="M73" s="29">
        <f>IF(OR(G73="",G73="Aprovado",G73="Recusado",G73="Sem retorno",A73=""),"",Config!$B$5-A73)</f>
        <v/>
      </c>
      <c r="N73" s="29">
        <f>IF(AND(OR(G73="Aprovado",G73="Recusado"),H73&lt;&gt;"",A73&lt;&gt;""),H73-A73,"")</f>
        <v/>
      </c>
      <c r="O73" s="25">
        <f>IF(G73="","",IF(OR(G73="Aprovado",G73="Recusado",G73="Sem retorno"),G73,IF(AND(M73&lt;&gt;"",M73&gt;Config!$B$7),"Parado","Ativo")))</f>
        <v/>
      </c>
      <c r="P73" s="39">
        <f>IF(A73="","",DATE(YEAR(A73),MONTH(A73),1))</f>
        <v/>
      </c>
      <c r="Q73" s="40">
        <f>IF(OR(G73="",O73="Aprovado",O73="Recusado",O73="Sem retorno"),0,IF(O73="Parado",2000,1000)+MIN(N(M73),500)+N(F73)/1000000-ROW()/100000)</f>
        <v>0</v>
      </c>
    </row>
    <row r="74">
      <c r="A74" s="37" t="n"/>
      <c r="B74" s="32" t="n"/>
      <c r="C74" s="35" t="n"/>
      <c r="D74" s="35" t="n"/>
      <c r="E74" s="32" t="n"/>
      <c r="F74" s="38" t="n"/>
      <c r="G74" s="35" t="n"/>
      <c r="H74" s="37" t="n"/>
      <c r="I74" s="35" t="n"/>
      <c r="J74" s="32" t="n"/>
      <c r="K74" s="30">
        <f>IF(G74="","",IFERROR(INDEX(Config!$B$10:$B$14,MATCH(G74,Config!$A$10:$A$14,0)),0))</f>
        <v/>
      </c>
      <c r="L74" s="26">
        <f>IF(OR(G74="",F74=""),"",F74*K74)</f>
        <v/>
      </c>
      <c r="M74" s="29">
        <f>IF(OR(G74="",G74="Aprovado",G74="Recusado",G74="Sem retorno",A74=""),"",Config!$B$5-A74)</f>
        <v/>
      </c>
      <c r="N74" s="29">
        <f>IF(AND(OR(G74="Aprovado",G74="Recusado"),H74&lt;&gt;"",A74&lt;&gt;""),H74-A74,"")</f>
        <v/>
      </c>
      <c r="O74" s="25">
        <f>IF(G74="","",IF(OR(G74="Aprovado",G74="Recusado",G74="Sem retorno"),G74,IF(AND(M74&lt;&gt;"",M74&gt;Config!$B$7),"Parado","Ativo")))</f>
        <v/>
      </c>
      <c r="P74" s="39">
        <f>IF(A74="","",DATE(YEAR(A74),MONTH(A74),1))</f>
        <v/>
      </c>
      <c r="Q74" s="40">
        <f>IF(OR(G74="",O74="Aprovado",O74="Recusado",O74="Sem retorno"),0,IF(O74="Parado",2000,1000)+MIN(N(M74),500)+N(F74)/1000000-ROW()/100000)</f>
        <v>0</v>
      </c>
    </row>
    <row r="75">
      <c r="A75" s="37" t="n"/>
      <c r="B75" s="32" t="n"/>
      <c r="C75" s="35" t="n"/>
      <c r="D75" s="35" t="n"/>
      <c r="E75" s="32" t="n"/>
      <c r="F75" s="38" t="n"/>
      <c r="G75" s="35" t="n"/>
      <c r="H75" s="37" t="n"/>
      <c r="I75" s="35" t="n"/>
      <c r="J75" s="32" t="n"/>
      <c r="K75" s="30">
        <f>IF(G75="","",IFERROR(INDEX(Config!$B$10:$B$14,MATCH(G75,Config!$A$10:$A$14,0)),0))</f>
        <v/>
      </c>
      <c r="L75" s="26">
        <f>IF(OR(G75="",F75=""),"",F75*K75)</f>
        <v/>
      </c>
      <c r="M75" s="29">
        <f>IF(OR(G75="",G75="Aprovado",G75="Recusado",G75="Sem retorno",A75=""),"",Config!$B$5-A75)</f>
        <v/>
      </c>
      <c r="N75" s="29">
        <f>IF(AND(OR(G75="Aprovado",G75="Recusado"),H75&lt;&gt;"",A75&lt;&gt;""),H75-A75,"")</f>
        <v/>
      </c>
      <c r="O75" s="25">
        <f>IF(G75="","",IF(OR(G75="Aprovado",G75="Recusado",G75="Sem retorno"),G75,IF(AND(M75&lt;&gt;"",M75&gt;Config!$B$7),"Parado","Ativo")))</f>
        <v/>
      </c>
      <c r="P75" s="39">
        <f>IF(A75="","",DATE(YEAR(A75),MONTH(A75),1))</f>
        <v/>
      </c>
      <c r="Q75" s="40">
        <f>IF(OR(G75="",O75="Aprovado",O75="Recusado",O75="Sem retorno"),0,IF(O75="Parado",2000,1000)+MIN(N(M75),500)+N(F75)/1000000-ROW()/100000)</f>
        <v>0</v>
      </c>
    </row>
    <row r="76">
      <c r="A76" s="37" t="n"/>
      <c r="B76" s="32" t="n"/>
      <c r="C76" s="35" t="n"/>
      <c r="D76" s="35" t="n"/>
      <c r="E76" s="32" t="n"/>
      <c r="F76" s="38" t="n"/>
      <c r="G76" s="35" t="n"/>
      <c r="H76" s="37" t="n"/>
      <c r="I76" s="35" t="n"/>
      <c r="J76" s="32" t="n"/>
      <c r="K76" s="30">
        <f>IF(G76="","",IFERROR(INDEX(Config!$B$10:$B$14,MATCH(G76,Config!$A$10:$A$14,0)),0))</f>
        <v/>
      </c>
      <c r="L76" s="26">
        <f>IF(OR(G76="",F76=""),"",F76*K76)</f>
        <v/>
      </c>
      <c r="M76" s="29">
        <f>IF(OR(G76="",G76="Aprovado",G76="Recusado",G76="Sem retorno",A76=""),"",Config!$B$5-A76)</f>
        <v/>
      </c>
      <c r="N76" s="29">
        <f>IF(AND(OR(G76="Aprovado",G76="Recusado"),H76&lt;&gt;"",A76&lt;&gt;""),H76-A76,"")</f>
        <v/>
      </c>
      <c r="O76" s="25">
        <f>IF(G76="","",IF(OR(G76="Aprovado",G76="Recusado",G76="Sem retorno"),G76,IF(AND(M76&lt;&gt;"",M76&gt;Config!$B$7),"Parado","Ativo")))</f>
        <v/>
      </c>
      <c r="P76" s="39">
        <f>IF(A76="","",DATE(YEAR(A76),MONTH(A76),1))</f>
        <v/>
      </c>
      <c r="Q76" s="40">
        <f>IF(OR(G76="",O76="Aprovado",O76="Recusado",O76="Sem retorno"),0,IF(O76="Parado",2000,1000)+MIN(N(M76),500)+N(F76)/1000000-ROW()/100000)</f>
        <v>0</v>
      </c>
    </row>
    <row r="77">
      <c r="A77" s="37" t="n"/>
      <c r="B77" s="32" t="n"/>
      <c r="C77" s="35" t="n"/>
      <c r="D77" s="35" t="n"/>
      <c r="E77" s="32" t="n"/>
      <c r="F77" s="38" t="n"/>
      <c r="G77" s="35" t="n"/>
      <c r="H77" s="37" t="n"/>
      <c r="I77" s="35" t="n"/>
      <c r="J77" s="32" t="n"/>
      <c r="K77" s="30">
        <f>IF(G77="","",IFERROR(INDEX(Config!$B$10:$B$14,MATCH(G77,Config!$A$10:$A$14,0)),0))</f>
        <v/>
      </c>
      <c r="L77" s="26">
        <f>IF(OR(G77="",F77=""),"",F77*K77)</f>
        <v/>
      </c>
      <c r="M77" s="29">
        <f>IF(OR(G77="",G77="Aprovado",G77="Recusado",G77="Sem retorno",A77=""),"",Config!$B$5-A77)</f>
        <v/>
      </c>
      <c r="N77" s="29">
        <f>IF(AND(OR(G77="Aprovado",G77="Recusado"),H77&lt;&gt;"",A77&lt;&gt;""),H77-A77,"")</f>
        <v/>
      </c>
      <c r="O77" s="25">
        <f>IF(G77="","",IF(OR(G77="Aprovado",G77="Recusado",G77="Sem retorno"),G77,IF(AND(M77&lt;&gt;"",M77&gt;Config!$B$7),"Parado","Ativo")))</f>
        <v/>
      </c>
      <c r="P77" s="39">
        <f>IF(A77="","",DATE(YEAR(A77),MONTH(A77),1))</f>
        <v/>
      </c>
      <c r="Q77" s="40">
        <f>IF(OR(G77="",O77="Aprovado",O77="Recusado",O77="Sem retorno"),0,IF(O77="Parado",2000,1000)+MIN(N(M77),500)+N(F77)/1000000-ROW()/100000)</f>
        <v>0</v>
      </c>
    </row>
    <row r="78">
      <c r="A78" s="37" t="n"/>
      <c r="B78" s="32" t="n"/>
      <c r="C78" s="35" t="n"/>
      <c r="D78" s="35" t="n"/>
      <c r="E78" s="32" t="n"/>
      <c r="F78" s="38" t="n"/>
      <c r="G78" s="35" t="n"/>
      <c r="H78" s="37" t="n"/>
      <c r="I78" s="35" t="n"/>
      <c r="J78" s="32" t="n"/>
      <c r="K78" s="30">
        <f>IF(G78="","",IFERROR(INDEX(Config!$B$10:$B$14,MATCH(G78,Config!$A$10:$A$14,0)),0))</f>
        <v/>
      </c>
      <c r="L78" s="26">
        <f>IF(OR(G78="",F78=""),"",F78*K78)</f>
        <v/>
      </c>
      <c r="M78" s="29">
        <f>IF(OR(G78="",G78="Aprovado",G78="Recusado",G78="Sem retorno",A78=""),"",Config!$B$5-A78)</f>
        <v/>
      </c>
      <c r="N78" s="29">
        <f>IF(AND(OR(G78="Aprovado",G78="Recusado"),H78&lt;&gt;"",A78&lt;&gt;""),H78-A78,"")</f>
        <v/>
      </c>
      <c r="O78" s="25">
        <f>IF(G78="","",IF(OR(G78="Aprovado",G78="Recusado",G78="Sem retorno"),G78,IF(AND(M78&lt;&gt;"",M78&gt;Config!$B$7),"Parado","Ativo")))</f>
        <v/>
      </c>
      <c r="P78" s="39">
        <f>IF(A78="","",DATE(YEAR(A78),MONTH(A78),1))</f>
        <v/>
      </c>
      <c r="Q78" s="40">
        <f>IF(OR(G78="",O78="Aprovado",O78="Recusado",O78="Sem retorno"),0,IF(O78="Parado",2000,1000)+MIN(N(M78),500)+N(F78)/1000000-ROW()/100000)</f>
        <v>0</v>
      </c>
    </row>
    <row r="79">
      <c r="A79" s="37" t="n"/>
      <c r="B79" s="32" t="n"/>
      <c r="C79" s="35" t="n"/>
      <c r="D79" s="35" t="n"/>
      <c r="E79" s="32" t="n"/>
      <c r="F79" s="38" t="n"/>
      <c r="G79" s="35" t="n"/>
      <c r="H79" s="37" t="n"/>
      <c r="I79" s="35" t="n"/>
      <c r="J79" s="32" t="n"/>
      <c r="K79" s="30">
        <f>IF(G79="","",IFERROR(INDEX(Config!$B$10:$B$14,MATCH(G79,Config!$A$10:$A$14,0)),0))</f>
        <v/>
      </c>
      <c r="L79" s="26">
        <f>IF(OR(G79="",F79=""),"",F79*K79)</f>
        <v/>
      </c>
      <c r="M79" s="29">
        <f>IF(OR(G79="",G79="Aprovado",G79="Recusado",G79="Sem retorno",A79=""),"",Config!$B$5-A79)</f>
        <v/>
      </c>
      <c r="N79" s="29">
        <f>IF(AND(OR(G79="Aprovado",G79="Recusado"),H79&lt;&gt;"",A79&lt;&gt;""),H79-A79,"")</f>
        <v/>
      </c>
      <c r="O79" s="25">
        <f>IF(G79="","",IF(OR(G79="Aprovado",G79="Recusado",G79="Sem retorno"),G79,IF(AND(M79&lt;&gt;"",M79&gt;Config!$B$7),"Parado","Ativo")))</f>
        <v/>
      </c>
      <c r="P79" s="39">
        <f>IF(A79="","",DATE(YEAR(A79),MONTH(A79),1))</f>
        <v/>
      </c>
      <c r="Q79" s="40">
        <f>IF(OR(G79="",O79="Aprovado",O79="Recusado",O79="Sem retorno"),0,IF(O79="Parado",2000,1000)+MIN(N(M79),500)+N(F79)/1000000-ROW()/100000)</f>
        <v>0</v>
      </c>
    </row>
    <row r="80">
      <c r="A80" s="37" t="n"/>
      <c r="B80" s="32" t="n"/>
      <c r="C80" s="35" t="n"/>
      <c r="D80" s="35" t="n"/>
      <c r="E80" s="32" t="n"/>
      <c r="F80" s="38" t="n"/>
      <c r="G80" s="35" t="n"/>
      <c r="H80" s="37" t="n"/>
      <c r="I80" s="35" t="n"/>
      <c r="J80" s="32" t="n"/>
      <c r="K80" s="30">
        <f>IF(G80="","",IFERROR(INDEX(Config!$B$10:$B$14,MATCH(G80,Config!$A$10:$A$14,0)),0))</f>
        <v/>
      </c>
      <c r="L80" s="26">
        <f>IF(OR(G80="",F80=""),"",F80*K80)</f>
        <v/>
      </c>
      <c r="M80" s="29">
        <f>IF(OR(G80="",G80="Aprovado",G80="Recusado",G80="Sem retorno",A80=""),"",Config!$B$5-A80)</f>
        <v/>
      </c>
      <c r="N80" s="29">
        <f>IF(AND(OR(G80="Aprovado",G80="Recusado"),H80&lt;&gt;"",A80&lt;&gt;""),H80-A80,"")</f>
        <v/>
      </c>
      <c r="O80" s="25">
        <f>IF(G80="","",IF(OR(G80="Aprovado",G80="Recusado",G80="Sem retorno"),G80,IF(AND(M80&lt;&gt;"",M80&gt;Config!$B$7),"Parado","Ativo")))</f>
        <v/>
      </c>
      <c r="P80" s="39">
        <f>IF(A80="","",DATE(YEAR(A80),MONTH(A80),1))</f>
        <v/>
      </c>
      <c r="Q80" s="40">
        <f>IF(OR(G80="",O80="Aprovado",O80="Recusado",O80="Sem retorno"),0,IF(O80="Parado",2000,1000)+MIN(N(M80),500)+N(F80)/1000000-ROW()/100000)</f>
        <v>0</v>
      </c>
    </row>
    <row r="81">
      <c r="A81" s="37" t="n"/>
      <c r="B81" s="32" t="n"/>
      <c r="C81" s="35" t="n"/>
      <c r="D81" s="35" t="n"/>
      <c r="E81" s="32" t="n"/>
      <c r="F81" s="38" t="n"/>
      <c r="G81" s="35" t="n"/>
      <c r="H81" s="37" t="n"/>
      <c r="I81" s="35" t="n"/>
      <c r="J81" s="32" t="n"/>
      <c r="K81" s="30">
        <f>IF(G81="","",IFERROR(INDEX(Config!$B$10:$B$14,MATCH(G81,Config!$A$10:$A$14,0)),0))</f>
        <v/>
      </c>
      <c r="L81" s="26">
        <f>IF(OR(G81="",F81=""),"",F81*K81)</f>
        <v/>
      </c>
      <c r="M81" s="29">
        <f>IF(OR(G81="",G81="Aprovado",G81="Recusado",G81="Sem retorno",A81=""),"",Config!$B$5-A81)</f>
        <v/>
      </c>
      <c r="N81" s="29">
        <f>IF(AND(OR(G81="Aprovado",G81="Recusado"),H81&lt;&gt;"",A81&lt;&gt;""),H81-A81,"")</f>
        <v/>
      </c>
      <c r="O81" s="25">
        <f>IF(G81="","",IF(OR(G81="Aprovado",G81="Recusado",G81="Sem retorno"),G81,IF(AND(M81&lt;&gt;"",M81&gt;Config!$B$7),"Parado","Ativo")))</f>
        <v/>
      </c>
      <c r="P81" s="39">
        <f>IF(A81="","",DATE(YEAR(A81),MONTH(A81),1))</f>
        <v/>
      </c>
      <c r="Q81" s="40">
        <f>IF(OR(G81="",O81="Aprovado",O81="Recusado",O81="Sem retorno"),0,IF(O81="Parado",2000,1000)+MIN(N(M81),500)+N(F81)/1000000-ROW()/100000)</f>
        <v>0</v>
      </c>
    </row>
    <row r="82">
      <c r="A82" s="37" t="n"/>
      <c r="B82" s="32" t="n"/>
      <c r="C82" s="35" t="n"/>
      <c r="D82" s="35" t="n"/>
      <c r="E82" s="32" t="n"/>
      <c r="F82" s="38" t="n"/>
      <c r="G82" s="35" t="n"/>
      <c r="H82" s="37" t="n"/>
      <c r="I82" s="35" t="n"/>
      <c r="J82" s="32" t="n"/>
      <c r="K82" s="30">
        <f>IF(G82="","",IFERROR(INDEX(Config!$B$10:$B$14,MATCH(G82,Config!$A$10:$A$14,0)),0))</f>
        <v/>
      </c>
      <c r="L82" s="26">
        <f>IF(OR(G82="",F82=""),"",F82*K82)</f>
        <v/>
      </c>
      <c r="M82" s="29">
        <f>IF(OR(G82="",G82="Aprovado",G82="Recusado",G82="Sem retorno",A82=""),"",Config!$B$5-A82)</f>
        <v/>
      </c>
      <c r="N82" s="29">
        <f>IF(AND(OR(G82="Aprovado",G82="Recusado"),H82&lt;&gt;"",A82&lt;&gt;""),H82-A82,"")</f>
        <v/>
      </c>
      <c r="O82" s="25">
        <f>IF(G82="","",IF(OR(G82="Aprovado",G82="Recusado",G82="Sem retorno"),G82,IF(AND(M82&lt;&gt;"",M82&gt;Config!$B$7),"Parado","Ativo")))</f>
        <v/>
      </c>
      <c r="P82" s="39">
        <f>IF(A82="","",DATE(YEAR(A82),MONTH(A82),1))</f>
        <v/>
      </c>
      <c r="Q82" s="40">
        <f>IF(OR(G82="",O82="Aprovado",O82="Recusado",O82="Sem retorno"),0,IF(O82="Parado",2000,1000)+MIN(N(M82),500)+N(F82)/1000000-ROW()/100000)</f>
        <v>0</v>
      </c>
    </row>
    <row r="83">
      <c r="A83" s="37" t="n"/>
      <c r="B83" s="32" t="n"/>
      <c r="C83" s="35" t="n"/>
      <c r="D83" s="35" t="n"/>
      <c r="E83" s="32" t="n"/>
      <c r="F83" s="38" t="n"/>
      <c r="G83" s="35" t="n"/>
      <c r="H83" s="37" t="n"/>
      <c r="I83" s="35" t="n"/>
      <c r="J83" s="32" t="n"/>
      <c r="K83" s="30">
        <f>IF(G83="","",IFERROR(INDEX(Config!$B$10:$B$14,MATCH(G83,Config!$A$10:$A$14,0)),0))</f>
        <v/>
      </c>
      <c r="L83" s="26">
        <f>IF(OR(G83="",F83=""),"",F83*K83)</f>
        <v/>
      </c>
      <c r="M83" s="29">
        <f>IF(OR(G83="",G83="Aprovado",G83="Recusado",G83="Sem retorno",A83=""),"",Config!$B$5-A83)</f>
        <v/>
      </c>
      <c r="N83" s="29">
        <f>IF(AND(OR(G83="Aprovado",G83="Recusado"),H83&lt;&gt;"",A83&lt;&gt;""),H83-A83,"")</f>
        <v/>
      </c>
      <c r="O83" s="25">
        <f>IF(G83="","",IF(OR(G83="Aprovado",G83="Recusado",G83="Sem retorno"),G83,IF(AND(M83&lt;&gt;"",M83&gt;Config!$B$7),"Parado","Ativo")))</f>
        <v/>
      </c>
      <c r="P83" s="39">
        <f>IF(A83="","",DATE(YEAR(A83),MONTH(A83),1))</f>
        <v/>
      </c>
      <c r="Q83" s="40">
        <f>IF(OR(G83="",O83="Aprovado",O83="Recusado",O83="Sem retorno"),0,IF(O83="Parado",2000,1000)+MIN(N(M83),500)+N(F83)/1000000-ROW()/100000)</f>
        <v>0</v>
      </c>
    </row>
    <row r="84">
      <c r="A84" s="37" t="n"/>
      <c r="B84" s="32" t="n"/>
      <c r="C84" s="35" t="n"/>
      <c r="D84" s="35" t="n"/>
      <c r="E84" s="32" t="n"/>
      <c r="F84" s="38" t="n"/>
      <c r="G84" s="35" t="n"/>
      <c r="H84" s="37" t="n"/>
      <c r="I84" s="35" t="n"/>
      <c r="J84" s="32" t="n"/>
      <c r="K84" s="30">
        <f>IF(G84="","",IFERROR(INDEX(Config!$B$10:$B$14,MATCH(G84,Config!$A$10:$A$14,0)),0))</f>
        <v/>
      </c>
      <c r="L84" s="26">
        <f>IF(OR(G84="",F84=""),"",F84*K84)</f>
        <v/>
      </c>
      <c r="M84" s="29">
        <f>IF(OR(G84="",G84="Aprovado",G84="Recusado",G84="Sem retorno",A84=""),"",Config!$B$5-A84)</f>
        <v/>
      </c>
      <c r="N84" s="29">
        <f>IF(AND(OR(G84="Aprovado",G84="Recusado"),H84&lt;&gt;"",A84&lt;&gt;""),H84-A84,"")</f>
        <v/>
      </c>
      <c r="O84" s="25">
        <f>IF(G84="","",IF(OR(G84="Aprovado",G84="Recusado",G84="Sem retorno"),G84,IF(AND(M84&lt;&gt;"",M84&gt;Config!$B$7),"Parado","Ativo")))</f>
        <v/>
      </c>
      <c r="P84" s="39">
        <f>IF(A84="","",DATE(YEAR(A84),MONTH(A84),1))</f>
        <v/>
      </c>
      <c r="Q84" s="40">
        <f>IF(OR(G84="",O84="Aprovado",O84="Recusado",O84="Sem retorno"),0,IF(O84="Parado",2000,1000)+MIN(N(M84),500)+N(F84)/1000000-ROW()/100000)</f>
        <v>0</v>
      </c>
    </row>
    <row r="85">
      <c r="A85" s="37" t="n"/>
      <c r="B85" s="32" t="n"/>
      <c r="C85" s="35" t="n"/>
      <c r="D85" s="35" t="n"/>
      <c r="E85" s="32" t="n"/>
      <c r="F85" s="38" t="n"/>
      <c r="G85" s="35" t="n"/>
      <c r="H85" s="37" t="n"/>
      <c r="I85" s="35" t="n"/>
      <c r="J85" s="32" t="n"/>
      <c r="K85" s="30">
        <f>IF(G85="","",IFERROR(INDEX(Config!$B$10:$B$14,MATCH(G85,Config!$A$10:$A$14,0)),0))</f>
        <v/>
      </c>
      <c r="L85" s="26">
        <f>IF(OR(G85="",F85=""),"",F85*K85)</f>
        <v/>
      </c>
      <c r="M85" s="29">
        <f>IF(OR(G85="",G85="Aprovado",G85="Recusado",G85="Sem retorno",A85=""),"",Config!$B$5-A85)</f>
        <v/>
      </c>
      <c r="N85" s="29">
        <f>IF(AND(OR(G85="Aprovado",G85="Recusado"),H85&lt;&gt;"",A85&lt;&gt;""),H85-A85,"")</f>
        <v/>
      </c>
      <c r="O85" s="25">
        <f>IF(G85="","",IF(OR(G85="Aprovado",G85="Recusado",G85="Sem retorno"),G85,IF(AND(M85&lt;&gt;"",M85&gt;Config!$B$7),"Parado","Ativo")))</f>
        <v/>
      </c>
      <c r="P85" s="39">
        <f>IF(A85="","",DATE(YEAR(A85),MONTH(A85),1))</f>
        <v/>
      </c>
      <c r="Q85" s="40">
        <f>IF(OR(G85="",O85="Aprovado",O85="Recusado",O85="Sem retorno"),0,IF(O85="Parado",2000,1000)+MIN(N(M85),500)+N(F85)/1000000-ROW()/100000)</f>
        <v>0</v>
      </c>
    </row>
    <row r="86">
      <c r="A86" s="37" t="n"/>
      <c r="B86" s="32" t="n"/>
      <c r="C86" s="35" t="n"/>
      <c r="D86" s="35" t="n"/>
      <c r="E86" s="32" t="n"/>
      <c r="F86" s="38" t="n"/>
      <c r="G86" s="35" t="n"/>
      <c r="H86" s="37" t="n"/>
      <c r="I86" s="35" t="n"/>
      <c r="J86" s="32" t="n"/>
      <c r="K86" s="30">
        <f>IF(G86="","",IFERROR(INDEX(Config!$B$10:$B$14,MATCH(G86,Config!$A$10:$A$14,0)),0))</f>
        <v/>
      </c>
      <c r="L86" s="26">
        <f>IF(OR(G86="",F86=""),"",F86*K86)</f>
        <v/>
      </c>
      <c r="M86" s="29">
        <f>IF(OR(G86="",G86="Aprovado",G86="Recusado",G86="Sem retorno",A86=""),"",Config!$B$5-A86)</f>
        <v/>
      </c>
      <c r="N86" s="29">
        <f>IF(AND(OR(G86="Aprovado",G86="Recusado"),H86&lt;&gt;"",A86&lt;&gt;""),H86-A86,"")</f>
        <v/>
      </c>
      <c r="O86" s="25">
        <f>IF(G86="","",IF(OR(G86="Aprovado",G86="Recusado",G86="Sem retorno"),G86,IF(AND(M86&lt;&gt;"",M86&gt;Config!$B$7),"Parado","Ativo")))</f>
        <v/>
      </c>
      <c r="P86" s="39">
        <f>IF(A86="","",DATE(YEAR(A86),MONTH(A86),1))</f>
        <v/>
      </c>
      <c r="Q86" s="40">
        <f>IF(OR(G86="",O86="Aprovado",O86="Recusado",O86="Sem retorno"),0,IF(O86="Parado",2000,1000)+MIN(N(M86),500)+N(F86)/1000000-ROW()/100000)</f>
        <v>0</v>
      </c>
    </row>
    <row r="87">
      <c r="A87" s="37" t="n"/>
      <c r="B87" s="32" t="n"/>
      <c r="C87" s="35" t="n"/>
      <c r="D87" s="35" t="n"/>
      <c r="E87" s="32" t="n"/>
      <c r="F87" s="38" t="n"/>
      <c r="G87" s="35" t="n"/>
      <c r="H87" s="37" t="n"/>
      <c r="I87" s="35" t="n"/>
      <c r="J87" s="32" t="n"/>
      <c r="K87" s="30">
        <f>IF(G87="","",IFERROR(INDEX(Config!$B$10:$B$14,MATCH(G87,Config!$A$10:$A$14,0)),0))</f>
        <v/>
      </c>
      <c r="L87" s="26">
        <f>IF(OR(G87="",F87=""),"",F87*K87)</f>
        <v/>
      </c>
      <c r="M87" s="29">
        <f>IF(OR(G87="",G87="Aprovado",G87="Recusado",G87="Sem retorno",A87=""),"",Config!$B$5-A87)</f>
        <v/>
      </c>
      <c r="N87" s="29">
        <f>IF(AND(OR(G87="Aprovado",G87="Recusado"),H87&lt;&gt;"",A87&lt;&gt;""),H87-A87,"")</f>
        <v/>
      </c>
      <c r="O87" s="25">
        <f>IF(G87="","",IF(OR(G87="Aprovado",G87="Recusado",G87="Sem retorno"),G87,IF(AND(M87&lt;&gt;"",M87&gt;Config!$B$7),"Parado","Ativo")))</f>
        <v/>
      </c>
      <c r="P87" s="39">
        <f>IF(A87="","",DATE(YEAR(A87),MONTH(A87),1))</f>
        <v/>
      </c>
      <c r="Q87" s="40">
        <f>IF(OR(G87="",O87="Aprovado",O87="Recusado",O87="Sem retorno"),0,IF(O87="Parado",2000,1000)+MIN(N(M87),500)+N(F87)/1000000-ROW()/100000)</f>
        <v>0</v>
      </c>
    </row>
    <row r="88">
      <c r="A88" s="37" t="n"/>
      <c r="B88" s="32" t="n"/>
      <c r="C88" s="35" t="n"/>
      <c r="D88" s="35" t="n"/>
      <c r="E88" s="32" t="n"/>
      <c r="F88" s="38" t="n"/>
      <c r="G88" s="35" t="n"/>
      <c r="H88" s="37" t="n"/>
      <c r="I88" s="35" t="n"/>
      <c r="J88" s="32" t="n"/>
      <c r="K88" s="30">
        <f>IF(G88="","",IFERROR(INDEX(Config!$B$10:$B$14,MATCH(G88,Config!$A$10:$A$14,0)),0))</f>
        <v/>
      </c>
      <c r="L88" s="26">
        <f>IF(OR(G88="",F88=""),"",F88*K88)</f>
        <v/>
      </c>
      <c r="M88" s="29">
        <f>IF(OR(G88="",G88="Aprovado",G88="Recusado",G88="Sem retorno",A88=""),"",Config!$B$5-A88)</f>
        <v/>
      </c>
      <c r="N88" s="29">
        <f>IF(AND(OR(G88="Aprovado",G88="Recusado"),H88&lt;&gt;"",A88&lt;&gt;""),H88-A88,"")</f>
        <v/>
      </c>
      <c r="O88" s="25">
        <f>IF(G88="","",IF(OR(G88="Aprovado",G88="Recusado",G88="Sem retorno"),G88,IF(AND(M88&lt;&gt;"",M88&gt;Config!$B$7),"Parado","Ativo")))</f>
        <v/>
      </c>
      <c r="P88" s="39">
        <f>IF(A88="","",DATE(YEAR(A88),MONTH(A88),1))</f>
        <v/>
      </c>
      <c r="Q88" s="40">
        <f>IF(OR(G88="",O88="Aprovado",O88="Recusado",O88="Sem retorno"),0,IF(O88="Parado",2000,1000)+MIN(N(M88),500)+N(F88)/1000000-ROW()/100000)</f>
        <v>0</v>
      </c>
    </row>
    <row r="89">
      <c r="A89" s="37" t="n"/>
      <c r="B89" s="32" t="n"/>
      <c r="C89" s="35" t="n"/>
      <c r="D89" s="35" t="n"/>
      <c r="E89" s="32" t="n"/>
      <c r="F89" s="38" t="n"/>
      <c r="G89" s="35" t="n"/>
      <c r="H89" s="37" t="n"/>
      <c r="I89" s="35" t="n"/>
      <c r="J89" s="32" t="n"/>
      <c r="K89" s="30">
        <f>IF(G89="","",IFERROR(INDEX(Config!$B$10:$B$14,MATCH(G89,Config!$A$10:$A$14,0)),0))</f>
        <v/>
      </c>
      <c r="L89" s="26">
        <f>IF(OR(G89="",F89=""),"",F89*K89)</f>
        <v/>
      </c>
      <c r="M89" s="29">
        <f>IF(OR(G89="",G89="Aprovado",G89="Recusado",G89="Sem retorno",A89=""),"",Config!$B$5-A89)</f>
        <v/>
      </c>
      <c r="N89" s="29">
        <f>IF(AND(OR(G89="Aprovado",G89="Recusado"),H89&lt;&gt;"",A89&lt;&gt;""),H89-A89,"")</f>
        <v/>
      </c>
      <c r="O89" s="25">
        <f>IF(G89="","",IF(OR(G89="Aprovado",G89="Recusado",G89="Sem retorno"),G89,IF(AND(M89&lt;&gt;"",M89&gt;Config!$B$7),"Parado","Ativo")))</f>
        <v/>
      </c>
      <c r="P89" s="39">
        <f>IF(A89="","",DATE(YEAR(A89),MONTH(A89),1))</f>
        <v/>
      </c>
      <c r="Q89" s="40">
        <f>IF(OR(G89="",O89="Aprovado",O89="Recusado",O89="Sem retorno"),0,IF(O89="Parado",2000,1000)+MIN(N(M89),500)+N(F89)/1000000-ROW()/100000)</f>
        <v>0</v>
      </c>
    </row>
    <row r="90">
      <c r="A90" s="37" t="n"/>
      <c r="B90" s="32" t="n"/>
      <c r="C90" s="35" t="n"/>
      <c r="D90" s="35" t="n"/>
      <c r="E90" s="32" t="n"/>
      <c r="F90" s="38" t="n"/>
      <c r="G90" s="35" t="n"/>
      <c r="H90" s="37" t="n"/>
      <c r="I90" s="35" t="n"/>
      <c r="J90" s="32" t="n"/>
      <c r="K90" s="30">
        <f>IF(G90="","",IFERROR(INDEX(Config!$B$10:$B$14,MATCH(G90,Config!$A$10:$A$14,0)),0))</f>
        <v/>
      </c>
      <c r="L90" s="26">
        <f>IF(OR(G90="",F90=""),"",F90*K90)</f>
        <v/>
      </c>
      <c r="M90" s="29">
        <f>IF(OR(G90="",G90="Aprovado",G90="Recusado",G90="Sem retorno",A90=""),"",Config!$B$5-A90)</f>
        <v/>
      </c>
      <c r="N90" s="29">
        <f>IF(AND(OR(G90="Aprovado",G90="Recusado"),H90&lt;&gt;"",A90&lt;&gt;""),H90-A90,"")</f>
        <v/>
      </c>
      <c r="O90" s="25">
        <f>IF(G90="","",IF(OR(G90="Aprovado",G90="Recusado",G90="Sem retorno"),G90,IF(AND(M90&lt;&gt;"",M90&gt;Config!$B$7),"Parado","Ativo")))</f>
        <v/>
      </c>
      <c r="P90" s="39">
        <f>IF(A90="","",DATE(YEAR(A90),MONTH(A90),1))</f>
        <v/>
      </c>
      <c r="Q90" s="40">
        <f>IF(OR(G90="",O90="Aprovado",O90="Recusado",O90="Sem retorno"),0,IF(O90="Parado",2000,1000)+MIN(N(M90),500)+N(F90)/1000000-ROW()/100000)</f>
        <v>0</v>
      </c>
    </row>
    <row r="91">
      <c r="A91" s="37" t="n"/>
      <c r="B91" s="32" t="n"/>
      <c r="C91" s="35" t="n"/>
      <c r="D91" s="35" t="n"/>
      <c r="E91" s="32" t="n"/>
      <c r="F91" s="38" t="n"/>
      <c r="G91" s="35" t="n"/>
      <c r="H91" s="37" t="n"/>
      <c r="I91" s="35" t="n"/>
      <c r="J91" s="32" t="n"/>
      <c r="K91" s="30">
        <f>IF(G91="","",IFERROR(INDEX(Config!$B$10:$B$14,MATCH(G91,Config!$A$10:$A$14,0)),0))</f>
        <v/>
      </c>
      <c r="L91" s="26">
        <f>IF(OR(G91="",F91=""),"",F91*K91)</f>
        <v/>
      </c>
      <c r="M91" s="29">
        <f>IF(OR(G91="",G91="Aprovado",G91="Recusado",G91="Sem retorno",A91=""),"",Config!$B$5-A91)</f>
        <v/>
      </c>
      <c r="N91" s="29">
        <f>IF(AND(OR(G91="Aprovado",G91="Recusado"),H91&lt;&gt;"",A91&lt;&gt;""),H91-A91,"")</f>
        <v/>
      </c>
      <c r="O91" s="25">
        <f>IF(G91="","",IF(OR(G91="Aprovado",G91="Recusado",G91="Sem retorno"),G91,IF(AND(M91&lt;&gt;"",M91&gt;Config!$B$7),"Parado","Ativo")))</f>
        <v/>
      </c>
      <c r="P91" s="39">
        <f>IF(A91="","",DATE(YEAR(A91),MONTH(A91),1))</f>
        <v/>
      </c>
      <c r="Q91" s="40">
        <f>IF(OR(G91="",O91="Aprovado",O91="Recusado",O91="Sem retorno"),0,IF(O91="Parado",2000,1000)+MIN(N(M91),500)+N(F91)/1000000-ROW()/100000)</f>
        <v>0</v>
      </c>
    </row>
    <row r="92">
      <c r="A92" s="37" t="n"/>
      <c r="B92" s="32" t="n"/>
      <c r="C92" s="35" t="n"/>
      <c r="D92" s="35" t="n"/>
      <c r="E92" s="32" t="n"/>
      <c r="F92" s="38" t="n"/>
      <c r="G92" s="35" t="n"/>
      <c r="H92" s="37" t="n"/>
      <c r="I92" s="35" t="n"/>
      <c r="J92" s="32" t="n"/>
      <c r="K92" s="30">
        <f>IF(G92="","",IFERROR(INDEX(Config!$B$10:$B$14,MATCH(G92,Config!$A$10:$A$14,0)),0))</f>
        <v/>
      </c>
      <c r="L92" s="26">
        <f>IF(OR(G92="",F92=""),"",F92*K92)</f>
        <v/>
      </c>
      <c r="M92" s="29">
        <f>IF(OR(G92="",G92="Aprovado",G92="Recusado",G92="Sem retorno",A92=""),"",Config!$B$5-A92)</f>
        <v/>
      </c>
      <c r="N92" s="29">
        <f>IF(AND(OR(G92="Aprovado",G92="Recusado"),H92&lt;&gt;"",A92&lt;&gt;""),H92-A92,"")</f>
        <v/>
      </c>
      <c r="O92" s="25">
        <f>IF(G92="","",IF(OR(G92="Aprovado",G92="Recusado",G92="Sem retorno"),G92,IF(AND(M92&lt;&gt;"",M92&gt;Config!$B$7),"Parado","Ativo")))</f>
        <v/>
      </c>
      <c r="P92" s="39">
        <f>IF(A92="","",DATE(YEAR(A92),MONTH(A92),1))</f>
        <v/>
      </c>
      <c r="Q92" s="40">
        <f>IF(OR(G92="",O92="Aprovado",O92="Recusado",O92="Sem retorno"),0,IF(O92="Parado",2000,1000)+MIN(N(M92),500)+N(F92)/1000000-ROW()/100000)</f>
        <v>0</v>
      </c>
    </row>
    <row r="93">
      <c r="A93" s="37" t="n"/>
      <c r="B93" s="32" t="n"/>
      <c r="C93" s="35" t="n"/>
      <c r="D93" s="35" t="n"/>
      <c r="E93" s="32" t="n"/>
      <c r="F93" s="38" t="n"/>
      <c r="G93" s="35" t="n"/>
      <c r="H93" s="37" t="n"/>
      <c r="I93" s="35" t="n"/>
      <c r="J93" s="32" t="n"/>
      <c r="K93" s="30">
        <f>IF(G93="","",IFERROR(INDEX(Config!$B$10:$B$14,MATCH(G93,Config!$A$10:$A$14,0)),0))</f>
        <v/>
      </c>
      <c r="L93" s="26">
        <f>IF(OR(G93="",F93=""),"",F93*K93)</f>
        <v/>
      </c>
      <c r="M93" s="29">
        <f>IF(OR(G93="",G93="Aprovado",G93="Recusado",G93="Sem retorno",A93=""),"",Config!$B$5-A93)</f>
        <v/>
      </c>
      <c r="N93" s="29">
        <f>IF(AND(OR(G93="Aprovado",G93="Recusado"),H93&lt;&gt;"",A93&lt;&gt;""),H93-A93,"")</f>
        <v/>
      </c>
      <c r="O93" s="25">
        <f>IF(G93="","",IF(OR(G93="Aprovado",G93="Recusado",G93="Sem retorno"),G93,IF(AND(M93&lt;&gt;"",M93&gt;Config!$B$7),"Parado","Ativo")))</f>
        <v/>
      </c>
      <c r="P93" s="39">
        <f>IF(A93="","",DATE(YEAR(A93),MONTH(A93),1))</f>
        <v/>
      </c>
      <c r="Q93" s="40">
        <f>IF(OR(G93="",O93="Aprovado",O93="Recusado",O93="Sem retorno"),0,IF(O93="Parado",2000,1000)+MIN(N(M93),500)+N(F93)/1000000-ROW()/100000)</f>
        <v>0</v>
      </c>
    </row>
    <row r="94">
      <c r="A94" s="37" t="n"/>
      <c r="B94" s="32" t="n"/>
      <c r="C94" s="35" t="n"/>
      <c r="D94" s="35" t="n"/>
      <c r="E94" s="32" t="n"/>
      <c r="F94" s="38" t="n"/>
      <c r="G94" s="35" t="n"/>
      <c r="H94" s="37" t="n"/>
      <c r="I94" s="35" t="n"/>
      <c r="J94" s="32" t="n"/>
      <c r="K94" s="30">
        <f>IF(G94="","",IFERROR(INDEX(Config!$B$10:$B$14,MATCH(G94,Config!$A$10:$A$14,0)),0))</f>
        <v/>
      </c>
      <c r="L94" s="26">
        <f>IF(OR(G94="",F94=""),"",F94*K94)</f>
        <v/>
      </c>
      <c r="M94" s="29">
        <f>IF(OR(G94="",G94="Aprovado",G94="Recusado",G94="Sem retorno",A94=""),"",Config!$B$5-A94)</f>
        <v/>
      </c>
      <c r="N94" s="29">
        <f>IF(AND(OR(G94="Aprovado",G94="Recusado"),H94&lt;&gt;"",A94&lt;&gt;""),H94-A94,"")</f>
        <v/>
      </c>
      <c r="O94" s="25">
        <f>IF(G94="","",IF(OR(G94="Aprovado",G94="Recusado",G94="Sem retorno"),G94,IF(AND(M94&lt;&gt;"",M94&gt;Config!$B$7),"Parado","Ativo")))</f>
        <v/>
      </c>
      <c r="P94" s="39">
        <f>IF(A94="","",DATE(YEAR(A94),MONTH(A94),1))</f>
        <v/>
      </c>
      <c r="Q94" s="40">
        <f>IF(OR(G94="",O94="Aprovado",O94="Recusado",O94="Sem retorno"),0,IF(O94="Parado",2000,1000)+MIN(N(M94),500)+N(F94)/1000000-ROW()/100000)</f>
        <v>0</v>
      </c>
    </row>
    <row r="95">
      <c r="A95" s="37" t="n"/>
      <c r="B95" s="32" t="n"/>
      <c r="C95" s="35" t="n"/>
      <c r="D95" s="35" t="n"/>
      <c r="E95" s="32" t="n"/>
      <c r="F95" s="38" t="n"/>
      <c r="G95" s="35" t="n"/>
      <c r="H95" s="37" t="n"/>
      <c r="I95" s="35" t="n"/>
      <c r="J95" s="32" t="n"/>
      <c r="K95" s="30">
        <f>IF(G95="","",IFERROR(INDEX(Config!$B$10:$B$14,MATCH(G95,Config!$A$10:$A$14,0)),0))</f>
        <v/>
      </c>
      <c r="L95" s="26">
        <f>IF(OR(G95="",F95=""),"",F95*K95)</f>
        <v/>
      </c>
      <c r="M95" s="29">
        <f>IF(OR(G95="",G95="Aprovado",G95="Recusado",G95="Sem retorno",A95=""),"",Config!$B$5-A95)</f>
        <v/>
      </c>
      <c r="N95" s="29">
        <f>IF(AND(OR(G95="Aprovado",G95="Recusado"),H95&lt;&gt;"",A95&lt;&gt;""),H95-A95,"")</f>
        <v/>
      </c>
      <c r="O95" s="25">
        <f>IF(G95="","",IF(OR(G95="Aprovado",G95="Recusado",G95="Sem retorno"),G95,IF(AND(M95&lt;&gt;"",M95&gt;Config!$B$7),"Parado","Ativo")))</f>
        <v/>
      </c>
      <c r="P95" s="39">
        <f>IF(A95="","",DATE(YEAR(A95),MONTH(A95),1))</f>
        <v/>
      </c>
      <c r="Q95" s="40">
        <f>IF(OR(G95="",O95="Aprovado",O95="Recusado",O95="Sem retorno"),0,IF(O95="Parado",2000,1000)+MIN(N(M95),500)+N(F95)/1000000-ROW()/100000)</f>
        <v>0</v>
      </c>
    </row>
    <row r="96">
      <c r="A96" s="37" t="n"/>
      <c r="B96" s="32" t="n"/>
      <c r="C96" s="35" t="n"/>
      <c r="D96" s="35" t="n"/>
      <c r="E96" s="32" t="n"/>
      <c r="F96" s="38" t="n"/>
      <c r="G96" s="35" t="n"/>
      <c r="H96" s="37" t="n"/>
      <c r="I96" s="35" t="n"/>
      <c r="J96" s="32" t="n"/>
      <c r="K96" s="30">
        <f>IF(G96="","",IFERROR(INDEX(Config!$B$10:$B$14,MATCH(G96,Config!$A$10:$A$14,0)),0))</f>
        <v/>
      </c>
      <c r="L96" s="26">
        <f>IF(OR(G96="",F96=""),"",F96*K96)</f>
        <v/>
      </c>
      <c r="M96" s="29">
        <f>IF(OR(G96="",G96="Aprovado",G96="Recusado",G96="Sem retorno",A96=""),"",Config!$B$5-A96)</f>
        <v/>
      </c>
      <c r="N96" s="29">
        <f>IF(AND(OR(G96="Aprovado",G96="Recusado"),H96&lt;&gt;"",A96&lt;&gt;""),H96-A96,"")</f>
        <v/>
      </c>
      <c r="O96" s="25">
        <f>IF(G96="","",IF(OR(G96="Aprovado",G96="Recusado",G96="Sem retorno"),G96,IF(AND(M96&lt;&gt;"",M96&gt;Config!$B$7),"Parado","Ativo")))</f>
        <v/>
      </c>
      <c r="P96" s="39">
        <f>IF(A96="","",DATE(YEAR(A96),MONTH(A96),1))</f>
        <v/>
      </c>
      <c r="Q96" s="40">
        <f>IF(OR(G96="",O96="Aprovado",O96="Recusado",O96="Sem retorno"),0,IF(O96="Parado",2000,1000)+MIN(N(M96),500)+N(F96)/1000000-ROW()/100000)</f>
        <v>0</v>
      </c>
    </row>
    <row r="97">
      <c r="A97" s="37" t="n"/>
      <c r="B97" s="32" t="n"/>
      <c r="C97" s="35" t="n"/>
      <c r="D97" s="35" t="n"/>
      <c r="E97" s="32" t="n"/>
      <c r="F97" s="38" t="n"/>
      <c r="G97" s="35" t="n"/>
      <c r="H97" s="37" t="n"/>
      <c r="I97" s="35" t="n"/>
      <c r="J97" s="32" t="n"/>
      <c r="K97" s="30">
        <f>IF(G97="","",IFERROR(INDEX(Config!$B$10:$B$14,MATCH(G97,Config!$A$10:$A$14,0)),0))</f>
        <v/>
      </c>
      <c r="L97" s="26">
        <f>IF(OR(G97="",F97=""),"",F97*K97)</f>
        <v/>
      </c>
      <c r="M97" s="29">
        <f>IF(OR(G97="",G97="Aprovado",G97="Recusado",G97="Sem retorno",A97=""),"",Config!$B$5-A97)</f>
        <v/>
      </c>
      <c r="N97" s="29">
        <f>IF(AND(OR(G97="Aprovado",G97="Recusado"),H97&lt;&gt;"",A97&lt;&gt;""),H97-A97,"")</f>
        <v/>
      </c>
      <c r="O97" s="25">
        <f>IF(G97="","",IF(OR(G97="Aprovado",G97="Recusado",G97="Sem retorno"),G97,IF(AND(M97&lt;&gt;"",M97&gt;Config!$B$7),"Parado","Ativo")))</f>
        <v/>
      </c>
      <c r="P97" s="39">
        <f>IF(A97="","",DATE(YEAR(A97),MONTH(A97),1))</f>
        <v/>
      </c>
      <c r="Q97" s="40">
        <f>IF(OR(G97="",O97="Aprovado",O97="Recusado",O97="Sem retorno"),0,IF(O97="Parado",2000,1000)+MIN(N(M97),500)+N(F97)/1000000-ROW()/100000)</f>
        <v>0</v>
      </c>
    </row>
    <row r="98">
      <c r="A98" s="37" t="n"/>
      <c r="B98" s="32" t="n"/>
      <c r="C98" s="35" t="n"/>
      <c r="D98" s="35" t="n"/>
      <c r="E98" s="32" t="n"/>
      <c r="F98" s="38" t="n"/>
      <c r="G98" s="35" t="n"/>
      <c r="H98" s="37" t="n"/>
      <c r="I98" s="35" t="n"/>
      <c r="J98" s="32" t="n"/>
      <c r="K98" s="30">
        <f>IF(G98="","",IFERROR(INDEX(Config!$B$10:$B$14,MATCH(G98,Config!$A$10:$A$14,0)),0))</f>
        <v/>
      </c>
      <c r="L98" s="26">
        <f>IF(OR(G98="",F98=""),"",F98*K98)</f>
        <v/>
      </c>
      <c r="M98" s="29">
        <f>IF(OR(G98="",G98="Aprovado",G98="Recusado",G98="Sem retorno",A98=""),"",Config!$B$5-A98)</f>
        <v/>
      </c>
      <c r="N98" s="29">
        <f>IF(AND(OR(G98="Aprovado",G98="Recusado"),H98&lt;&gt;"",A98&lt;&gt;""),H98-A98,"")</f>
        <v/>
      </c>
      <c r="O98" s="25">
        <f>IF(G98="","",IF(OR(G98="Aprovado",G98="Recusado",G98="Sem retorno"),G98,IF(AND(M98&lt;&gt;"",M98&gt;Config!$B$7),"Parado","Ativo")))</f>
        <v/>
      </c>
      <c r="P98" s="39">
        <f>IF(A98="","",DATE(YEAR(A98),MONTH(A98),1))</f>
        <v/>
      </c>
      <c r="Q98" s="40">
        <f>IF(OR(G98="",O98="Aprovado",O98="Recusado",O98="Sem retorno"),0,IF(O98="Parado",2000,1000)+MIN(N(M98),500)+N(F98)/1000000-ROW()/100000)</f>
        <v>0</v>
      </c>
    </row>
    <row r="99">
      <c r="A99" s="37" t="n"/>
      <c r="B99" s="32" t="n"/>
      <c r="C99" s="35" t="n"/>
      <c r="D99" s="35" t="n"/>
      <c r="E99" s="32" t="n"/>
      <c r="F99" s="38" t="n"/>
      <c r="G99" s="35" t="n"/>
      <c r="H99" s="37" t="n"/>
      <c r="I99" s="35" t="n"/>
      <c r="J99" s="32" t="n"/>
      <c r="K99" s="30">
        <f>IF(G99="","",IFERROR(INDEX(Config!$B$10:$B$14,MATCH(G99,Config!$A$10:$A$14,0)),0))</f>
        <v/>
      </c>
      <c r="L99" s="26">
        <f>IF(OR(G99="",F99=""),"",F99*K99)</f>
        <v/>
      </c>
      <c r="M99" s="29">
        <f>IF(OR(G99="",G99="Aprovado",G99="Recusado",G99="Sem retorno",A99=""),"",Config!$B$5-A99)</f>
        <v/>
      </c>
      <c r="N99" s="29">
        <f>IF(AND(OR(G99="Aprovado",G99="Recusado"),H99&lt;&gt;"",A99&lt;&gt;""),H99-A99,"")</f>
        <v/>
      </c>
      <c r="O99" s="25">
        <f>IF(G99="","",IF(OR(G99="Aprovado",G99="Recusado",G99="Sem retorno"),G99,IF(AND(M99&lt;&gt;"",M99&gt;Config!$B$7),"Parado","Ativo")))</f>
        <v/>
      </c>
      <c r="P99" s="39">
        <f>IF(A99="","",DATE(YEAR(A99),MONTH(A99),1))</f>
        <v/>
      </c>
      <c r="Q99" s="40">
        <f>IF(OR(G99="",O99="Aprovado",O99="Recusado",O99="Sem retorno"),0,IF(O99="Parado",2000,1000)+MIN(N(M99),500)+N(F99)/1000000-ROW()/100000)</f>
        <v>0</v>
      </c>
    </row>
    <row r="100">
      <c r="A100" s="37" t="n"/>
      <c r="B100" s="32" t="n"/>
      <c r="C100" s="35" t="n"/>
      <c r="D100" s="35" t="n"/>
      <c r="E100" s="32" t="n"/>
      <c r="F100" s="38" t="n"/>
      <c r="G100" s="35" t="n"/>
      <c r="H100" s="37" t="n"/>
      <c r="I100" s="35" t="n"/>
      <c r="J100" s="32" t="n"/>
      <c r="K100" s="30">
        <f>IF(G100="","",IFERROR(INDEX(Config!$B$10:$B$14,MATCH(G100,Config!$A$10:$A$14,0)),0))</f>
        <v/>
      </c>
      <c r="L100" s="26">
        <f>IF(OR(G100="",F100=""),"",F100*K100)</f>
        <v/>
      </c>
      <c r="M100" s="29">
        <f>IF(OR(G100="",G100="Aprovado",G100="Recusado",G100="Sem retorno",A100=""),"",Config!$B$5-A100)</f>
        <v/>
      </c>
      <c r="N100" s="29">
        <f>IF(AND(OR(G100="Aprovado",G100="Recusado"),H100&lt;&gt;"",A100&lt;&gt;""),H100-A100,"")</f>
        <v/>
      </c>
      <c r="O100" s="25">
        <f>IF(G100="","",IF(OR(G100="Aprovado",G100="Recusado",G100="Sem retorno"),G100,IF(AND(M100&lt;&gt;"",M100&gt;Config!$B$7),"Parado","Ativo")))</f>
        <v/>
      </c>
      <c r="P100" s="39">
        <f>IF(A100="","",DATE(YEAR(A100),MONTH(A100),1))</f>
        <v/>
      </c>
      <c r="Q100" s="40">
        <f>IF(OR(G100="",O100="Aprovado",O100="Recusado",O100="Sem retorno"),0,IF(O100="Parado",2000,1000)+MIN(N(M100),500)+N(F100)/1000000-ROW()/100000)</f>
        <v>0</v>
      </c>
    </row>
    <row r="101">
      <c r="A101" s="37" t="n"/>
      <c r="B101" s="32" t="n"/>
      <c r="C101" s="35" t="n"/>
      <c r="D101" s="35" t="n"/>
      <c r="E101" s="32" t="n"/>
      <c r="F101" s="38" t="n"/>
      <c r="G101" s="35" t="n"/>
      <c r="H101" s="37" t="n"/>
      <c r="I101" s="35" t="n"/>
      <c r="J101" s="32" t="n"/>
      <c r="K101" s="30">
        <f>IF(G101="","",IFERROR(INDEX(Config!$B$10:$B$14,MATCH(G101,Config!$A$10:$A$14,0)),0))</f>
        <v/>
      </c>
      <c r="L101" s="26">
        <f>IF(OR(G101="",F101=""),"",F101*K101)</f>
        <v/>
      </c>
      <c r="M101" s="29">
        <f>IF(OR(G101="",G101="Aprovado",G101="Recusado",G101="Sem retorno",A101=""),"",Config!$B$5-A101)</f>
        <v/>
      </c>
      <c r="N101" s="29">
        <f>IF(AND(OR(G101="Aprovado",G101="Recusado"),H101&lt;&gt;"",A101&lt;&gt;""),H101-A101,"")</f>
        <v/>
      </c>
      <c r="O101" s="25">
        <f>IF(G101="","",IF(OR(G101="Aprovado",G101="Recusado",G101="Sem retorno"),G101,IF(AND(M101&lt;&gt;"",M101&gt;Config!$B$7),"Parado","Ativo")))</f>
        <v/>
      </c>
      <c r="P101" s="39">
        <f>IF(A101="","",DATE(YEAR(A101),MONTH(A101),1))</f>
        <v/>
      </c>
      <c r="Q101" s="40">
        <f>IF(OR(G101="",O101="Aprovado",O101="Recusado",O101="Sem retorno"),0,IF(O101="Parado",2000,1000)+MIN(N(M101),500)+N(F101)/1000000-ROW()/100000)</f>
        <v>0</v>
      </c>
    </row>
    <row r="102">
      <c r="A102" s="37" t="n"/>
      <c r="B102" s="32" t="n"/>
      <c r="C102" s="35" t="n"/>
      <c r="D102" s="35" t="n"/>
      <c r="E102" s="32" t="n"/>
      <c r="F102" s="38" t="n"/>
      <c r="G102" s="35" t="n"/>
      <c r="H102" s="37" t="n"/>
      <c r="I102" s="35" t="n"/>
      <c r="J102" s="32" t="n"/>
      <c r="K102" s="30">
        <f>IF(G102="","",IFERROR(INDEX(Config!$B$10:$B$14,MATCH(G102,Config!$A$10:$A$14,0)),0))</f>
        <v/>
      </c>
      <c r="L102" s="26">
        <f>IF(OR(G102="",F102=""),"",F102*K102)</f>
        <v/>
      </c>
      <c r="M102" s="29">
        <f>IF(OR(G102="",G102="Aprovado",G102="Recusado",G102="Sem retorno",A102=""),"",Config!$B$5-A102)</f>
        <v/>
      </c>
      <c r="N102" s="29">
        <f>IF(AND(OR(G102="Aprovado",G102="Recusado"),H102&lt;&gt;"",A102&lt;&gt;""),H102-A102,"")</f>
        <v/>
      </c>
      <c r="O102" s="25">
        <f>IF(G102="","",IF(OR(G102="Aprovado",G102="Recusado",G102="Sem retorno"),G102,IF(AND(M102&lt;&gt;"",M102&gt;Config!$B$7),"Parado","Ativo")))</f>
        <v/>
      </c>
      <c r="P102" s="39">
        <f>IF(A102="","",DATE(YEAR(A102),MONTH(A102),1))</f>
        <v/>
      </c>
      <c r="Q102" s="40">
        <f>IF(OR(G102="",O102="Aprovado",O102="Recusado",O102="Sem retorno"),0,IF(O102="Parado",2000,1000)+MIN(N(M102),500)+N(F102)/1000000-ROW()/100000)</f>
        <v>0</v>
      </c>
    </row>
    <row r="103">
      <c r="A103" s="37" t="n"/>
      <c r="B103" s="32" t="n"/>
      <c r="C103" s="35" t="n"/>
      <c r="D103" s="35" t="n"/>
      <c r="E103" s="32" t="n"/>
      <c r="F103" s="38" t="n"/>
      <c r="G103" s="35" t="n"/>
      <c r="H103" s="37" t="n"/>
      <c r="I103" s="35" t="n"/>
      <c r="J103" s="32" t="n"/>
      <c r="K103" s="30">
        <f>IF(G103="","",IFERROR(INDEX(Config!$B$10:$B$14,MATCH(G103,Config!$A$10:$A$14,0)),0))</f>
        <v/>
      </c>
      <c r="L103" s="26">
        <f>IF(OR(G103="",F103=""),"",F103*K103)</f>
        <v/>
      </c>
      <c r="M103" s="29">
        <f>IF(OR(G103="",G103="Aprovado",G103="Recusado",G103="Sem retorno",A103=""),"",Config!$B$5-A103)</f>
        <v/>
      </c>
      <c r="N103" s="29">
        <f>IF(AND(OR(G103="Aprovado",G103="Recusado"),H103&lt;&gt;"",A103&lt;&gt;""),H103-A103,"")</f>
        <v/>
      </c>
      <c r="O103" s="25">
        <f>IF(G103="","",IF(OR(G103="Aprovado",G103="Recusado",G103="Sem retorno"),G103,IF(AND(M103&lt;&gt;"",M103&gt;Config!$B$7),"Parado","Ativo")))</f>
        <v/>
      </c>
      <c r="P103" s="39">
        <f>IF(A103="","",DATE(YEAR(A103),MONTH(A103),1))</f>
        <v/>
      </c>
      <c r="Q103" s="40">
        <f>IF(OR(G103="",O103="Aprovado",O103="Recusado",O103="Sem retorno"),0,IF(O103="Parado",2000,1000)+MIN(N(M103),500)+N(F103)/1000000-ROW()/100000)</f>
        <v>0</v>
      </c>
    </row>
    <row r="104">
      <c r="A104" s="37" t="n"/>
      <c r="B104" s="32" t="n"/>
      <c r="C104" s="35" t="n"/>
      <c r="D104" s="35" t="n"/>
      <c r="E104" s="32" t="n"/>
      <c r="F104" s="38" t="n"/>
      <c r="G104" s="35" t="n"/>
      <c r="H104" s="37" t="n"/>
      <c r="I104" s="35" t="n"/>
      <c r="J104" s="32" t="n"/>
      <c r="K104" s="30">
        <f>IF(G104="","",IFERROR(INDEX(Config!$B$10:$B$14,MATCH(G104,Config!$A$10:$A$14,0)),0))</f>
        <v/>
      </c>
      <c r="L104" s="26">
        <f>IF(OR(G104="",F104=""),"",F104*K104)</f>
        <v/>
      </c>
      <c r="M104" s="29">
        <f>IF(OR(G104="",G104="Aprovado",G104="Recusado",G104="Sem retorno",A104=""),"",Config!$B$5-A104)</f>
        <v/>
      </c>
      <c r="N104" s="29">
        <f>IF(AND(OR(G104="Aprovado",G104="Recusado"),H104&lt;&gt;"",A104&lt;&gt;""),H104-A104,"")</f>
        <v/>
      </c>
      <c r="O104" s="25">
        <f>IF(G104="","",IF(OR(G104="Aprovado",G104="Recusado",G104="Sem retorno"),G104,IF(AND(M104&lt;&gt;"",M104&gt;Config!$B$7),"Parado","Ativo")))</f>
        <v/>
      </c>
      <c r="P104" s="39">
        <f>IF(A104="","",DATE(YEAR(A104),MONTH(A104),1))</f>
        <v/>
      </c>
      <c r="Q104" s="40">
        <f>IF(OR(G104="",O104="Aprovado",O104="Recusado",O104="Sem retorno"),0,IF(O104="Parado",2000,1000)+MIN(N(M104),500)+N(F104)/1000000-ROW()/100000)</f>
        <v>0</v>
      </c>
    </row>
    <row r="105">
      <c r="A105" s="37" t="n"/>
      <c r="B105" s="32" t="n"/>
      <c r="C105" s="35" t="n"/>
      <c r="D105" s="35" t="n"/>
      <c r="E105" s="32" t="n"/>
      <c r="F105" s="38" t="n"/>
      <c r="G105" s="35" t="n"/>
      <c r="H105" s="37" t="n"/>
      <c r="I105" s="35" t="n"/>
      <c r="J105" s="32" t="n"/>
      <c r="K105" s="30">
        <f>IF(G105="","",IFERROR(INDEX(Config!$B$10:$B$14,MATCH(G105,Config!$A$10:$A$14,0)),0))</f>
        <v/>
      </c>
      <c r="L105" s="26">
        <f>IF(OR(G105="",F105=""),"",F105*K105)</f>
        <v/>
      </c>
      <c r="M105" s="29">
        <f>IF(OR(G105="",G105="Aprovado",G105="Recusado",G105="Sem retorno",A105=""),"",Config!$B$5-A105)</f>
        <v/>
      </c>
      <c r="N105" s="29">
        <f>IF(AND(OR(G105="Aprovado",G105="Recusado"),H105&lt;&gt;"",A105&lt;&gt;""),H105-A105,"")</f>
        <v/>
      </c>
      <c r="O105" s="25">
        <f>IF(G105="","",IF(OR(G105="Aprovado",G105="Recusado",G105="Sem retorno"),G105,IF(AND(M105&lt;&gt;"",M105&gt;Config!$B$7),"Parado","Ativo")))</f>
        <v/>
      </c>
      <c r="P105" s="39">
        <f>IF(A105="","",DATE(YEAR(A105),MONTH(A105),1))</f>
        <v/>
      </c>
      <c r="Q105" s="40">
        <f>IF(OR(G105="",O105="Aprovado",O105="Recusado",O105="Sem retorno"),0,IF(O105="Parado",2000,1000)+MIN(N(M105),500)+N(F105)/1000000-ROW()/100000)</f>
        <v>0</v>
      </c>
    </row>
    <row r="106">
      <c r="A106" s="37" t="n"/>
      <c r="B106" s="32" t="n"/>
      <c r="C106" s="35" t="n"/>
      <c r="D106" s="35" t="n"/>
      <c r="E106" s="32" t="n"/>
      <c r="F106" s="38" t="n"/>
      <c r="G106" s="35" t="n"/>
      <c r="H106" s="37" t="n"/>
      <c r="I106" s="35" t="n"/>
      <c r="J106" s="32" t="n"/>
      <c r="K106" s="30">
        <f>IF(G106="","",IFERROR(INDEX(Config!$B$10:$B$14,MATCH(G106,Config!$A$10:$A$14,0)),0))</f>
        <v/>
      </c>
      <c r="L106" s="26">
        <f>IF(OR(G106="",F106=""),"",F106*K106)</f>
        <v/>
      </c>
      <c r="M106" s="29">
        <f>IF(OR(G106="",G106="Aprovado",G106="Recusado",G106="Sem retorno",A106=""),"",Config!$B$5-A106)</f>
        <v/>
      </c>
      <c r="N106" s="29">
        <f>IF(AND(OR(G106="Aprovado",G106="Recusado"),H106&lt;&gt;"",A106&lt;&gt;""),H106-A106,"")</f>
        <v/>
      </c>
      <c r="O106" s="25">
        <f>IF(G106="","",IF(OR(G106="Aprovado",G106="Recusado",G106="Sem retorno"),G106,IF(AND(M106&lt;&gt;"",M106&gt;Config!$B$7),"Parado","Ativo")))</f>
        <v/>
      </c>
      <c r="P106" s="39">
        <f>IF(A106="","",DATE(YEAR(A106),MONTH(A106),1))</f>
        <v/>
      </c>
      <c r="Q106" s="40">
        <f>IF(OR(G106="",O106="Aprovado",O106="Recusado",O106="Sem retorno"),0,IF(O106="Parado",2000,1000)+MIN(N(M106),500)+N(F106)/1000000-ROW()/100000)</f>
        <v>0</v>
      </c>
    </row>
    <row r="107">
      <c r="A107" s="37" t="n"/>
      <c r="B107" s="32" t="n"/>
      <c r="C107" s="35" t="n"/>
      <c r="D107" s="35" t="n"/>
      <c r="E107" s="32" t="n"/>
      <c r="F107" s="38" t="n"/>
      <c r="G107" s="35" t="n"/>
      <c r="H107" s="37" t="n"/>
      <c r="I107" s="35" t="n"/>
      <c r="J107" s="32" t="n"/>
      <c r="K107" s="30">
        <f>IF(G107="","",IFERROR(INDEX(Config!$B$10:$B$14,MATCH(G107,Config!$A$10:$A$14,0)),0))</f>
        <v/>
      </c>
      <c r="L107" s="26">
        <f>IF(OR(G107="",F107=""),"",F107*K107)</f>
        <v/>
      </c>
      <c r="M107" s="29">
        <f>IF(OR(G107="",G107="Aprovado",G107="Recusado",G107="Sem retorno",A107=""),"",Config!$B$5-A107)</f>
        <v/>
      </c>
      <c r="N107" s="29">
        <f>IF(AND(OR(G107="Aprovado",G107="Recusado"),H107&lt;&gt;"",A107&lt;&gt;""),H107-A107,"")</f>
        <v/>
      </c>
      <c r="O107" s="25">
        <f>IF(G107="","",IF(OR(G107="Aprovado",G107="Recusado",G107="Sem retorno"),G107,IF(AND(M107&lt;&gt;"",M107&gt;Config!$B$7),"Parado","Ativo")))</f>
        <v/>
      </c>
      <c r="P107" s="39">
        <f>IF(A107="","",DATE(YEAR(A107),MONTH(A107),1))</f>
        <v/>
      </c>
      <c r="Q107" s="40">
        <f>IF(OR(G107="",O107="Aprovado",O107="Recusado",O107="Sem retorno"),0,IF(O107="Parado",2000,1000)+MIN(N(M107),500)+N(F107)/1000000-ROW()/100000)</f>
        <v>0</v>
      </c>
    </row>
    <row r="108">
      <c r="A108" s="37" t="n"/>
      <c r="B108" s="32" t="n"/>
      <c r="C108" s="35" t="n"/>
      <c r="D108" s="35" t="n"/>
      <c r="E108" s="32" t="n"/>
      <c r="F108" s="38" t="n"/>
      <c r="G108" s="35" t="n"/>
      <c r="H108" s="37" t="n"/>
      <c r="I108" s="35" t="n"/>
      <c r="J108" s="32" t="n"/>
      <c r="K108" s="30">
        <f>IF(G108="","",IFERROR(INDEX(Config!$B$10:$B$14,MATCH(G108,Config!$A$10:$A$14,0)),0))</f>
        <v/>
      </c>
      <c r="L108" s="26">
        <f>IF(OR(G108="",F108=""),"",F108*K108)</f>
        <v/>
      </c>
      <c r="M108" s="29">
        <f>IF(OR(G108="",G108="Aprovado",G108="Recusado",G108="Sem retorno",A108=""),"",Config!$B$5-A108)</f>
        <v/>
      </c>
      <c r="N108" s="29">
        <f>IF(AND(OR(G108="Aprovado",G108="Recusado"),H108&lt;&gt;"",A108&lt;&gt;""),H108-A108,"")</f>
        <v/>
      </c>
      <c r="O108" s="25">
        <f>IF(G108="","",IF(OR(G108="Aprovado",G108="Recusado",G108="Sem retorno"),G108,IF(AND(M108&lt;&gt;"",M108&gt;Config!$B$7),"Parado","Ativo")))</f>
        <v/>
      </c>
      <c r="P108" s="39">
        <f>IF(A108="","",DATE(YEAR(A108),MONTH(A108),1))</f>
        <v/>
      </c>
      <c r="Q108" s="40">
        <f>IF(OR(G108="",O108="Aprovado",O108="Recusado",O108="Sem retorno"),0,IF(O108="Parado",2000,1000)+MIN(N(M108),500)+N(F108)/1000000-ROW()/100000)</f>
        <v>0</v>
      </c>
    </row>
    <row r="109">
      <c r="A109" s="37" t="n"/>
      <c r="B109" s="32" t="n"/>
      <c r="C109" s="35" t="n"/>
      <c r="D109" s="35" t="n"/>
      <c r="E109" s="32" t="n"/>
      <c r="F109" s="38" t="n"/>
      <c r="G109" s="35" t="n"/>
      <c r="H109" s="37" t="n"/>
      <c r="I109" s="35" t="n"/>
      <c r="J109" s="32" t="n"/>
      <c r="K109" s="30">
        <f>IF(G109="","",IFERROR(INDEX(Config!$B$10:$B$14,MATCH(G109,Config!$A$10:$A$14,0)),0))</f>
        <v/>
      </c>
      <c r="L109" s="26">
        <f>IF(OR(G109="",F109=""),"",F109*K109)</f>
        <v/>
      </c>
      <c r="M109" s="29">
        <f>IF(OR(G109="",G109="Aprovado",G109="Recusado",G109="Sem retorno",A109=""),"",Config!$B$5-A109)</f>
        <v/>
      </c>
      <c r="N109" s="29">
        <f>IF(AND(OR(G109="Aprovado",G109="Recusado"),H109&lt;&gt;"",A109&lt;&gt;""),H109-A109,"")</f>
        <v/>
      </c>
      <c r="O109" s="25">
        <f>IF(G109="","",IF(OR(G109="Aprovado",G109="Recusado",G109="Sem retorno"),G109,IF(AND(M109&lt;&gt;"",M109&gt;Config!$B$7),"Parado","Ativo")))</f>
        <v/>
      </c>
      <c r="P109" s="39">
        <f>IF(A109="","",DATE(YEAR(A109),MONTH(A109),1))</f>
        <v/>
      </c>
      <c r="Q109" s="40">
        <f>IF(OR(G109="",O109="Aprovado",O109="Recusado",O109="Sem retorno"),0,IF(O109="Parado",2000,1000)+MIN(N(M109),500)+N(F109)/1000000-ROW()/100000)</f>
        <v>0</v>
      </c>
    </row>
    <row r="110">
      <c r="A110" s="37" t="n"/>
      <c r="B110" s="32" t="n"/>
      <c r="C110" s="35" t="n"/>
      <c r="D110" s="35" t="n"/>
      <c r="E110" s="32" t="n"/>
      <c r="F110" s="38" t="n"/>
      <c r="G110" s="35" t="n"/>
      <c r="H110" s="37" t="n"/>
      <c r="I110" s="35" t="n"/>
      <c r="J110" s="32" t="n"/>
      <c r="K110" s="30">
        <f>IF(G110="","",IFERROR(INDEX(Config!$B$10:$B$14,MATCH(G110,Config!$A$10:$A$14,0)),0))</f>
        <v/>
      </c>
      <c r="L110" s="26">
        <f>IF(OR(G110="",F110=""),"",F110*K110)</f>
        <v/>
      </c>
      <c r="M110" s="29">
        <f>IF(OR(G110="",G110="Aprovado",G110="Recusado",G110="Sem retorno",A110=""),"",Config!$B$5-A110)</f>
        <v/>
      </c>
      <c r="N110" s="29">
        <f>IF(AND(OR(G110="Aprovado",G110="Recusado"),H110&lt;&gt;"",A110&lt;&gt;""),H110-A110,"")</f>
        <v/>
      </c>
      <c r="O110" s="25">
        <f>IF(G110="","",IF(OR(G110="Aprovado",G110="Recusado",G110="Sem retorno"),G110,IF(AND(M110&lt;&gt;"",M110&gt;Config!$B$7),"Parado","Ativo")))</f>
        <v/>
      </c>
      <c r="P110" s="39">
        <f>IF(A110="","",DATE(YEAR(A110),MONTH(A110),1))</f>
        <v/>
      </c>
      <c r="Q110" s="40">
        <f>IF(OR(G110="",O110="Aprovado",O110="Recusado",O110="Sem retorno"),0,IF(O110="Parado",2000,1000)+MIN(N(M110),500)+N(F110)/1000000-ROW()/100000)</f>
        <v>0</v>
      </c>
    </row>
    <row r="111">
      <c r="A111" s="37" t="n"/>
      <c r="B111" s="32" t="n"/>
      <c r="C111" s="35" t="n"/>
      <c r="D111" s="35" t="n"/>
      <c r="E111" s="32" t="n"/>
      <c r="F111" s="38" t="n"/>
      <c r="G111" s="35" t="n"/>
      <c r="H111" s="37" t="n"/>
      <c r="I111" s="35" t="n"/>
      <c r="J111" s="32" t="n"/>
      <c r="K111" s="30">
        <f>IF(G111="","",IFERROR(INDEX(Config!$B$10:$B$14,MATCH(G111,Config!$A$10:$A$14,0)),0))</f>
        <v/>
      </c>
      <c r="L111" s="26">
        <f>IF(OR(G111="",F111=""),"",F111*K111)</f>
        <v/>
      </c>
      <c r="M111" s="29">
        <f>IF(OR(G111="",G111="Aprovado",G111="Recusado",G111="Sem retorno",A111=""),"",Config!$B$5-A111)</f>
        <v/>
      </c>
      <c r="N111" s="29">
        <f>IF(AND(OR(G111="Aprovado",G111="Recusado"),H111&lt;&gt;"",A111&lt;&gt;""),H111-A111,"")</f>
        <v/>
      </c>
      <c r="O111" s="25">
        <f>IF(G111="","",IF(OR(G111="Aprovado",G111="Recusado",G111="Sem retorno"),G111,IF(AND(M111&lt;&gt;"",M111&gt;Config!$B$7),"Parado","Ativo")))</f>
        <v/>
      </c>
      <c r="P111" s="39">
        <f>IF(A111="","",DATE(YEAR(A111),MONTH(A111),1))</f>
        <v/>
      </c>
      <c r="Q111" s="40">
        <f>IF(OR(G111="",O111="Aprovado",O111="Recusado",O111="Sem retorno"),0,IF(O111="Parado",2000,1000)+MIN(N(M111),500)+N(F111)/1000000-ROW()/100000)</f>
        <v>0</v>
      </c>
    </row>
    <row r="112">
      <c r="A112" s="37" t="n"/>
      <c r="B112" s="32" t="n"/>
      <c r="C112" s="35" t="n"/>
      <c r="D112" s="35" t="n"/>
      <c r="E112" s="32" t="n"/>
      <c r="F112" s="38" t="n"/>
      <c r="G112" s="35" t="n"/>
      <c r="H112" s="37" t="n"/>
      <c r="I112" s="35" t="n"/>
      <c r="J112" s="32" t="n"/>
      <c r="K112" s="30">
        <f>IF(G112="","",IFERROR(INDEX(Config!$B$10:$B$14,MATCH(G112,Config!$A$10:$A$14,0)),0))</f>
        <v/>
      </c>
      <c r="L112" s="26">
        <f>IF(OR(G112="",F112=""),"",F112*K112)</f>
        <v/>
      </c>
      <c r="M112" s="29">
        <f>IF(OR(G112="",G112="Aprovado",G112="Recusado",G112="Sem retorno",A112=""),"",Config!$B$5-A112)</f>
        <v/>
      </c>
      <c r="N112" s="29">
        <f>IF(AND(OR(G112="Aprovado",G112="Recusado"),H112&lt;&gt;"",A112&lt;&gt;""),H112-A112,"")</f>
        <v/>
      </c>
      <c r="O112" s="25">
        <f>IF(G112="","",IF(OR(G112="Aprovado",G112="Recusado",G112="Sem retorno"),G112,IF(AND(M112&lt;&gt;"",M112&gt;Config!$B$7),"Parado","Ativo")))</f>
        <v/>
      </c>
      <c r="P112" s="39">
        <f>IF(A112="","",DATE(YEAR(A112),MONTH(A112),1))</f>
        <v/>
      </c>
      <c r="Q112" s="40">
        <f>IF(OR(G112="",O112="Aprovado",O112="Recusado",O112="Sem retorno"),0,IF(O112="Parado",2000,1000)+MIN(N(M112),500)+N(F112)/1000000-ROW()/100000)</f>
        <v>0</v>
      </c>
    </row>
    <row r="113">
      <c r="A113" s="37" t="n"/>
      <c r="B113" s="32" t="n"/>
      <c r="C113" s="35" t="n"/>
      <c r="D113" s="35" t="n"/>
      <c r="E113" s="32" t="n"/>
      <c r="F113" s="38" t="n"/>
      <c r="G113" s="35" t="n"/>
      <c r="H113" s="37" t="n"/>
      <c r="I113" s="35" t="n"/>
      <c r="J113" s="32" t="n"/>
      <c r="K113" s="30">
        <f>IF(G113="","",IFERROR(INDEX(Config!$B$10:$B$14,MATCH(G113,Config!$A$10:$A$14,0)),0))</f>
        <v/>
      </c>
      <c r="L113" s="26">
        <f>IF(OR(G113="",F113=""),"",F113*K113)</f>
        <v/>
      </c>
      <c r="M113" s="29">
        <f>IF(OR(G113="",G113="Aprovado",G113="Recusado",G113="Sem retorno",A113=""),"",Config!$B$5-A113)</f>
        <v/>
      </c>
      <c r="N113" s="29">
        <f>IF(AND(OR(G113="Aprovado",G113="Recusado"),H113&lt;&gt;"",A113&lt;&gt;""),H113-A113,"")</f>
        <v/>
      </c>
      <c r="O113" s="25">
        <f>IF(G113="","",IF(OR(G113="Aprovado",G113="Recusado",G113="Sem retorno"),G113,IF(AND(M113&lt;&gt;"",M113&gt;Config!$B$7),"Parado","Ativo")))</f>
        <v/>
      </c>
      <c r="P113" s="39">
        <f>IF(A113="","",DATE(YEAR(A113),MONTH(A113),1))</f>
        <v/>
      </c>
      <c r="Q113" s="40">
        <f>IF(OR(G113="",O113="Aprovado",O113="Recusado",O113="Sem retorno"),0,IF(O113="Parado",2000,1000)+MIN(N(M113),500)+N(F113)/1000000-ROW()/100000)</f>
        <v>0</v>
      </c>
    </row>
    <row r="114">
      <c r="A114" s="37" t="n"/>
      <c r="B114" s="32" t="n"/>
      <c r="C114" s="35" t="n"/>
      <c r="D114" s="35" t="n"/>
      <c r="E114" s="32" t="n"/>
      <c r="F114" s="38" t="n"/>
      <c r="G114" s="35" t="n"/>
      <c r="H114" s="37" t="n"/>
      <c r="I114" s="35" t="n"/>
      <c r="J114" s="32" t="n"/>
      <c r="K114" s="30">
        <f>IF(G114="","",IFERROR(INDEX(Config!$B$10:$B$14,MATCH(G114,Config!$A$10:$A$14,0)),0))</f>
        <v/>
      </c>
      <c r="L114" s="26">
        <f>IF(OR(G114="",F114=""),"",F114*K114)</f>
        <v/>
      </c>
      <c r="M114" s="29">
        <f>IF(OR(G114="",G114="Aprovado",G114="Recusado",G114="Sem retorno",A114=""),"",Config!$B$5-A114)</f>
        <v/>
      </c>
      <c r="N114" s="29">
        <f>IF(AND(OR(G114="Aprovado",G114="Recusado"),H114&lt;&gt;"",A114&lt;&gt;""),H114-A114,"")</f>
        <v/>
      </c>
      <c r="O114" s="25">
        <f>IF(G114="","",IF(OR(G114="Aprovado",G114="Recusado",G114="Sem retorno"),G114,IF(AND(M114&lt;&gt;"",M114&gt;Config!$B$7),"Parado","Ativo")))</f>
        <v/>
      </c>
      <c r="P114" s="39">
        <f>IF(A114="","",DATE(YEAR(A114),MONTH(A114),1))</f>
        <v/>
      </c>
      <c r="Q114" s="40">
        <f>IF(OR(G114="",O114="Aprovado",O114="Recusado",O114="Sem retorno"),0,IF(O114="Parado",2000,1000)+MIN(N(M114),500)+N(F114)/1000000-ROW()/100000)</f>
        <v>0</v>
      </c>
    </row>
    <row r="115">
      <c r="A115" s="37" t="n"/>
      <c r="B115" s="32" t="n"/>
      <c r="C115" s="35" t="n"/>
      <c r="D115" s="35" t="n"/>
      <c r="E115" s="32" t="n"/>
      <c r="F115" s="38" t="n"/>
      <c r="G115" s="35" t="n"/>
      <c r="H115" s="37" t="n"/>
      <c r="I115" s="35" t="n"/>
      <c r="J115" s="32" t="n"/>
      <c r="K115" s="30">
        <f>IF(G115="","",IFERROR(INDEX(Config!$B$10:$B$14,MATCH(G115,Config!$A$10:$A$14,0)),0))</f>
        <v/>
      </c>
      <c r="L115" s="26">
        <f>IF(OR(G115="",F115=""),"",F115*K115)</f>
        <v/>
      </c>
      <c r="M115" s="29">
        <f>IF(OR(G115="",G115="Aprovado",G115="Recusado",G115="Sem retorno",A115=""),"",Config!$B$5-A115)</f>
        <v/>
      </c>
      <c r="N115" s="29">
        <f>IF(AND(OR(G115="Aprovado",G115="Recusado"),H115&lt;&gt;"",A115&lt;&gt;""),H115-A115,"")</f>
        <v/>
      </c>
      <c r="O115" s="25">
        <f>IF(G115="","",IF(OR(G115="Aprovado",G115="Recusado",G115="Sem retorno"),G115,IF(AND(M115&lt;&gt;"",M115&gt;Config!$B$7),"Parado","Ativo")))</f>
        <v/>
      </c>
      <c r="P115" s="39">
        <f>IF(A115="","",DATE(YEAR(A115),MONTH(A115),1))</f>
        <v/>
      </c>
      <c r="Q115" s="40">
        <f>IF(OR(G115="",O115="Aprovado",O115="Recusado",O115="Sem retorno"),0,IF(O115="Parado",2000,1000)+MIN(N(M115),500)+N(F115)/1000000-ROW()/100000)</f>
        <v>0</v>
      </c>
    </row>
    <row r="116">
      <c r="A116" s="37" t="n"/>
      <c r="B116" s="32" t="n"/>
      <c r="C116" s="35" t="n"/>
      <c r="D116" s="35" t="n"/>
      <c r="E116" s="32" t="n"/>
      <c r="F116" s="38" t="n"/>
      <c r="G116" s="35" t="n"/>
      <c r="H116" s="37" t="n"/>
      <c r="I116" s="35" t="n"/>
      <c r="J116" s="32" t="n"/>
      <c r="K116" s="30">
        <f>IF(G116="","",IFERROR(INDEX(Config!$B$10:$B$14,MATCH(G116,Config!$A$10:$A$14,0)),0))</f>
        <v/>
      </c>
      <c r="L116" s="26">
        <f>IF(OR(G116="",F116=""),"",F116*K116)</f>
        <v/>
      </c>
      <c r="M116" s="29">
        <f>IF(OR(G116="",G116="Aprovado",G116="Recusado",G116="Sem retorno",A116=""),"",Config!$B$5-A116)</f>
        <v/>
      </c>
      <c r="N116" s="29">
        <f>IF(AND(OR(G116="Aprovado",G116="Recusado"),H116&lt;&gt;"",A116&lt;&gt;""),H116-A116,"")</f>
        <v/>
      </c>
      <c r="O116" s="25">
        <f>IF(G116="","",IF(OR(G116="Aprovado",G116="Recusado",G116="Sem retorno"),G116,IF(AND(M116&lt;&gt;"",M116&gt;Config!$B$7),"Parado","Ativo")))</f>
        <v/>
      </c>
      <c r="P116" s="39">
        <f>IF(A116="","",DATE(YEAR(A116),MONTH(A116),1))</f>
        <v/>
      </c>
      <c r="Q116" s="40">
        <f>IF(OR(G116="",O116="Aprovado",O116="Recusado",O116="Sem retorno"),0,IF(O116="Parado",2000,1000)+MIN(N(M116),500)+N(F116)/1000000-ROW()/100000)</f>
        <v>0</v>
      </c>
    </row>
    <row r="117">
      <c r="A117" s="37" t="n"/>
      <c r="B117" s="32" t="n"/>
      <c r="C117" s="35" t="n"/>
      <c r="D117" s="35" t="n"/>
      <c r="E117" s="32" t="n"/>
      <c r="F117" s="38" t="n"/>
      <c r="G117" s="35" t="n"/>
      <c r="H117" s="37" t="n"/>
      <c r="I117" s="35" t="n"/>
      <c r="J117" s="32" t="n"/>
      <c r="K117" s="30">
        <f>IF(G117="","",IFERROR(INDEX(Config!$B$10:$B$14,MATCH(G117,Config!$A$10:$A$14,0)),0))</f>
        <v/>
      </c>
      <c r="L117" s="26">
        <f>IF(OR(G117="",F117=""),"",F117*K117)</f>
        <v/>
      </c>
      <c r="M117" s="29">
        <f>IF(OR(G117="",G117="Aprovado",G117="Recusado",G117="Sem retorno",A117=""),"",Config!$B$5-A117)</f>
        <v/>
      </c>
      <c r="N117" s="29">
        <f>IF(AND(OR(G117="Aprovado",G117="Recusado"),H117&lt;&gt;"",A117&lt;&gt;""),H117-A117,"")</f>
        <v/>
      </c>
      <c r="O117" s="25">
        <f>IF(G117="","",IF(OR(G117="Aprovado",G117="Recusado",G117="Sem retorno"),G117,IF(AND(M117&lt;&gt;"",M117&gt;Config!$B$7),"Parado","Ativo")))</f>
        <v/>
      </c>
      <c r="P117" s="39">
        <f>IF(A117="","",DATE(YEAR(A117),MONTH(A117),1))</f>
        <v/>
      </c>
      <c r="Q117" s="40">
        <f>IF(OR(G117="",O117="Aprovado",O117="Recusado",O117="Sem retorno"),0,IF(O117="Parado",2000,1000)+MIN(N(M117),500)+N(F117)/1000000-ROW()/100000)</f>
        <v>0</v>
      </c>
    </row>
    <row r="118">
      <c r="A118" s="37" t="n"/>
      <c r="B118" s="32" t="n"/>
      <c r="C118" s="35" t="n"/>
      <c r="D118" s="35" t="n"/>
      <c r="E118" s="32" t="n"/>
      <c r="F118" s="38" t="n"/>
      <c r="G118" s="35" t="n"/>
      <c r="H118" s="37" t="n"/>
      <c r="I118" s="35" t="n"/>
      <c r="J118" s="32" t="n"/>
      <c r="K118" s="30">
        <f>IF(G118="","",IFERROR(INDEX(Config!$B$10:$B$14,MATCH(G118,Config!$A$10:$A$14,0)),0))</f>
        <v/>
      </c>
      <c r="L118" s="26">
        <f>IF(OR(G118="",F118=""),"",F118*K118)</f>
        <v/>
      </c>
      <c r="M118" s="29">
        <f>IF(OR(G118="",G118="Aprovado",G118="Recusado",G118="Sem retorno",A118=""),"",Config!$B$5-A118)</f>
        <v/>
      </c>
      <c r="N118" s="29">
        <f>IF(AND(OR(G118="Aprovado",G118="Recusado"),H118&lt;&gt;"",A118&lt;&gt;""),H118-A118,"")</f>
        <v/>
      </c>
      <c r="O118" s="25">
        <f>IF(G118="","",IF(OR(G118="Aprovado",G118="Recusado",G118="Sem retorno"),G118,IF(AND(M118&lt;&gt;"",M118&gt;Config!$B$7),"Parado","Ativo")))</f>
        <v/>
      </c>
      <c r="P118" s="39">
        <f>IF(A118="","",DATE(YEAR(A118),MONTH(A118),1))</f>
        <v/>
      </c>
      <c r="Q118" s="40">
        <f>IF(OR(G118="",O118="Aprovado",O118="Recusado",O118="Sem retorno"),0,IF(O118="Parado",2000,1000)+MIN(N(M118),500)+N(F118)/1000000-ROW()/100000)</f>
        <v>0</v>
      </c>
    </row>
    <row r="119">
      <c r="A119" s="37" t="n"/>
      <c r="B119" s="32" t="n"/>
      <c r="C119" s="35" t="n"/>
      <c r="D119" s="35" t="n"/>
      <c r="E119" s="32" t="n"/>
      <c r="F119" s="38" t="n"/>
      <c r="G119" s="35" t="n"/>
      <c r="H119" s="37" t="n"/>
      <c r="I119" s="35" t="n"/>
      <c r="J119" s="32" t="n"/>
      <c r="K119" s="30">
        <f>IF(G119="","",IFERROR(INDEX(Config!$B$10:$B$14,MATCH(G119,Config!$A$10:$A$14,0)),0))</f>
        <v/>
      </c>
      <c r="L119" s="26">
        <f>IF(OR(G119="",F119=""),"",F119*K119)</f>
        <v/>
      </c>
      <c r="M119" s="29">
        <f>IF(OR(G119="",G119="Aprovado",G119="Recusado",G119="Sem retorno",A119=""),"",Config!$B$5-A119)</f>
        <v/>
      </c>
      <c r="N119" s="29">
        <f>IF(AND(OR(G119="Aprovado",G119="Recusado"),H119&lt;&gt;"",A119&lt;&gt;""),H119-A119,"")</f>
        <v/>
      </c>
      <c r="O119" s="25">
        <f>IF(G119="","",IF(OR(G119="Aprovado",G119="Recusado",G119="Sem retorno"),G119,IF(AND(M119&lt;&gt;"",M119&gt;Config!$B$7),"Parado","Ativo")))</f>
        <v/>
      </c>
      <c r="P119" s="39">
        <f>IF(A119="","",DATE(YEAR(A119),MONTH(A119),1))</f>
        <v/>
      </c>
      <c r="Q119" s="40">
        <f>IF(OR(G119="",O119="Aprovado",O119="Recusado",O119="Sem retorno"),0,IF(O119="Parado",2000,1000)+MIN(N(M119),500)+N(F119)/1000000-ROW()/100000)</f>
        <v>0</v>
      </c>
    </row>
    <row r="120">
      <c r="A120" s="37" t="n"/>
      <c r="B120" s="32" t="n"/>
      <c r="C120" s="35" t="n"/>
      <c r="D120" s="35" t="n"/>
      <c r="E120" s="32" t="n"/>
      <c r="F120" s="38" t="n"/>
      <c r="G120" s="35" t="n"/>
      <c r="H120" s="37" t="n"/>
      <c r="I120" s="35" t="n"/>
      <c r="J120" s="32" t="n"/>
      <c r="K120" s="30">
        <f>IF(G120="","",IFERROR(INDEX(Config!$B$10:$B$14,MATCH(G120,Config!$A$10:$A$14,0)),0))</f>
        <v/>
      </c>
      <c r="L120" s="26">
        <f>IF(OR(G120="",F120=""),"",F120*K120)</f>
        <v/>
      </c>
      <c r="M120" s="29">
        <f>IF(OR(G120="",G120="Aprovado",G120="Recusado",G120="Sem retorno",A120=""),"",Config!$B$5-A120)</f>
        <v/>
      </c>
      <c r="N120" s="29">
        <f>IF(AND(OR(G120="Aprovado",G120="Recusado"),H120&lt;&gt;"",A120&lt;&gt;""),H120-A120,"")</f>
        <v/>
      </c>
      <c r="O120" s="25">
        <f>IF(G120="","",IF(OR(G120="Aprovado",G120="Recusado",G120="Sem retorno"),G120,IF(AND(M120&lt;&gt;"",M120&gt;Config!$B$7),"Parado","Ativo")))</f>
        <v/>
      </c>
      <c r="P120" s="39">
        <f>IF(A120="","",DATE(YEAR(A120),MONTH(A120),1))</f>
        <v/>
      </c>
      <c r="Q120" s="40">
        <f>IF(OR(G120="",O120="Aprovado",O120="Recusado",O120="Sem retorno"),0,IF(O120="Parado",2000,1000)+MIN(N(M120),500)+N(F120)/1000000-ROW()/100000)</f>
        <v>0</v>
      </c>
    </row>
    <row r="121">
      <c r="A121" s="37" t="n"/>
      <c r="B121" s="32" t="n"/>
      <c r="C121" s="35" t="n"/>
      <c r="D121" s="35" t="n"/>
      <c r="E121" s="32" t="n"/>
      <c r="F121" s="38" t="n"/>
      <c r="G121" s="35" t="n"/>
      <c r="H121" s="37" t="n"/>
      <c r="I121" s="35" t="n"/>
      <c r="J121" s="32" t="n"/>
      <c r="K121" s="30">
        <f>IF(G121="","",IFERROR(INDEX(Config!$B$10:$B$14,MATCH(G121,Config!$A$10:$A$14,0)),0))</f>
        <v/>
      </c>
      <c r="L121" s="26">
        <f>IF(OR(G121="",F121=""),"",F121*K121)</f>
        <v/>
      </c>
      <c r="M121" s="29">
        <f>IF(OR(G121="",G121="Aprovado",G121="Recusado",G121="Sem retorno",A121=""),"",Config!$B$5-A121)</f>
        <v/>
      </c>
      <c r="N121" s="29">
        <f>IF(AND(OR(G121="Aprovado",G121="Recusado"),H121&lt;&gt;"",A121&lt;&gt;""),H121-A121,"")</f>
        <v/>
      </c>
      <c r="O121" s="25">
        <f>IF(G121="","",IF(OR(G121="Aprovado",G121="Recusado",G121="Sem retorno"),G121,IF(AND(M121&lt;&gt;"",M121&gt;Config!$B$7),"Parado","Ativo")))</f>
        <v/>
      </c>
      <c r="P121" s="39">
        <f>IF(A121="","",DATE(YEAR(A121),MONTH(A121),1))</f>
        <v/>
      </c>
      <c r="Q121" s="40">
        <f>IF(OR(G121="",O121="Aprovado",O121="Recusado",O121="Sem retorno"),0,IF(O121="Parado",2000,1000)+MIN(N(M121),500)+N(F121)/1000000-ROW()/100000)</f>
        <v>0</v>
      </c>
    </row>
    <row r="122">
      <c r="A122" s="37" t="n"/>
      <c r="B122" s="32" t="n"/>
      <c r="C122" s="35" t="n"/>
      <c r="D122" s="35" t="n"/>
      <c r="E122" s="32" t="n"/>
      <c r="F122" s="38" t="n"/>
      <c r="G122" s="35" t="n"/>
      <c r="H122" s="37" t="n"/>
      <c r="I122" s="35" t="n"/>
      <c r="J122" s="32" t="n"/>
      <c r="K122" s="30">
        <f>IF(G122="","",IFERROR(INDEX(Config!$B$10:$B$14,MATCH(G122,Config!$A$10:$A$14,0)),0))</f>
        <v/>
      </c>
      <c r="L122" s="26">
        <f>IF(OR(G122="",F122=""),"",F122*K122)</f>
        <v/>
      </c>
      <c r="M122" s="29">
        <f>IF(OR(G122="",G122="Aprovado",G122="Recusado",G122="Sem retorno",A122=""),"",Config!$B$5-A122)</f>
        <v/>
      </c>
      <c r="N122" s="29">
        <f>IF(AND(OR(G122="Aprovado",G122="Recusado"),H122&lt;&gt;"",A122&lt;&gt;""),H122-A122,"")</f>
        <v/>
      </c>
      <c r="O122" s="25">
        <f>IF(G122="","",IF(OR(G122="Aprovado",G122="Recusado",G122="Sem retorno"),G122,IF(AND(M122&lt;&gt;"",M122&gt;Config!$B$7),"Parado","Ativo")))</f>
        <v/>
      </c>
      <c r="P122" s="39">
        <f>IF(A122="","",DATE(YEAR(A122),MONTH(A122),1))</f>
        <v/>
      </c>
      <c r="Q122" s="40">
        <f>IF(OR(G122="",O122="Aprovado",O122="Recusado",O122="Sem retorno"),0,IF(O122="Parado",2000,1000)+MIN(N(M122),500)+N(F122)/1000000-ROW()/100000)</f>
        <v>0</v>
      </c>
    </row>
    <row r="123">
      <c r="A123" s="37" t="n"/>
      <c r="B123" s="32" t="n"/>
      <c r="C123" s="35" t="n"/>
      <c r="D123" s="35" t="n"/>
      <c r="E123" s="32" t="n"/>
      <c r="F123" s="38" t="n"/>
      <c r="G123" s="35" t="n"/>
      <c r="H123" s="37" t="n"/>
      <c r="I123" s="35" t="n"/>
      <c r="J123" s="32" t="n"/>
      <c r="K123" s="30">
        <f>IF(G123="","",IFERROR(INDEX(Config!$B$10:$B$14,MATCH(G123,Config!$A$10:$A$14,0)),0))</f>
        <v/>
      </c>
      <c r="L123" s="26">
        <f>IF(OR(G123="",F123=""),"",F123*K123)</f>
        <v/>
      </c>
      <c r="M123" s="29">
        <f>IF(OR(G123="",G123="Aprovado",G123="Recusado",G123="Sem retorno",A123=""),"",Config!$B$5-A123)</f>
        <v/>
      </c>
      <c r="N123" s="29">
        <f>IF(AND(OR(G123="Aprovado",G123="Recusado"),H123&lt;&gt;"",A123&lt;&gt;""),H123-A123,"")</f>
        <v/>
      </c>
      <c r="O123" s="25">
        <f>IF(G123="","",IF(OR(G123="Aprovado",G123="Recusado",G123="Sem retorno"),G123,IF(AND(M123&lt;&gt;"",M123&gt;Config!$B$7),"Parado","Ativo")))</f>
        <v/>
      </c>
      <c r="P123" s="39">
        <f>IF(A123="","",DATE(YEAR(A123),MONTH(A123),1))</f>
        <v/>
      </c>
      <c r="Q123" s="40">
        <f>IF(OR(G123="",O123="Aprovado",O123="Recusado",O123="Sem retorno"),0,IF(O123="Parado",2000,1000)+MIN(N(M123),500)+N(F123)/1000000-ROW()/100000)</f>
        <v>0</v>
      </c>
    </row>
    <row r="124">
      <c r="A124" s="37" t="n"/>
      <c r="B124" s="32" t="n"/>
      <c r="C124" s="35" t="n"/>
      <c r="D124" s="35" t="n"/>
      <c r="E124" s="32" t="n"/>
      <c r="F124" s="38" t="n"/>
      <c r="G124" s="35" t="n"/>
      <c r="H124" s="37" t="n"/>
      <c r="I124" s="35" t="n"/>
      <c r="J124" s="32" t="n"/>
      <c r="K124" s="30">
        <f>IF(G124="","",IFERROR(INDEX(Config!$B$10:$B$14,MATCH(G124,Config!$A$10:$A$14,0)),0))</f>
        <v/>
      </c>
      <c r="L124" s="26">
        <f>IF(OR(G124="",F124=""),"",F124*K124)</f>
        <v/>
      </c>
      <c r="M124" s="29">
        <f>IF(OR(G124="",G124="Aprovado",G124="Recusado",G124="Sem retorno",A124=""),"",Config!$B$5-A124)</f>
        <v/>
      </c>
      <c r="N124" s="29">
        <f>IF(AND(OR(G124="Aprovado",G124="Recusado"),H124&lt;&gt;"",A124&lt;&gt;""),H124-A124,"")</f>
        <v/>
      </c>
      <c r="O124" s="25">
        <f>IF(G124="","",IF(OR(G124="Aprovado",G124="Recusado",G124="Sem retorno"),G124,IF(AND(M124&lt;&gt;"",M124&gt;Config!$B$7),"Parado","Ativo")))</f>
        <v/>
      </c>
      <c r="P124" s="39">
        <f>IF(A124="","",DATE(YEAR(A124),MONTH(A124),1))</f>
        <v/>
      </c>
      <c r="Q124" s="40">
        <f>IF(OR(G124="",O124="Aprovado",O124="Recusado",O124="Sem retorno"),0,IF(O124="Parado",2000,1000)+MIN(N(M124),500)+N(F124)/1000000-ROW()/100000)</f>
        <v>0</v>
      </c>
    </row>
    <row r="125">
      <c r="A125" s="37" t="n"/>
      <c r="B125" s="32" t="n"/>
      <c r="C125" s="35" t="n"/>
      <c r="D125" s="35" t="n"/>
      <c r="E125" s="32" t="n"/>
      <c r="F125" s="38" t="n"/>
      <c r="G125" s="35" t="n"/>
      <c r="H125" s="37" t="n"/>
      <c r="I125" s="35" t="n"/>
      <c r="J125" s="32" t="n"/>
      <c r="K125" s="30">
        <f>IF(G125="","",IFERROR(INDEX(Config!$B$10:$B$14,MATCH(G125,Config!$A$10:$A$14,0)),0))</f>
        <v/>
      </c>
      <c r="L125" s="26">
        <f>IF(OR(G125="",F125=""),"",F125*K125)</f>
        <v/>
      </c>
      <c r="M125" s="29">
        <f>IF(OR(G125="",G125="Aprovado",G125="Recusado",G125="Sem retorno",A125=""),"",Config!$B$5-A125)</f>
        <v/>
      </c>
      <c r="N125" s="29">
        <f>IF(AND(OR(G125="Aprovado",G125="Recusado"),H125&lt;&gt;"",A125&lt;&gt;""),H125-A125,"")</f>
        <v/>
      </c>
      <c r="O125" s="25">
        <f>IF(G125="","",IF(OR(G125="Aprovado",G125="Recusado",G125="Sem retorno"),G125,IF(AND(M125&lt;&gt;"",M125&gt;Config!$B$7),"Parado","Ativo")))</f>
        <v/>
      </c>
      <c r="P125" s="39">
        <f>IF(A125="","",DATE(YEAR(A125),MONTH(A125),1))</f>
        <v/>
      </c>
      <c r="Q125" s="40">
        <f>IF(OR(G125="",O125="Aprovado",O125="Recusado",O125="Sem retorno"),0,IF(O125="Parado",2000,1000)+MIN(N(M125),500)+N(F125)/1000000-ROW()/100000)</f>
        <v>0</v>
      </c>
    </row>
    <row r="126">
      <c r="A126" s="37" t="n"/>
      <c r="B126" s="32" t="n"/>
      <c r="C126" s="35" t="n"/>
      <c r="D126" s="35" t="n"/>
      <c r="E126" s="32" t="n"/>
      <c r="F126" s="38" t="n"/>
      <c r="G126" s="35" t="n"/>
      <c r="H126" s="37" t="n"/>
      <c r="I126" s="35" t="n"/>
      <c r="J126" s="32" t="n"/>
      <c r="K126" s="30">
        <f>IF(G126="","",IFERROR(INDEX(Config!$B$10:$B$14,MATCH(G126,Config!$A$10:$A$14,0)),0))</f>
        <v/>
      </c>
      <c r="L126" s="26">
        <f>IF(OR(G126="",F126=""),"",F126*K126)</f>
        <v/>
      </c>
      <c r="M126" s="29">
        <f>IF(OR(G126="",G126="Aprovado",G126="Recusado",G126="Sem retorno",A126=""),"",Config!$B$5-A126)</f>
        <v/>
      </c>
      <c r="N126" s="29">
        <f>IF(AND(OR(G126="Aprovado",G126="Recusado"),H126&lt;&gt;"",A126&lt;&gt;""),H126-A126,"")</f>
        <v/>
      </c>
      <c r="O126" s="25">
        <f>IF(G126="","",IF(OR(G126="Aprovado",G126="Recusado",G126="Sem retorno"),G126,IF(AND(M126&lt;&gt;"",M126&gt;Config!$B$7),"Parado","Ativo")))</f>
        <v/>
      </c>
      <c r="P126" s="39">
        <f>IF(A126="","",DATE(YEAR(A126),MONTH(A126),1))</f>
        <v/>
      </c>
      <c r="Q126" s="40">
        <f>IF(OR(G126="",O126="Aprovado",O126="Recusado",O126="Sem retorno"),0,IF(O126="Parado",2000,1000)+MIN(N(M126),500)+N(F126)/1000000-ROW()/100000)</f>
        <v>0</v>
      </c>
    </row>
    <row r="127">
      <c r="A127" s="37" t="n"/>
      <c r="B127" s="32" t="n"/>
      <c r="C127" s="35" t="n"/>
      <c r="D127" s="35" t="n"/>
      <c r="E127" s="32" t="n"/>
      <c r="F127" s="38" t="n"/>
      <c r="G127" s="35" t="n"/>
      <c r="H127" s="37" t="n"/>
      <c r="I127" s="35" t="n"/>
      <c r="J127" s="32" t="n"/>
      <c r="K127" s="30">
        <f>IF(G127="","",IFERROR(INDEX(Config!$B$10:$B$14,MATCH(G127,Config!$A$10:$A$14,0)),0))</f>
        <v/>
      </c>
      <c r="L127" s="26">
        <f>IF(OR(G127="",F127=""),"",F127*K127)</f>
        <v/>
      </c>
      <c r="M127" s="29">
        <f>IF(OR(G127="",G127="Aprovado",G127="Recusado",G127="Sem retorno",A127=""),"",Config!$B$5-A127)</f>
        <v/>
      </c>
      <c r="N127" s="29">
        <f>IF(AND(OR(G127="Aprovado",G127="Recusado"),H127&lt;&gt;"",A127&lt;&gt;""),H127-A127,"")</f>
        <v/>
      </c>
      <c r="O127" s="25">
        <f>IF(G127="","",IF(OR(G127="Aprovado",G127="Recusado",G127="Sem retorno"),G127,IF(AND(M127&lt;&gt;"",M127&gt;Config!$B$7),"Parado","Ativo")))</f>
        <v/>
      </c>
      <c r="P127" s="39">
        <f>IF(A127="","",DATE(YEAR(A127),MONTH(A127),1))</f>
        <v/>
      </c>
      <c r="Q127" s="40">
        <f>IF(OR(G127="",O127="Aprovado",O127="Recusado",O127="Sem retorno"),0,IF(O127="Parado",2000,1000)+MIN(N(M127),500)+N(F127)/1000000-ROW()/100000)</f>
        <v>0</v>
      </c>
    </row>
    <row r="128">
      <c r="A128" s="37" t="n"/>
      <c r="B128" s="32" t="n"/>
      <c r="C128" s="35" t="n"/>
      <c r="D128" s="35" t="n"/>
      <c r="E128" s="32" t="n"/>
      <c r="F128" s="38" t="n"/>
      <c r="G128" s="35" t="n"/>
      <c r="H128" s="37" t="n"/>
      <c r="I128" s="35" t="n"/>
      <c r="J128" s="32" t="n"/>
      <c r="K128" s="30">
        <f>IF(G128="","",IFERROR(INDEX(Config!$B$10:$B$14,MATCH(G128,Config!$A$10:$A$14,0)),0))</f>
        <v/>
      </c>
      <c r="L128" s="26">
        <f>IF(OR(G128="",F128=""),"",F128*K128)</f>
        <v/>
      </c>
      <c r="M128" s="29">
        <f>IF(OR(G128="",G128="Aprovado",G128="Recusado",G128="Sem retorno",A128=""),"",Config!$B$5-A128)</f>
        <v/>
      </c>
      <c r="N128" s="29">
        <f>IF(AND(OR(G128="Aprovado",G128="Recusado"),H128&lt;&gt;"",A128&lt;&gt;""),H128-A128,"")</f>
        <v/>
      </c>
      <c r="O128" s="25">
        <f>IF(G128="","",IF(OR(G128="Aprovado",G128="Recusado",G128="Sem retorno"),G128,IF(AND(M128&lt;&gt;"",M128&gt;Config!$B$7),"Parado","Ativo")))</f>
        <v/>
      </c>
      <c r="P128" s="39">
        <f>IF(A128="","",DATE(YEAR(A128),MONTH(A128),1))</f>
        <v/>
      </c>
      <c r="Q128" s="40">
        <f>IF(OR(G128="",O128="Aprovado",O128="Recusado",O128="Sem retorno"),0,IF(O128="Parado",2000,1000)+MIN(N(M128),500)+N(F128)/1000000-ROW()/100000)</f>
        <v>0</v>
      </c>
    </row>
    <row r="129">
      <c r="A129" s="37" t="n"/>
      <c r="B129" s="32" t="n"/>
      <c r="C129" s="35" t="n"/>
      <c r="D129" s="35" t="n"/>
      <c r="E129" s="32" t="n"/>
      <c r="F129" s="38" t="n"/>
      <c r="G129" s="35" t="n"/>
      <c r="H129" s="37" t="n"/>
      <c r="I129" s="35" t="n"/>
      <c r="J129" s="32" t="n"/>
      <c r="K129" s="30">
        <f>IF(G129="","",IFERROR(INDEX(Config!$B$10:$B$14,MATCH(G129,Config!$A$10:$A$14,0)),0))</f>
        <v/>
      </c>
      <c r="L129" s="26">
        <f>IF(OR(G129="",F129=""),"",F129*K129)</f>
        <v/>
      </c>
      <c r="M129" s="29">
        <f>IF(OR(G129="",G129="Aprovado",G129="Recusado",G129="Sem retorno",A129=""),"",Config!$B$5-A129)</f>
        <v/>
      </c>
      <c r="N129" s="29">
        <f>IF(AND(OR(G129="Aprovado",G129="Recusado"),H129&lt;&gt;"",A129&lt;&gt;""),H129-A129,"")</f>
        <v/>
      </c>
      <c r="O129" s="25">
        <f>IF(G129="","",IF(OR(G129="Aprovado",G129="Recusado",G129="Sem retorno"),G129,IF(AND(M129&lt;&gt;"",M129&gt;Config!$B$7),"Parado","Ativo")))</f>
        <v/>
      </c>
      <c r="P129" s="39">
        <f>IF(A129="","",DATE(YEAR(A129),MONTH(A129),1))</f>
        <v/>
      </c>
      <c r="Q129" s="40">
        <f>IF(OR(G129="",O129="Aprovado",O129="Recusado",O129="Sem retorno"),0,IF(O129="Parado",2000,1000)+MIN(N(M129),500)+N(F129)/1000000-ROW()/100000)</f>
        <v>0</v>
      </c>
    </row>
    <row r="130">
      <c r="A130" s="37" t="n"/>
      <c r="B130" s="32" t="n"/>
      <c r="C130" s="35" t="n"/>
      <c r="D130" s="35" t="n"/>
      <c r="E130" s="32" t="n"/>
      <c r="F130" s="38" t="n"/>
      <c r="G130" s="35" t="n"/>
      <c r="H130" s="37" t="n"/>
      <c r="I130" s="35" t="n"/>
      <c r="J130" s="32" t="n"/>
      <c r="K130" s="30">
        <f>IF(G130="","",IFERROR(INDEX(Config!$B$10:$B$14,MATCH(G130,Config!$A$10:$A$14,0)),0))</f>
        <v/>
      </c>
      <c r="L130" s="26">
        <f>IF(OR(G130="",F130=""),"",F130*K130)</f>
        <v/>
      </c>
      <c r="M130" s="29">
        <f>IF(OR(G130="",G130="Aprovado",G130="Recusado",G130="Sem retorno",A130=""),"",Config!$B$5-A130)</f>
        <v/>
      </c>
      <c r="N130" s="29">
        <f>IF(AND(OR(G130="Aprovado",G130="Recusado"),H130&lt;&gt;"",A130&lt;&gt;""),H130-A130,"")</f>
        <v/>
      </c>
      <c r="O130" s="25">
        <f>IF(G130="","",IF(OR(G130="Aprovado",G130="Recusado",G130="Sem retorno"),G130,IF(AND(M130&lt;&gt;"",M130&gt;Config!$B$7),"Parado","Ativo")))</f>
        <v/>
      </c>
      <c r="P130" s="39">
        <f>IF(A130="","",DATE(YEAR(A130),MONTH(A130),1))</f>
        <v/>
      </c>
      <c r="Q130" s="40">
        <f>IF(OR(G130="",O130="Aprovado",O130="Recusado",O130="Sem retorno"),0,IF(O130="Parado",2000,1000)+MIN(N(M130),500)+N(F130)/1000000-ROW()/100000)</f>
        <v>0</v>
      </c>
    </row>
    <row r="131">
      <c r="A131" s="37" t="n"/>
      <c r="B131" s="32" t="n"/>
      <c r="C131" s="35" t="n"/>
      <c r="D131" s="35" t="n"/>
      <c r="E131" s="32" t="n"/>
      <c r="F131" s="38" t="n"/>
      <c r="G131" s="35" t="n"/>
      <c r="H131" s="37" t="n"/>
      <c r="I131" s="35" t="n"/>
      <c r="J131" s="32" t="n"/>
      <c r="K131" s="30">
        <f>IF(G131="","",IFERROR(INDEX(Config!$B$10:$B$14,MATCH(G131,Config!$A$10:$A$14,0)),0))</f>
        <v/>
      </c>
      <c r="L131" s="26">
        <f>IF(OR(G131="",F131=""),"",F131*K131)</f>
        <v/>
      </c>
      <c r="M131" s="29">
        <f>IF(OR(G131="",G131="Aprovado",G131="Recusado",G131="Sem retorno",A131=""),"",Config!$B$5-A131)</f>
        <v/>
      </c>
      <c r="N131" s="29">
        <f>IF(AND(OR(G131="Aprovado",G131="Recusado"),H131&lt;&gt;"",A131&lt;&gt;""),H131-A131,"")</f>
        <v/>
      </c>
      <c r="O131" s="25">
        <f>IF(G131="","",IF(OR(G131="Aprovado",G131="Recusado",G131="Sem retorno"),G131,IF(AND(M131&lt;&gt;"",M131&gt;Config!$B$7),"Parado","Ativo")))</f>
        <v/>
      </c>
      <c r="P131" s="39">
        <f>IF(A131="","",DATE(YEAR(A131),MONTH(A131),1))</f>
        <v/>
      </c>
      <c r="Q131" s="40">
        <f>IF(OR(G131="",O131="Aprovado",O131="Recusado",O131="Sem retorno"),0,IF(O131="Parado",2000,1000)+MIN(N(M131),500)+N(F131)/1000000-ROW()/100000)</f>
        <v>0</v>
      </c>
    </row>
    <row r="132">
      <c r="A132" s="37" t="n"/>
      <c r="B132" s="32" t="n"/>
      <c r="C132" s="35" t="n"/>
      <c r="D132" s="35" t="n"/>
      <c r="E132" s="32" t="n"/>
      <c r="F132" s="38" t="n"/>
      <c r="G132" s="35" t="n"/>
      <c r="H132" s="37" t="n"/>
      <c r="I132" s="35" t="n"/>
      <c r="J132" s="32" t="n"/>
      <c r="K132" s="30">
        <f>IF(G132="","",IFERROR(INDEX(Config!$B$10:$B$14,MATCH(G132,Config!$A$10:$A$14,0)),0))</f>
        <v/>
      </c>
      <c r="L132" s="26">
        <f>IF(OR(G132="",F132=""),"",F132*K132)</f>
        <v/>
      </c>
      <c r="M132" s="29">
        <f>IF(OR(G132="",G132="Aprovado",G132="Recusado",G132="Sem retorno",A132=""),"",Config!$B$5-A132)</f>
        <v/>
      </c>
      <c r="N132" s="29">
        <f>IF(AND(OR(G132="Aprovado",G132="Recusado"),H132&lt;&gt;"",A132&lt;&gt;""),H132-A132,"")</f>
        <v/>
      </c>
      <c r="O132" s="25">
        <f>IF(G132="","",IF(OR(G132="Aprovado",G132="Recusado",G132="Sem retorno"),G132,IF(AND(M132&lt;&gt;"",M132&gt;Config!$B$7),"Parado","Ativo")))</f>
        <v/>
      </c>
      <c r="P132" s="39">
        <f>IF(A132="","",DATE(YEAR(A132),MONTH(A132),1))</f>
        <v/>
      </c>
      <c r="Q132" s="40">
        <f>IF(OR(G132="",O132="Aprovado",O132="Recusado",O132="Sem retorno"),0,IF(O132="Parado",2000,1000)+MIN(N(M132),500)+N(F132)/1000000-ROW()/100000)</f>
        <v>0</v>
      </c>
    </row>
    <row r="133">
      <c r="A133" s="37" t="n"/>
      <c r="B133" s="32" t="n"/>
      <c r="C133" s="35" t="n"/>
      <c r="D133" s="35" t="n"/>
      <c r="E133" s="32" t="n"/>
      <c r="F133" s="38" t="n"/>
      <c r="G133" s="35" t="n"/>
      <c r="H133" s="37" t="n"/>
      <c r="I133" s="35" t="n"/>
      <c r="J133" s="32" t="n"/>
      <c r="K133" s="30">
        <f>IF(G133="","",IFERROR(INDEX(Config!$B$10:$B$14,MATCH(G133,Config!$A$10:$A$14,0)),0))</f>
        <v/>
      </c>
      <c r="L133" s="26">
        <f>IF(OR(G133="",F133=""),"",F133*K133)</f>
        <v/>
      </c>
      <c r="M133" s="29">
        <f>IF(OR(G133="",G133="Aprovado",G133="Recusado",G133="Sem retorno",A133=""),"",Config!$B$5-A133)</f>
        <v/>
      </c>
      <c r="N133" s="29">
        <f>IF(AND(OR(G133="Aprovado",G133="Recusado"),H133&lt;&gt;"",A133&lt;&gt;""),H133-A133,"")</f>
        <v/>
      </c>
      <c r="O133" s="25">
        <f>IF(G133="","",IF(OR(G133="Aprovado",G133="Recusado",G133="Sem retorno"),G133,IF(AND(M133&lt;&gt;"",M133&gt;Config!$B$7),"Parado","Ativo")))</f>
        <v/>
      </c>
      <c r="P133" s="39">
        <f>IF(A133="","",DATE(YEAR(A133),MONTH(A133),1))</f>
        <v/>
      </c>
      <c r="Q133" s="40">
        <f>IF(OR(G133="",O133="Aprovado",O133="Recusado",O133="Sem retorno"),0,IF(O133="Parado",2000,1000)+MIN(N(M133),500)+N(F133)/1000000-ROW()/100000)</f>
        <v>0</v>
      </c>
    </row>
    <row r="134">
      <c r="A134" s="37" t="n"/>
      <c r="B134" s="32" t="n"/>
      <c r="C134" s="35" t="n"/>
      <c r="D134" s="35" t="n"/>
      <c r="E134" s="32" t="n"/>
      <c r="F134" s="38" t="n"/>
      <c r="G134" s="35" t="n"/>
      <c r="H134" s="37" t="n"/>
      <c r="I134" s="35" t="n"/>
      <c r="J134" s="32" t="n"/>
      <c r="K134" s="30">
        <f>IF(G134="","",IFERROR(INDEX(Config!$B$10:$B$14,MATCH(G134,Config!$A$10:$A$14,0)),0))</f>
        <v/>
      </c>
      <c r="L134" s="26">
        <f>IF(OR(G134="",F134=""),"",F134*K134)</f>
        <v/>
      </c>
      <c r="M134" s="29">
        <f>IF(OR(G134="",G134="Aprovado",G134="Recusado",G134="Sem retorno",A134=""),"",Config!$B$5-A134)</f>
        <v/>
      </c>
      <c r="N134" s="29">
        <f>IF(AND(OR(G134="Aprovado",G134="Recusado"),H134&lt;&gt;"",A134&lt;&gt;""),H134-A134,"")</f>
        <v/>
      </c>
      <c r="O134" s="25">
        <f>IF(G134="","",IF(OR(G134="Aprovado",G134="Recusado",G134="Sem retorno"),G134,IF(AND(M134&lt;&gt;"",M134&gt;Config!$B$7),"Parado","Ativo")))</f>
        <v/>
      </c>
      <c r="P134" s="39">
        <f>IF(A134="","",DATE(YEAR(A134),MONTH(A134),1))</f>
        <v/>
      </c>
      <c r="Q134" s="40">
        <f>IF(OR(G134="",O134="Aprovado",O134="Recusado",O134="Sem retorno"),0,IF(O134="Parado",2000,1000)+MIN(N(M134),500)+N(F134)/1000000-ROW()/100000)</f>
        <v>0</v>
      </c>
    </row>
    <row r="135">
      <c r="A135" s="37" t="n"/>
      <c r="B135" s="32" t="n"/>
      <c r="C135" s="35" t="n"/>
      <c r="D135" s="35" t="n"/>
      <c r="E135" s="32" t="n"/>
      <c r="F135" s="38" t="n"/>
      <c r="G135" s="35" t="n"/>
      <c r="H135" s="37" t="n"/>
      <c r="I135" s="35" t="n"/>
      <c r="J135" s="32" t="n"/>
      <c r="K135" s="30">
        <f>IF(G135="","",IFERROR(INDEX(Config!$B$10:$B$14,MATCH(G135,Config!$A$10:$A$14,0)),0))</f>
        <v/>
      </c>
      <c r="L135" s="26">
        <f>IF(OR(G135="",F135=""),"",F135*K135)</f>
        <v/>
      </c>
      <c r="M135" s="29">
        <f>IF(OR(G135="",G135="Aprovado",G135="Recusado",G135="Sem retorno",A135=""),"",Config!$B$5-A135)</f>
        <v/>
      </c>
      <c r="N135" s="29">
        <f>IF(AND(OR(G135="Aprovado",G135="Recusado"),H135&lt;&gt;"",A135&lt;&gt;""),H135-A135,"")</f>
        <v/>
      </c>
      <c r="O135" s="25">
        <f>IF(G135="","",IF(OR(G135="Aprovado",G135="Recusado",G135="Sem retorno"),G135,IF(AND(M135&lt;&gt;"",M135&gt;Config!$B$7),"Parado","Ativo")))</f>
        <v/>
      </c>
      <c r="P135" s="39">
        <f>IF(A135="","",DATE(YEAR(A135),MONTH(A135),1))</f>
        <v/>
      </c>
      <c r="Q135" s="40">
        <f>IF(OR(G135="",O135="Aprovado",O135="Recusado",O135="Sem retorno"),0,IF(O135="Parado",2000,1000)+MIN(N(M135),500)+N(F135)/1000000-ROW()/100000)</f>
        <v>0</v>
      </c>
    </row>
    <row r="136">
      <c r="A136" s="37" t="n"/>
      <c r="B136" s="32" t="n"/>
      <c r="C136" s="35" t="n"/>
      <c r="D136" s="35" t="n"/>
      <c r="E136" s="32" t="n"/>
      <c r="F136" s="38" t="n"/>
      <c r="G136" s="35" t="n"/>
      <c r="H136" s="37" t="n"/>
      <c r="I136" s="35" t="n"/>
      <c r="J136" s="32" t="n"/>
      <c r="K136" s="30">
        <f>IF(G136="","",IFERROR(INDEX(Config!$B$10:$B$14,MATCH(G136,Config!$A$10:$A$14,0)),0))</f>
        <v/>
      </c>
      <c r="L136" s="26">
        <f>IF(OR(G136="",F136=""),"",F136*K136)</f>
        <v/>
      </c>
      <c r="M136" s="29">
        <f>IF(OR(G136="",G136="Aprovado",G136="Recusado",G136="Sem retorno",A136=""),"",Config!$B$5-A136)</f>
        <v/>
      </c>
      <c r="N136" s="29">
        <f>IF(AND(OR(G136="Aprovado",G136="Recusado"),H136&lt;&gt;"",A136&lt;&gt;""),H136-A136,"")</f>
        <v/>
      </c>
      <c r="O136" s="25">
        <f>IF(G136="","",IF(OR(G136="Aprovado",G136="Recusado",G136="Sem retorno"),G136,IF(AND(M136&lt;&gt;"",M136&gt;Config!$B$7),"Parado","Ativo")))</f>
        <v/>
      </c>
      <c r="P136" s="39">
        <f>IF(A136="","",DATE(YEAR(A136),MONTH(A136),1))</f>
        <v/>
      </c>
      <c r="Q136" s="40">
        <f>IF(OR(G136="",O136="Aprovado",O136="Recusado",O136="Sem retorno"),0,IF(O136="Parado",2000,1000)+MIN(N(M136),500)+N(F136)/1000000-ROW()/100000)</f>
        <v>0</v>
      </c>
    </row>
    <row r="137">
      <c r="A137" s="37" t="n"/>
      <c r="B137" s="32" t="n"/>
      <c r="C137" s="35" t="n"/>
      <c r="D137" s="35" t="n"/>
      <c r="E137" s="32" t="n"/>
      <c r="F137" s="38" t="n"/>
      <c r="G137" s="35" t="n"/>
      <c r="H137" s="37" t="n"/>
      <c r="I137" s="35" t="n"/>
      <c r="J137" s="32" t="n"/>
      <c r="K137" s="30">
        <f>IF(G137="","",IFERROR(INDEX(Config!$B$10:$B$14,MATCH(G137,Config!$A$10:$A$14,0)),0))</f>
        <v/>
      </c>
      <c r="L137" s="26">
        <f>IF(OR(G137="",F137=""),"",F137*K137)</f>
        <v/>
      </c>
      <c r="M137" s="29">
        <f>IF(OR(G137="",G137="Aprovado",G137="Recusado",G137="Sem retorno",A137=""),"",Config!$B$5-A137)</f>
        <v/>
      </c>
      <c r="N137" s="29">
        <f>IF(AND(OR(G137="Aprovado",G137="Recusado"),H137&lt;&gt;"",A137&lt;&gt;""),H137-A137,"")</f>
        <v/>
      </c>
      <c r="O137" s="25">
        <f>IF(G137="","",IF(OR(G137="Aprovado",G137="Recusado",G137="Sem retorno"),G137,IF(AND(M137&lt;&gt;"",M137&gt;Config!$B$7),"Parado","Ativo")))</f>
        <v/>
      </c>
      <c r="P137" s="39">
        <f>IF(A137="","",DATE(YEAR(A137),MONTH(A137),1))</f>
        <v/>
      </c>
      <c r="Q137" s="40">
        <f>IF(OR(G137="",O137="Aprovado",O137="Recusado",O137="Sem retorno"),0,IF(O137="Parado",2000,1000)+MIN(N(M137),500)+N(F137)/1000000-ROW()/100000)</f>
        <v>0</v>
      </c>
    </row>
    <row r="138">
      <c r="A138" s="37" t="n"/>
      <c r="B138" s="32" t="n"/>
      <c r="C138" s="35" t="n"/>
      <c r="D138" s="35" t="n"/>
      <c r="E138" s="32" t="n"/>
      <c r="F138" s="38" t="n"/>
      <c r="G138" s="35" t="n"/>
      <c r="H138" s="37" t="n"/>
      <c r="I138" s="35" t="n"/>
      <c r="J138" s="32" t="n"/>
      <c r="K138" s="30">
        <f>IF(G138="","",IFERROR(INDEX(Config!$B$10:$B$14,MATCH(G138,Config!$A$10:$A$14,0)),0))</f>
        <v/>
      </c>
      <c r="L138" s="26">
        <f>IF(OR(G138="",F138=""),"",F138*K138)</f>
        <v/>
      </c>
      <c r="M138" s="29">
        <f>IF(OR(G138="",G138="Aprovado",G138="Recusado",G138="Sem retorno",A138=""),"",Config!$B$5-A138)</f>
        <v/>
      </c>
      <c r="N138" s="29">
        <f>IF(AND(OR(G138="Aprovado",G138="Recusado"),H138&lt;&gt;"",A138&lt;&gt;""),H138-A138,"")</f>
        <v/>
      </c>
      <c r="O138" s="25">
        <f>IF(G138="","",IF(OR(G138="Aprovado",G138="Recusado",G138="Sem retorno"),G138,IF(AND(M138&lt;&gt;"",M138&gt;Config!$B$7),"Parado","Ativo")))</f>
        <v/>
      </c>
      <c r="P138" s="39">
        <f>IF(A138="","",DATE(YEAR(A138),MONTH(A138),1))</f>
        <v/>
      </c>
      <c r="Q138" s="40">
        <f>IF(OR(G138="",O138="Aprovado",O138="Recusado",O138="Sem retorno"),0,IF(O138="Parado",2000,1000)+MIN(N(M138),500)+N(F138)/1000000-ROW()/100000)</f>
        <v>0</v>
      </c>
    </row>
    <row r="139">
      <c r="A139" s="37" t="n"/>
      <c r="B139" s="32" t="n"/>
      <c r="C139" s="35" t="n"/>
      <c r="D139" s="35" t="n"/>
      <c r="E139" s="32" t="n"/>
      <c r="F139" s="38" t="n"/>
      <c r="G139" s="35" t="n"/>
      <c r="H139" s="37" t="n"/>
      <c r="I139" s="35" t="n"/>
      <c r="J139" s="32" t="n"/>
      <c r="K139" s="30">
        <f>IF(G139="","",IFERROR(INDEX(Config!$B$10:$B$14,MATCH(G139,Config!$A$10:$A$14,0)),0))</f>
        <v/>
      </c>
      <c r="L139" s="26">
        <f>IF(OR(G139="",F139=""),"",F139*K139)</f>
        <v/>
      </c>
      <c r="M139" s="29">
        <f>IF(OR(G139="",G139="Aprovado",G139="Recusado",G139="Sem retorno",A139=""),"",Config!$B$5-A139)</f>
        <v/>
      </c>
      <c r="N139" s="29">
        <f>IF(AND(OR(G139="Aprovado",G139="Recusado"),H139&lt;&gt;"",A139&lt;&gt;""),H139-A139,"")</f>
        <v/>
      </c>
      <c r="O139" s="25">
        <f>IF(G139="","",IF(OR(G139="Aprovado",G139="Recusado",G139="Sem retorno"),G139,IF(AND(M139&lt;&gt;"",M139&gt;Config!$B$7),"Parado","Ativo")))</f>
        <v/>
      </c>
      <c r="P139" s="39">
        <f>IF(A139="","",DATE(YEAR(A139),MONTH(A139),1))</f>
        <v/>
      </c>
      <c r="Q139" s="40">
        <f>IF(OR(G139="",O139="Aprovado",O139="Recusado",O139="Sem retorno"),0,IF(O139="Parado",2000,1000)+MIN(N(M139),500)+N(F139)/1000000-ROW()/100000)</f>
        <v>0</v>
      </c>
    </row>
    <row r="140">
      <c r="A140" s="37" t="n"/>
      <c r="B140" s="32" t="n"/>
      <c r="C140" s="35" t="n"/>
      <c r="D140" s="35" t="n"/>
      <c r="E140" s="32" t="n"/>
      <c r="F140" s="38" t="n"/>
      <c r="G140" s="35" t="n"/>
      <c r="H140" s="37" t="n"/>
      <c r="I140" s="35" t="n"/>
      <c r="J140" s="32" t="n"/>
      <c r="K140" s="30">
        <f>IF(G140="","",IFERROR(INDEX(Config!$B$10:$B$14,MATCH(G140,Config!$A$10:$A$14,0)),0))</f>
        <v/>
      </c>
      <c r="L140" s="26">
        <f>IF(OR(G140="",F140=""),"",F140*K140)</f>
        <v/>
      </c>
      <c r="M140" s="29">
        <f>IF(OR(G140="",G140="Aprovado",G140="Recusado",G140="Sem retorno",A140=""),"",Config!$B$5-A140)</f>
        <v/>
      </c>
      <c r="N140" s="29">
        <f>IF(AND(OR(G140="Aprovado",G140="Recusado"),H140&lt;&gt;"",A140&lt;&gt;""),H140-A140,"")</f>
        <v/>
      </c>
      <c r="O140" s="25">
        <f>IF(G140="","",IF(OR(G140="Aprovado",G140="Recusado",G140="Sem retorno"),G140,IF(AND(M140&lt;&gt;"",M140&gt;Config!$B$7),"Parado","Ativo")))</f>
        <v/>
      </c>
      <c r="P140" s="39">
        <f>IF(A140="","",DATE(YEAR(A140),MONTH(A140),1))</f>
        <v/>
      </c>
      <c r="Q140" s="40">
        <f>IF(OR(G140="",O140="Aprovado",O140="Recusado",O140="Sem retorno"),0,IF(O140="Parado",2000,1000)+MIN(N(M140),500)+N(F140)/1000000-ROW()/100000)</f>
        <v>0</v>
      </c>
    </row>
    <row r="141">
      <c r="A141" s="37" t="n"/>
      <c r="B141" s="32" t="n"/>
      <c r="C141" s="35" t="n"/>
      <c r="D141" s="35" t="n"/>
      <c r="E141" s="32" t="n"/>
      <c r="F141" s="38" t="n"/>
      <c r="G141" s="35" t="n"/>
      <c r="H141" s="37" t="n"/>
      <c r="I141" s="35" t="n"/>
      <c r="J141" s="32" t="n"/>
      <c r="K141" s="30">
        <f>IF(G141="","",IFERROR(INDEX(Config!$B$10:$B$14,MATCH(G141,Config!$A$10:$A$14,0)),0))</f>
        <v/>
      </c>
      <c r="L141" s="26">
        <f>IF(OR(G141="",F141=""),"",F141*K141)</f>
        <v/>
      </c>
      <c r="M141" s="29">
        <f>IF(OR(G141="",G141="Aprovado",G141="Recusado",G141="Sem retorno",A141=""),"",Config!$B$5-A141)</f>
        <v/>
      </c>
      <c r="N141" s="29">
        <f>IF(AND(OR(G141="Aprovado",G141="Recusado"),H141&lt;&gt;"",A141&lt;&gt;""),H141-A141,"")</f>
        <v/>
      </c>
      <c r="O141" s="25">
        <f>IF(G141="","",IF(OR(G141="Aprovado",G141="Recusado",G141="Sem retorno"),G141,IF(AND(M141&lt;&gt;"",M141&gt;Config!$B$7),"Parado","Ativo")))</f>
        <v/>
      </c>
      <c r="P141" s="39">
        <f>IF(A141="","",DATE(YEAR(A141),MONTH(A141),1))</f>
        <v/>
      </c>
      <c r="Q141" s="40">
        <f>IF(OR(G141="",O141="Aprovado",O141="Recusado",O141="Sem retorno"),0,IF(O141="Parado",2000,1000)+MIN(N(M141),500)+N(F141)/1000000-ROW()/100000)</f>
        <v>0</v>
      </c>
    </row>
    <row r="142">
      <c r="A142" s="37" t="n"/>
      <c r="B142" s="32" t="n"/>
      <c r="C142" s="35" t="n"/>
      <c r="D142" s="35" t="n"/>
      <c r="E142" s="32" t="n"/>
      <c r="F142" s="38" t="n"/>
      <c r="G142" s="35" t="n"/>
      <c r="H142" s="37" t="n"/>
      <c r="I142" s="35" t="n"/>
      <c r="J142" s="32" t="n"/>
      <c r="K142" s="30">
        <f>IF(G142="","",IFERROR(INDEX(Config!$B$10:$B$14,MATCH(G142,Config!$A$10:$A$14,0)),0))</f>
        <v/>
      </c>
      <c r="L142" s="26">
        <f>IF(OR(G142="",F142=""),"",F142*K142)</f>
        <v/>
      </c>
      <c r="M142" s="29">
        <f>IF(OR(G142="",G142="Aprovado",G142="Recusado",G142="Sem retorno",A142=""),"",Config!$B$5-A142)</f>
        <v/>
      </c>
      <c r="N142" s="29">
        <f>IF(AND(OR(G142="Aprovado",G142="Recusado"),H142&lt;&gt;"",A142&lt;&gt;""),H142-A142,"")</f>
        <v/>
      </c>
      <c r="O142" s="25">
        <f>IF(G142="","",IF(OR(G142="Aprovado",G142="Recusado",G142="Sem retorno"),G142,IF(AND(M142&lt;&gt;"",M142&gt;Config!$B$7),"Parado","Ativo")))</f>
        <v/>
      </c>
      <c r="P142" s="39">
        <f>IF(A142="","",DATE(YEAR(A142),MONTH(A142),1))</f>
        <v/>
      </c>
      <c r="Q142" s="40">
        <f>IF(OR(G142="",O142="Aprovado",O142="Recusado",O142="Sem retorno"),0,IF(O142="Parado",2000,1000)+MIN(N(M142),500)+N(F142)/1000000-ROW()/100000)</f>
        <v>0</v>
      </c>
    </row>
    <row r="143">
      <c r="A143" s="37" t="n"/>
      <c r="B143" s="32" t="n"/>
      <c r="C143" s="35" t="n"/>
      <c r="D143" s="35" t="n"/>
      <c r="E143" s="32" t="n"/>
      <c r="F143" s="38" t="n"/>
      <c r="G143" s="35" t="n"/>
      <c r="H143" s="37" t="n"/>
      <c r="I143" s="35" t="n"/>
      <c r="J143" s="32" t="n"/>
      <c r="K143" s="30">
        <f>IF(G143="","",IFERROR(INDEX(Config!$B$10:$B$14,MATCH(G143,Config!$A$10:$A$14,0)),0))</f>
        <v/>
      </c>
      <c r="L143" s="26">
        <f>IF(OR(G143="",F143=""),"",F143*K143)</f>
        <v/>
      </c>
      <c r="M143" s="29">
        <f>IF(OR(G143="",G143="Aprovado",G143="Recusado",G143="Sem retorno",A143=""),"",Config!$B$5-A143)</f>
        <v/>
      </c>
      <c r="N143" s="29">
        <f>IF(AND(OR(G143="Aprovado",G143="Recusado"),H143&lt;&gt;"",A143&lt;&gt;""),H143-A143,"")</f>
        <v/>
      </c>
      <c r="O143" s="25">
        <f>IF(G143="","",IF(OR(G143="Aprovado",G143="Recusado",G143="Sem retorno"),G143,IF(AND(M143&lt;&gt;"",M143&gt;Config!$B$7),"Parado","Ativo")))</f>
        <v/>
      </c>
      <c r="P143" s="39">
        <f>IF(A143="","",DATE(YEAR(A143),MONTH(A143),1))</f>
        <v/>
      </c>
      <c r="Q143" s="40">
        <f>IF(OR(G143="",O143="Aprovado",O143="Recusado",O143="Sem retorno"),0,IF(O143="Parado",2000,1000)+MIN(N(M143),500)+N(F143)/1000000-ROW()/100000)</f>
        <v>0</v>
      </c>
    </row>
    <row r="144">
      <c r="A144" s="37" t="n"/>
      <c r="B144" s="32" t="n"/>
      <c r="C144" s="35" t="n"/>
      <c r="D144" s="35" t="n"/>
      <c r="E144" s="32" t="n"/>
      <c r="F144" s="38" t="n"/>
      <c r="G144" s="35" t="n"/>
      <c r="H144" s="37" t="n"/>
      <c r="I144" s="35" t="n"/>
      <c r="J144" s="32" t="n"/>
      <c r="K144" s="30">
        <f>IF(G144="","",IFERROR(INDEX(Config!$B$10:$B$14,MATCH(G144,Config!$A$10:$A$14,0)),0))</f>
        <v/>
      </c>
      <c r="L144" s="26">
        <f>IF(OR(G144="",F144=""),"",F144*K144)</f>
        <v/>
      </c>
      <c r="M144" s="29">
        <f>IF(OR(G144="",G144="Aprovado",G144="Recusado",G144="Sem retorno",A144=""),"",Config!$B$5-A144)</f>
        <v/>
      </c>
      <c r="N144" s="29">
        <f>IF(AND(OR(G144="Aprovado",G144="Recusado"),H144&lt;&gt;"",A144&lt;&gt;""),H144-A144,"")</f>
        <v/>
      </c>
      <c r="O144" s="25">
        <f>IF(G144="","",IF(OR(G144="Aprovado",G144="Recusado",G144="Sem retorno"),G144,IF(AND(M144&lt;&gt;"",M144&gt;Config!$B$7),"Parado","Ativo")))</f>
        <v/>
      </c>
      <c r="P144" s="39">
        <f>IF(A144="","",DATE(YEAR(A144),MONTH(A144),1))</f>
        <v/>
      </c>
      <c r="Q144" s="40">
        <f>IF(OR(G144="",O144="Aprovado",O144="Recusado",O144="Sem retorno"),0,IF(O144="Parado",2000,1000)+MIN(N(M144),500)+N(F144)/1000000-ROW()/100000)</f>
        <v>0</v>
      </c>
    </row>
    <row r="145">
      <c r="A145" s="37" t="n"/>
      <c r="B145" s="32" t="n"/>
      <c r="C145" s="35" t="n"/>
      <c r="D145" s="35" t="n"/>
      <c r="E145" s="32" t="n"/>
      <c r="F145" s="38" t="n"/>
      <c r="G145" s="35" t="n"/>
      <c r="H145" s="37" t="n"/>
      <c r="I145" s="35" t="n"/>
      <c r="J145" s="32" t="n"/>
      <c r="K145" s="30">
        <f>IF(G145="","",IFERROR(INDEX(Config!$B$10:$B$14,MATCH(G145,Config!$A$10:$A$14,0)),0))</f>
        <v/>
      </c>
      <c r="L145" s="26">
        <f>IF(OR(G145="",F145=""),"",F145*K145)</f>
        <v/>
      </c>
      <c r="M145" s="29">
        <f>IF(OR(G145="",G145="Aprovado",G145="Recusado",G145="Sem retorno",A145=""),"",Config!$B$5-A145)</f>
        <v/>
      </c>
      <c r="N145" s="29">
        <f>IF(AND(OR(G145="Aprovado",G145="Recusado"),H145&lt;&gt;"",A145&lt;&gt;""),H145-A145,"")</f>
        <v/>
      </c>
      <c r="O145" s="25">
        <f>IF(G145="","",IF(OR(G145="Aprovado",G145="Recusado",G145="Sem retorno"),G145,IF(AND(M145&lt;&gt;"",M145&gt;Config!$B$7),"Parado","Ativo")))</f>
        <v/>
      </c>
      <c r="P145" s="39">
        <f>IF(A145="","",DATE(YEAR(A145),MONTH(A145),1))</f>
        <v/>
      </c>
      <c r="Q145" s="40">
        <f>IF(OR(G145="",O145="Aprovado",O145="Recusado",O145="Sem retorno"),0,IF(O145="Parado",2000,1000)+MIN(N(M145),500)+N(F145)/1000000-ROW()/100000)</f>
        <v>0</v>
      </c>
    </row>
    <row r="146">
      <c r="A146" s="37" t="n"/>
      <c r="B146" s="32" t="n"/>
      <c r="C146" s="35" t="n"/>
      <c r="D146" s="35" t="n"/>
      <c r="E146" s="32" t="n"/>
      <c r="F146" s="38" t="n"/>
      <c r="G146" s="35" t="n"/>
      <c r="H146" s="37" t="n"/>
      <c r="I146" s="35" t="n"/>
      <c r="J146" s="32" t="n"/>
      <c r="K146" s="30">
        <f>IF(G146="","",IFERROR(INDEX(Config!$B$10:$B$14,MATCH(G146,Config!$A$10:$A$14,0)),0))</f>
        <v/>
      </c>
      <c r="L146" s="26">
        <f>IF(OR(G146="",F146=""),"",F146*K146)</f>
        <v/>
      </c>
      <c r="M146" s="29">
        <f>IF(OR(G146="",G146="Aprovado",G146="Recusado",G146="Sem retorno",A146=""),"",Config!$B$5-A146)</f>
        <v/>
      </c>
      <c r="N146" s="29">
        <f>IF(AND(OR(G146="Aprovado",G146="Recusado"),H146&lt;&gt;"",A146&lt;&gt;""),H146-A146,"")</f>
        <v/>
      </c>
      <c r="O146" s="25">
        <f>IF(G146="","",IF(OR(G146="Aprovado",G146="Recusado",G146="Sem retorno"),G146,IF(AND(M146&lt;&gt;"",M146&gt;Config!$B$7),"Parado","Ativo")))</f>
        <v/>
      </c>
      <c r="P146" s="39">
        <f>IF(A146="","",DATE(YEAR(A146),MONTH(A146),1))</f>
        <v/>
      </c>
      <c r="Q146" s="40">
        <f>IF(OR(G146="",O146="Aprovado",O146="Recusado",O146="Sem retorno"),0,IF(O146="Parado",2000,1000)+MIN(N(M146),500)+N(F146)/1000000-ROW()/100000)</f>
        <v>0</v>
      </c>
    </row>
    <row r="147">
      <c r="A147" s="37" t="n"/>
      <c r="B147" s="32" t="n"/>
      <c r="C147" s="35" t="n"/>
      <c r="D147" s="35" t="n"/>
      <c r="E147" s="32" t="n"/>
      <c r="F147" s="38" t="n"/>
      <c r="G147" s="35" t="n"/>
      <c r="H147" s="37" t="n"/>
      <c r="I147" s="35" t="n"/>
      <c r="J147" s="32" t="n"/>
      <c r="K147" s="30">
        <f>IF(G147="","",IFERROR(INDEX(Config!$B$10:$B$14,MATCH(G147,Config!$A$10:$A$14,0)),0))</f>
        <v/>
      </c>
      <c r="L147" s="26">
        <f>IF(OR(G147="",F147=""),"",F147*K147)</f>
        <v/>
      </c>
      <c r="M147" s="29">
        <f>IF(OR(G147="",G147="Aprovado",G147="Recusado",G147="Sem retorno",A147=""),"",Config!$B$5-A147)</f>
        <v/>
      </c>
      <c r="N147" s="29">
        <f>IF(AND(OR(G147="Aprovado",G147="Recusado"),H147&lt;&gt;"",A147&lt;&gt;""),H147-A147,"")</f>
        <v/>
      </c>
      <c r="O147" s="25">
        <f>IF(G147="","",IF(OR(G147="Aprovado",G147="Recusado",G147="Sem retorno"),G147,IF(AND(M147&lt;&gt;"",M147&gt;Config!$B$7),"Parado","Ativo")))</f>
        <v/>
      </c>
      <c r="P147" s="39">
        <f>IF(A147="","",DATE(YEAR(A147),MONTH(A147),1))</f>
        <v/>
      </c>
      <c r="Q147" s="40">
        <f>IF(OR(G147="",O147="Aprovado",O147="Recusado",O147="Sem retorno"),0,IF(O147="Parado",2000,1000)+MIN(N(M147),500)+N(F147)/1000000-ROW()/100000)</f>
        <v>0</v>
      </c>
    </row>
    <row r="148">
      <c r="A148" s="37" t="n"/>
      <c r="B148" s="32" t="n"/>
      <c r="C148" s="35" t="n"/>
      <c r="D148" s="35" t="n"/>
      <c r="E148" s="32" t="n"/>
      <c r="F148" s="38" t="n"/>
      <c r="G148" s="35" t="n"/>
      <c r="H148" s="37" t="n"/>
      <c r="I148" s="35" t="n"/>
      <c r="J148" s="32" t="n"/>
      <c r="K148" s="30">
        <f>IF(G148="","",IFERROR(INDEX(Config!$B$10:$B$14,MATCH(G148,Config!$A$10:$A$14,0)),0))</f>
        <v/>
      </c>
      <c r="L148" s="26">
        <f>IF(OR(G148="",F148=""),"",F148*K148)</f>
        <v/>
      </c>
      <c r="M148" s="29">
        <f>IF(OR(G148="",G148="Aprovado",G148="Recusado",G148="Sem retorno",A148=""),"",Config!$B$5-A148)</f>
        <v/>
      </c>
      <c r="N148" s="29">
        <f>IF(AND(OR(G148="Aprovado",G148="Recusado"),H148&lt;&gt;"",A148&lt;&gt;""),H148-A148,"")</f>
        <v/>
      </c>
      <c r="O148" s="25">
        <f>IF(G148="","",IF(OR(G148="Aprovado",G148="Recusado",G148="Sem retorno"),G148,IF(AND(M148&lt;&gt;"",M148&gt;Config!$B$7),"Parado","Ativo")))</f>
        <v/>
      </c>
      <c r="P148" s="39">
        <f>IF(A148="","",DATE(YEAR(A148),MONTH(A148),1))</f>
        <v/>
      </c>
      <c r="Q148" s="40">
        <f>IF(OR(G148="",O148="Aprovado",O148="Recusado",O148="Sem retorno"),0,IF(O148="Parado",2000,1000)+MIN(N(M148),500)+N(F148)/1000000-ROW()/100000)</f>
        <v>0</v>
      </c>
    </row>
    <row r="149">
      <c r="A149" s="37" t="n"/>
      <c r="B149" s="32" t="n"/>
      <c r="C149" s="35" t="n"/>
      <c r="D149" s="35" t="n"/>
      <c r="E149" s="32" t="n"/>
      <c r="F149" s="38" t="n"/>
      <c r="G149" s="35" t="n"/>
      <c r="H149" s="37" t="n"/>
      <c r="I149" s="35" t="n"/>
      <c r="J149" s="32" t="n"/>
      <c r="K149" s="30">
        <f>IF(G149="","",IFERROR(INDEX(Config!$B$10:$B$14,MATCH(G149,Config!$A$10:$A$14,0)),0))</f>
        <v/>
      </c>
      <c r="L149" s="26">
        <f>IF(OR(G149="",F149=""),"",F149*K149)</f>
        <v/>
      </c>
      <c r="M149" s="29">
        <f>IF(OR(G149="",G149="Aprovado",G149="Recusado",G149="Sem retorno",A149=""),"",Config!$B$5-A149)</f>
        <v/>
      </c>
      <c r="N149" s="29">
        <f>IF(AND(OR(G149="Aprovado",G149="Recusado"),H149&lt;&gt;"",A149&lt;&gt;""),H149-A149,"")</f>
        <v/>
      </c>
      <c r="O149" s="25">
        <f>IF(G149="","",IF(OR(G149="Aprovado",G149="Recusado",G149="Sem retorno"),G149,IF(AND(M149&lt;&gt;"",M149&gt;Config!$B$7),"Parado","Ativo")))</f>
        <v/>
      </c>
      <c r="P149" s="39">
        <f>IF(A149="","",DATE(YEAR(A149),MONTH(A149),1))</f>
        <v/>
      </c>
      <c r="Q149" s="40">
        <f>IF(OR(G149="",O149="Aprovado",O149="Recusado",O149="Sem retorno"),0,IF(O149="Parado",2000,1000)+MIN(N(M149),500)+N(F149)/1000000-ROW()/100000)</f>
        <v>0</v>
      </c>
    </row>
    <row r="150">
      <c r="A150" s="37" t="n"/>
      <c r="B150" s="32" t="n"/>
      <c r="C150" s="35" t="n"/>
      <c r="D150" s="35" t="n"/>
      <c r="E150" s="32" t="n"/>
      <c r="F150" s="38" t="n"/>
      <c r="G150" s="35" t="n"/>
      <c r="H150" s="37" t="n"/>
      <c r="I150" s="35" t="n"/>
      <c r="J150" s="32" t="n"/>
      <c r="K150" s="30">
        <f>IF(G150="","",IFERROR(INDEX(Config!$B$10:$B$14,MATCH(G150,Config!$A$10:$A$14,0)),0))</f>
        <v/>
      </c>
      <c r="L150" s="26">
        <f>IF(OR(G150="",F150=""),"",F150*K150)</f>
        <v/>
      </c>
      <c r="M150" s="29">
        <f>IF(OR(G150="",G150="Aprovado",G150="Recusado",G150="Sem retorno",A150=""),"",Config!$B$5-A150)</f>
        <v/>
      </c>
      <c r="N150" s="29">
        <f>IF(AND(OR(G150="Aprovado",G150="Recusado"),H150&lt;&gt;"",A150&lt;&gt;""),H150-A150,"")</f>
        <v/>
      </c>
      <c r="O150" s="25">
        <f>IF(G150="","",IF(OR(G150="Aprovado",G150="Recusado",G150="Sem retorno"),G150,IF(AND(M150&lt;&gt;"",M150&gt;Config!$B$7),"Parado","Ativo")))</f>
        <v/>
      </c>
      <c r="P150" s="39">
        <f>IF(A150="","",DATE(YEAR(A150),MONTH(A150),1))</f>
        <v/>
      </c>
      <c r="Q150" s="40">
        <f>IF(OR(G150="",O150="Aprovado",O150="Recusado",O150="Sem retorno"),0,IF(O150="Parado",2000,1000)+MIN(N(M150),500)+N(F150)/1000000-ROW()/100000)</f>
        <v>0</v>
      </c>
    </row>
    <row r="151">
      <c r="A151" s="37" t="n"/>
      <c r="B151" s="32" t="n"/>
      <c r="C151" s="35" t="n"/>
      <c r="D151" s="35" t="n"/>
      <c r="E151" s="32" t="n"/>
      <c r="F151" s="38" t="n"/>
      <c r="G151" s="35" t="n"/>
      <c r="H151" s="37" t="n"/>
      <c r="I151" s="35" t="n"/>
      <c r="J151" s="32" t="n"/>
      <c r="K151" s="30">
        <f>IF(G151="","",IFERROR(INDEX(Config!$B$10:$B$14,MATCH(G151,Config!$A$10:$A$14,0)),0))</f>
        <v/>
      </c>
      <c r="L151" s="26">
        <f>IF(OR(G151="",F151=""),"",F151*K151)</f>
        <v/>
      </c>
      <c r="M151" s="29">
        <f>IF(OR(G151="",G151="Aprovado",G151="Recusado",G151="Sem retorno",A151=""),"",Config!$B$5-A151)</f>
        <v/>
      </c>
      <c r="N151" s="29">
        <f>IF(AND(OR(G151="Aprovado",G151="Recusado"),H151&lt;&gt;"",A151&lt;&gt;""),H151-A151,"")</f>
        <v/>
      </c>
      <c r="O151" s="25">
        <f>IF(G151="","",IF(OR(G151="Aprovado",G151="Recusado",G151="Sem retorno"),G151,IF(AND(M151&lt;&gt;"",M151&gt;Config!$B$7),"Parado","Ativo")))</f>
        <v/>
      </c>
      <c r="P151" s="39">
        <f>IF(A151="","",DATE(YEAR(A151),MONTH(A151),1))</f>
        <v/>
      </c>
      <c r="Q151" s="40">
        <f>IF(OR(G151="",O151="Aprovado",O151="Recusado",O151="Sem retorno"),0,IF(O151="Parado",2000,1000)+MIN(N(M151),500)+N(F151)/1000000-ROW()/100000)</f>
        <v>0</v>
      </c>
    </row>
    <row r="152">
      <c r="A152" s="37" t="n"/>
      <c r="B152" s="32" t="n"/>
      <c r="C152" s="35" t="n"/>
      <c r="D152" s="35" t="n"/>
      <c r="E152" s="32" t="n"/>
      <c r="F152" s="38" t="n"/>
      <c r="G152" s="35" t="n"/>
      <c r="H152" s="37" t="n"/>
      <c r="I152" s="35" t="n"/>
      <c r="J152" s="32" t="n"/>
      <c r="K152" s="30">
        <f>IF(G152="","",IFERROR(INDEX(Config!$B$10:$B$14,MATCH(G152,Config!$A$10:$A$14,0)),0))</f>
        <v/>
      </c>
      <c r="L152" s="26">
        <f>IF(OR(G152="",F152=""),"",F152*K152)</f>
        <v/>
      </c>
      <c r="M152" s="29">
        <f>IF(OR(G152="",G152="Aprovado",G152="Recusado",G152="Sem retorno",A152=""),"",Config!$B$5-A152)</f>
        <v/>
      </c>
      <c r="N152" s="29">
        <f>IF(AND(OR(G152="Aprovado",G152="Recusado"),H152&lt;&gt;"",A152&lt;&gt;""),H152-A152,"")</f>
        <v/>
      </c>
      <c r="O152" s="25">
        <f>IF(G152="","",IF(OR(G152="Aprovado",G152="Recusado",G152="Sem retorno"),G152,IF(AND(M152&lt;&gt;"",M152&gt;Config!$B$7),"Parado","Ativo")))</f>
        <v/>
      </c>
      <c r="P152" s="39">
        <f>IF(A152="","",DATE(YEAR(A152),MONTH(A152),1))</f>
        <v/>
      </c>
      <c r="Q152" s="40">
        <f>IF(OR(G152="",O152="Aprovado",O152="Recusado",O152="Sem retorno"),0,IF(O152="Parado",2000,1000)+MIN(N(M152),500)+N(F152)/1000000-ROW()/100000)</f>
        <v>0</v>
      </c>
    </row>
    <row r="153">
      <c r="A153" s="37" t="n"/>
      <c r="B153" s="32" t="n"/>
      <c r="C153" s="35" t="n"/>
      <c r="D153" s="35" t="n"/>
      <c r="E153" s="32" t="n"/>
      <c r="F153" s="38" t="n"/>
      <c r="G153" s="35" t="n"/>
      <c r="H153" s="37" t="n"/>
      <c r="I153" s="35" t="n"/>
      <c r="J153" s="32" t="n"/>
      <c r="K153" s="30">
        <f>IF(G153="","",IFERROR(INDEX(Config!$B$10:$B$14,MATCH(G153,Config!$A$10:$A$14,0)),0))</f>
        <v/>
      </c>
      <c r="L153" s="26">
        <f>IF(OR(G153="",F153=""),"",F153*K153)</f>
        <v/>
      </c>
      <c r="M153" s="29">
        <f>IF(OR(G153="",G153="Aprovado",G153="Recusado",G153="Sem retorno",A153=""),"",Config!$B$5-A153)</f>
        <v/>
      </c>
      <c r="N153" s="29">
        <f>IF(AND(OR(G153="Aprovado",G153="Recusado"),H153&lt;&gt;"",A153&lt;&gt;""),H153-A153,"")</f>
        <v/>
      </c>
      <c r="O153" s="25">
        <f>IF(G153="","",IF(OR(G153="Aprovado",G153="Recusado",G153="Sem retorno"),G153,IF(AND(M153&lt;&gt;"",M153&gt;Config!$B$7),"Parado","Ativo")))</f>
        <v/>
      </c>
      <c r="P153" s="39">
        <f>IF(A153="","",DATE(YEAR(A153),MONTH(A153),1))</f>
        <v/>
      </c>
      <c r="Q153" s="40">
        <f>IF(OR(G153="",O153="Aprovado",O153="Recusado",O153="Sem retorno"),0,IF(O153="Parado",2000,1000)+MIN(N(M153),500)+N(F153)/1000000-ROW()/100000)</f>
        <v>0</v>
      </c>
    </row>
    <row r="154">
      <c r="A154" s="37" t="n"/>
      <c r="B154" s="32" t="n"/>
      <c r="C154" s="35" t="n"/>
      <c r="D154" s="35" t="n"/>
      <c r="E154" s="32" t="n"/>
      <c r="F154" s="38" t="n"/>
      <c r="G154" s="35" t="n"/>
      <c r="H154" s="37" t="n"/>
      <c r="I154" s="35" t="n"/>
      <c r="J154" s="32" t="n"/>
      <c r="K154" s="30">
        <f>IF(G154="","",IFERROR(INDEX(Config!$B$10:$B$14,MATCH(G154,Config!$A$10:$A$14,0)),0))</f>
        <v/>
      </c>
      <c r="L154" s="26">
        <f>IF(OR(G154="",F154=""),"",F154*K154)</f>
        <v/>
      </c>
      <c r="M154" s="29">
        <f>IF(OR(G154="",G154="Aprovado",G154="Recusado",G154="Sem retorno",A154=""),"",Config!$B$5-A154)</f>
        <v/>
      </c>
      <c r="N154" s="29">
        <f>IF(AND(OR(G154="Aprovado",G154="Recusado"),H154&lt;&gt;"",A154&lt;&gt;""),H154-A154,"")</f>
        <v/>
      </c>
      <c r="O154" s="25">
        <f>IF(G154="","",IF(OR(G154="Aprovado",G154="Recusado",G154="Sem retorno"),G154,IF(AND(M154&lt;&gt;"",M154&gt;Config!$B$7),"Parado","Ativo")))</f>
        <v/>
      </c>
      <c r="P154" s="39">
        <f>IF(A154="","",DATE(YEAR(A154),MONTH(A154),1))</f>
        <v/>
      </c>
      <c r="Q154" s="40">
        <f>IF(OR(G154="",O154="Aprovado",O154="Recusado",O154="Sem retorno"),0,IF(O154="Parado",2000,1000)+MIN(N(M154),500)+N(F154)/1000000-ROW()/100000)</f>
        <v>0</v>
      </c>
    </row>
    <row r="155">
      <c r="A155" s="37" t="n"/>
      <c r="B155" s="32" t="n"/>
      <c r="C155" s="35" t="n"/>
      <c r="D155" s="35" t="n"/>
      <c r="E155" s="32" t="n"/>
      <c r="F155" s="38" t="n"/>
      <c r="G155" s="35" t="n"/>
      <c r="H155" s="37" t="n"/>
      <c r="I155" s="35" t="n"/>
      <c r="J155" s="32" t="n"/>
      <c r="K155" s="30">
        <f>IF(G155="","",IFERROR(INDEX(Config!$B$10:$B$14,MATCH(G155,Config!$A$10:$A$14,0)),0))</f>
        <v/>
      </c>
      <c r="L155" s="26">
        <f>IF(OR(G155="",F155=""),"",F155*K155)</f>
        <v/>
      </c>
      <c r="M155" s="29">
        <f>IF(OR(G155="",G155="Aprovado",G155="Recusado",G155="Sem retorno",A155=""),"",Config!$B$5-A155)</f>
        <v/>
      </c>
      <c r="N155" s="29">
        <f>IF(AND(OR(G155="Aprovado",G155="Recusado"),H155&lt;&gt;"",A155&lt;&gt;""),H155-A155,"")</f>
        <v/>
      </c>
      <c r="O155" s="25">
        <f>IF(G155="","",IF(OR(G155="Aprovado",G155="Recusado",G155="Sem retorno"),G155,IF(AND(M155&lt;&gt;"",M155&gt;Config!$B$7),"Parado","Ativo")))</f>
        <v/>
      </c>
      <c r="P155" s="39">
        <f>IF(A155="","",DATE(YEAR(A155),MONTH(A155),1))</f>
        <v/>
      </c>
      <c r="Q155" s="40">
        <f>IF(OR(G155="",O155="Aprovado",O155="Recusado",O155="Sem retorno"),0,IF(O155="Parado",2000,1000)+MIN(N(M155),500)+N(F155)/1000000-ROW()/100000)</f>
        <v>0</v>
      </c>
    </row>
    <row r="156">
      <c r="A156" s="37" t="n"/>
      <c r="B156" s="32" t="n"/>
      <c r="C156" s="35" t="n"/>
      <c r="D156" s="35" t="n"/>
      <c r="E156" s="32" t="n"/>
      <c r="F156" s="38" t="n"/>
      <c r="G156" s="35" t="n"/>
      <c r="H156" s="37" t="n"/>
      <c r="I156" s="35" t="n"/>
      <c r="J156" s="32" t="n"/>
      <c r="K156" s="30">
        <f>IF(G156="","",IFERROR(INDEX(Config!$B$10:$B$14,MATCH(G156,Config!$A$10:$A$14,0)),0))</f>
        <v/>
      </c>
      <c r="L156" s="26">
        <f>IF(OR(G156="",F156=""),"",F156*K156)</f>
        <v/>
      </c>
      <c r="M156" s="29">
        <f>IF(OR(G156="",G156="Aprovado",G156="Recusado",G156="Sem retorno",A156=""),"",Config!$B$5-A156)</f>
        <v/>
      </c>
      <c r="N156" s="29">
        <f>IF(AND(OR(G156="Aprovado",G156="Recusado"),H156&lt;&gt;"",A156&lt;&gt;""),H156-A156,"")</f>
        <v/>
      </c>
      <c r="O156" s="25">
        <f>IF(G156="","",IF(OR(G156="Aprovado",G156="Recusado",G156="Sem retorno"),G156,IF(AND(M156&lt;&gt;"",M156&gt;Config!$B$7),"Parado","Ativo")))</f>
        <v/>
      </c>
      <c r="P156" s="39">
        <f>IF(A156="","",DATE(YEAR(A156),MONTH(A156),1))</f>
        <v/>
      </c>
      <c r="Q156" s="40">
        <f>IF(OR(G156="",O156="Aprovado",O156="Recusado",O156="Sem retorno"),0,IF(O156="Parado",2000,1000)+MIN(N(M156),500)+N(F156)/1000000-ROW()/100000)</f>
        <v>0</v>
      </c>
    </row>
    <row r="157">
      <c r="A157" s="37" t="n"/>
      <c r="B157" s="32" t="n"/>
      <c r="C157" s="35" t="n"/>
      <c r="D157" s="35" t="n"/>
      <c r="E157" s="32" t="n"/>
      <c r="F157" s="38" t="n"/>
      <c r="G157" s="35" t="n"/>
      <c r="H157" s="37" t="n"/>
      <c r="I157" s="35" t="n"/>
      <c r="J157" s="32" t="n"/>
      <c r="K157" s="30">
        <f>IF(G157="","",IFERROR(INDEX(Config!$B$10:$B$14,MATCH(G157,Config!$A$10:$A$14,0)),0))</f>
        <v/>
      </c>
      <c r="L157" s="26">
        <f>IF(OR(G157="",F157=""),"",F157*K157)</f>
        <v/>
      </c>
      <c r="M157" s="29">
        <f>IF(OR(G157="",G157="Aprovado",G157="Recusado",G157="Sem retorno",A157=""),"",Config!$B$5-A157)</f>
        <v/>
      </c>
      <c r="N157" s="29">
        <f>IF(AND(OR(G157="Aprovado",G157="Recusado"),H157&lt;&gt;"",A157&lt;&gt;""),H157-A157,"")</f>
        <v/>
      </c>
      <c r="O157" s="25">
        <f>IF(G157="","",IF(OR(G157="Aprovado",G157="Recusado",G157="Sem retorno"),G157,IF(AND(M157&lt;&gt;"",M157&gt;Config!$B$7),"Parado","Ativo")))</f>
        <v/>
      </c>
      <c r="P157" s="39">
        <f>IF(A157="","",DATE(YEAR(A157),MONTH(A157),1))</f>
        <v/>
      </c>
      <c r="Q157" s="40">
        <f>IF(OR(G157="",O157="Aprovado",O157="Recusado",O157="Sem retorno"),0,IF(O157="Parado",2000,1000)+MIN(N(M157),500)+N(F157)/1000000-ROW()/100000)</f>
        <v>0</v>
      </c>
    </row>
    <row r="158">
      <c r="A158" s="37" t="n"/>
      <c r="B158" s="32" t="n"/>
      <c r="C158" s="35" t="n"/>
      <c r="D158" s="35" t="n"/>
      <c r="E158" s="32" t="n"/>
      <c r="F158" s="38" t="n"/>
      <c r="G158" s="35" t="n"/>
      <c r="H158" s="37" t="n"/>
      <c r="I158" s="35" t="n"/>
      <c r="J158" s="32" t="n"/>
      <c r="K158" s="30">
        <f>IF(G158="","",IFERROR(INDEX(Config!$B$10:$B$14,MATCH(G158,Config!$A$10:$A$14,0)),0))</f>
        <v/>
      </c>
      <c r="L158" s="26">
        <f>IF(OR(G158="",F158=""),"",F158*K158)</f>
        <v/>
      </c>
      <c r="M158" s="29">
        <f>IF(OR(G158="",G158="Aprovado",G158="Recusado",G158="Sem retorno",A158=""),"",Config!$B$5-A158)</f>
        <v/>
      </c>
      <c r="N158" s="29">
        <f>IF(AND(OR(G158="Aprovado",G158="Recusado"),H158&lt;&gt;"",A158&lt;&gt;""),H158-A158,"")</f>
        <v/>
      </c>
      <c r="O158" s="25">
        <f>IF(G158="","",IF(OR(G158="Aprovado",G158="Recusado",G158="Sem retorno"),G158,IF(AND(M158&lt;&gt;"",M158&gt;Config!$B$7),"Parado","Ativo")))</f>
        <v/>
      </c>
      <c r="P158" s="39">
        <f>IF(A158="","",DATE(YEAR(A158),MONTH(A158),1))</f>
        <v/>
      </c>
      <c r="Q158" s="40">
        <f>IF(OR(G158="",O158="Aprovado",O158="Recusado",O158="Sem retorno"),0,IF(O158="Parado",2000,1000)+MIN(N(M158),500)+N(F158)/1000000-ROW()/100000)</f>
        <v>0</v>
      </c>
    </row>
    <row r="159">
      <c r="A159" s="37" t="n"/>
      <c r="B159" s="32" t="n"/>
      <c r="C159" s="35" t="n"/>
      <c r="D159" s="35" t="n"/>
      <c r="E159" s="32" t="n"/>
      <c r="F159" s="38" t="n"/>
      <c r="G159" s="35" t="n"/>
      <c r="H159" s="37" t="n"/>
      <c r="I159" s="35" t="n"/>
      <c r="J159" s="32" t="n"/>
      <c r="K159" s="30">
        <f>IF(G159="","",IFERROR(INDEX(Config!$B$10:$B$14,MATCH(G159,Config!$A$10:$A$14,0)),0))</f>
        <v/>
      </c>
      <c r="L159" s="26">
        <f>IF(OR(G159="",F159=""),"",F159*K159)</f>
        <v/>
      </c>
      <c r="M159" s="29">
        <f>IF(OR(G159="",G159="Aprovado",G159="Recusado",G159="Sem retorno",A159=""),"",Config!$B$5-A159)</f>
        <v/>
      </c>
      <c r="N159" s="29">
        <f>IF(AND(OR(G159="Aprovado",G159="Recusado"),H159&lt;&gt;"",A159&lt;&gt;""),H159-A159,"")</f>
        <v/>
      </c>
      <c r="O159" s="25">
        <f>IF(G159="","",IF(OR(G159="Aprovado",G159="Recusado",G159="Sem retorno"),G159,IF(AND(M159&lt;&gt;"",M159&gt;Config!$B$7),"Parado","Ativo")))</f>
        <v/>
      </c>
      <c r="P159" s="39">
        <f>IF(A159="","",DATE(YEAR(A159),MONTH(A159),1))</f>
        <v/>
      </c>
      <c r="Q159" s="40">
        <f>IF(OR(G159="",O159="Aprovado",O159="Recusado",O159="Sem retorno"),0,IF(O159="Parado",2000,1000)+MIN(N(M159),500)+N(F159)/1000000-ROW()/100000)</f>
        <v>0</v>
      </c>
    </row>
    <row r="160">
      <c r="A160" s="37" t="n"/>
      <c r="B160" s="32" t="n"/>
      <c r="C160" s="35" t="n"/>
      <c r="D160" s="35" t="n"/>
      <c r="E160" s="32" t="n"/>
      <c r="F160" s="38" t="n"/>
      <c r="G160" s="35" t="n"/>
      <c r="H160" s="37" t="n"/>
      <c r="I160" s="35" t="n"/>
      <c r="J160" s="32" t="n"/>
      <c r="K160" s="30">
        <f>IF(G160="","",IFERROR(INDEX(Config!$B$10:$B$14,MATCH(G160,Config!$A$10:$A$14,0)),0))</f>
        <v/>
      </c>
      <c r="L160" s="26">
        <f>IF(OR(G160="",F160=""),"",F160*K160)</f>
        <v/>
      </c>
      <c r="M160" s="29">
        <f>IF(OR(G160="",G160="Aprovado",G160="Recusado",G160="Sem retorno",A160=""),"",Config!$B$5-A160)</f>
        <v/>
      </c>
      <c r="N160" s="29">
        <f>IF(AND(OR(G160="Aprovado",G160="Recusado"),H160&lt;&gt;"",A160&lt;&gt;""),H160-A160,"")</f>
        <v/>
      </c>
      <c r="O160" s="25">
        <f>IF(G160="","",IF(OR(G160="Aprovado",G160="Recusado",G160="Sem retorno"),G160,IF(AND(M160&lt;&gt;"",M160&gt;Config!$B$7),"Parado","Ativo")))</f>
        <v/>
      </c>
      <c r="P160" s="39">
        <f>IF(A160="","",DATE(YEAR(A160),MONTH(A160),1))</f>
        <v/>
      </c>
      <c r="Q160" s="40">
        <f>IF(OR(G160="",O160="Aprovado",O160="Recusado",O160="Sem retorno"),0,IF(O160="Parado",2000,1000)+MIN(N(M160),500)+N(F160)/1000000-ROW()/100000)</f>
        <v>0</v>
      </c>
    </row>
    <row r="161">
      <c r="A161" s="37" t="n"/>
      <c r="B161" s="32" t="n"/>
      <c r="C161" s="35" t="n"/>
      <c r="D161" s="35" t="n"/>
      <c r="E161" s="32" t="n"/>
      <c r="F161" s="38" t="n"/>
      <c r="G161" s="35" t="n"/>
      <c r="H161" s="37" t="n"/>
      <c r="I161" s="35" t="n"/>
      <c r="J161" s="32" t="n"/>
      <c r="K161" s="30">
        <f>IF(G161="","",IFERROR(INDEX(Config!$B$10:$B$14,MATCH(G161,Config!$A$10:$A$14,0)),0))</f>
        <v/>
      </c>
      <c r="L161" s="26">
        <f>IF(OR(G161="",F161=""),"",F161*K161)</f>
        <v/>
      </c>
      <c r="M161" s="29">
        <f>IF(OR(G161="",G161="Aprovado",G161="Recusado",G161="Sem retorno",A161=""),"",Config!$B$5-A161)</f>
        <v/>
      </c>
      <c r="N161" s="29">
        <f>IF(AND(OR(G161="Aprovado",G161="Recusado"),H161&lt;&gt;"",A161&lt;&gt;""),H161-A161,"")</f>
        <v/>
      </c>
      <c r="O161" s="25">
        <f>IF(G161="","",IF(OR(G161="Aprovado",G161="Recusado",G161="Sem retorno"),G161,IF(AND(M161&lt;&gt;"",M161&gt;Config!$B$7),"Parado","Ativo")))</f>
        <v/>
      </c>
      <c r="P161" s="39">
        <f>IF(A161="","",DATE(YEAR(A161),MONTH(A161),1))</f>
        <v/>
      </c>
      <c r="Q161" s="40">
        <f>IF(OR(G161="",O161="Aprovado",O161="Recusado",O161="Sem retorno"),0,IF(O161="Parado",2000,1000)+MIN(N(M161),500)+N(F161)/1000000-ROW()/100000)</f>
        <v>0</v>
      </c>
    </row>
    <row r="162">
      <c r="A162" s="37" t="n"/>
      <c r="B162" s="32" t="n"/>
      <c r="C162" s="35" t="n"/>
      <c r="D162" s="35" t="n"/>
      <c r="E162" s="32" t="n"/>
      <c r="F162" s="38" t="n"/>
      <c r="G162" s="35" t="n"/>
      <c r="H162" s="37" t="n"/>
      <c r="I162" s="35" t="n"/>
      <c r="J162" s="32" t="n"/>
      <c r="K162" s="30">
        <f>IF(G162="","",IFERROR(INDEX(Config!$B$10:$B$14,MATCH(G162,Config!$A$10:$A$14,0)),0))</f>
        <v/>
      </c>
      <c r="L162" s="26">
        <f>IF(OR(G162="",F162=""),"",F162*K162)</f>
        <v/>
      </c>
      <c r="M162" s="29">
        <f>IF(OR(G162="",G162="Aprovado",G162="Recusado",G162="Sem retorno",A162=""),"",Config!$B$5-A162)</f>
        <v/>
      </c>
      <c r="N162" s="29">
        <f>IF(AND(OR(G162="Aprovado",G162="Recusado"),H162&lt;&gt;"",A162&lt;&gt;""),H162-A162,"")</f>
        <v/>
      </c>
      <c r="O162" s="25">
        <f>IF(G162="","",IF(OR(G162="Aprovado",G162="Recusado",G162="Sem retorno"),G162,IF(AND(M162&lt;&gt;"",M162&gt;Config!$B$7),"Parado","Ativo")))</f>
        <v/>
      </c>
      <c r="P162" s="39">
        <f>IF(A162="","",DATE(YEAR(A162),MONTH(A162),1))</f>
        <v/>
      </c>
      <c r="Q162" s="40">
        <f>IF(OR(G162="",O162="Aprovado",O162="Recusado",O162="Sem retorno"),0,IF(O162="Parado",2000,1000)+MIN(N(M162),500)+N(F162)/1000000-ROW()/100000)</f>
        <v>0</v>
      </c>
    </row>
    <row r="163">
      <c r="A163" s="37" t="n"/>
      <c r="B163" s="32" t="n"/>
      <c r="C163" s="35" t="n"/>
      <c r="D163" s="35" t="n"/>
      <c r="E163" s="32" t="n"/>
      <c r="F163" s="38" t="n"/>
      <c r="G163" s="35" t="n"/>
      <c r="H163" s="37" t="n"/>
      <c r="I163" s="35" t="n"/>
      <c r="J163" s="32" t="n"/>
      <c r="K163" s="30">
        <f>IF(G163="","",IFERROR(INDEX(Config!$B$10:$B$14,MATCH(G163,Config!$A$10:$A$14,0)),0))</f>
        <v/>
      </c>
      <c r="L163" s="26">
        <f>IF(OR(G163="",F163=""),"",F163*K163)</f>
        <v/>
      </c>
      <c r="M163" s="29">
        <f>IF(OR(G163="",G163="Aprovado",G163="Recusado",G163="Sem retorno",A163=""),"",Config!$B$5-A163)</f>
        <v/>
      </c>
      <c r="N163" s="29">
        <f>IF(AND(OR(G163="Aprovado",G163="Recusado"),H163&lt;&gt;"",A163&lt;&gt;""),H163-A163,"")</f>
        <v/>
      </c>
      <c r="O163" s="25">
        <f>IF(G163="","",IF(OR(G163="Aprovado",G163="Recusado",G163="Sem retorno"),G163,IF(AND(M163&lt;&gt;"",M163&gt;Config!$B$7),"Parado","Ativo")))</f>
        <v/>
      </c>
      <c r="P163" s="39">
        <f>IF(A163="","",DATE(YEAR(A163),MONTH(A163),1))</f>
        <v/>
      </c>
      <c r="Q163" s="40">
        <f>IF(OR(G163="",O163="Aprovado",O163="Recusado",O163="Sem retorno"),0,IF(O163="Parado",2000,1000)+MIN(N(M163),500)+N(F163)/1000000-ROW()/100000)</f>
        <v>0</v>
      </c>
    </row>
    <row r="164">
      <c r="A164" s="37" t="n"/>
      <c r="B164" s="32" t="n"/>
      <c r="C164" s="35" t="n"/>
      <c r="D164" s="35" t="n"/>
      <c r="E164" s="32" t="n"/>
      <c r="F164" s="38" t="n"/>
      <c r="G164" s="35" t="n"/>
      <c r="H164" s="37" t="n"/>
      <c r="I164" s="35" t="n"/>
      <c r="J164" s="32" t="n"/>
      <c r="K164" s="30">
        <f>IF(G164="","",IFERROR(INDEX(Config!$B$10:$B$14,MATCH(G164,Config!$A$10:$A$14,0)),0))</f>
        <v/>
      </c>
      <c r="L164" s="26">
        <f>IF(OR(G164="",F164=""),"",F164*K164)</f>
        <v/>
      </c>
      <c r="M164" s="29">
        <f>IF(OR(G164="",G164="Aprovado",G164="Recusado",G164="Sem retorno",A164=""),"",Config!$B$5-A164)</f>
        <v/>
      </c>
      <c r="N164" s="29">
        <f>IF(AND(OR(G164="Aprovado",G164="Recusado"),H164&lt;&gt;"",A164&lt;&gt;""),H164-A164,"")</f>
        <v/>
      </c>
      <c r="O164" s="25">
        <f>IF(G164="","",IF(OR(G164="Aprovado",G164="Recusado",G164="Sem retorno"),G164,IF(AND(M164&lt;&gt;"",M164&gt;Config!$B$7),"Parado","Ativo")))</f>
        <v/>
      </c>
      <c r="P164" s="39">
        <f>IF(A164="","",DATE(YEAR(A164),MONTH(A164),1))</f>
        <v/>
      </c>
      <c r="Q164" s="40">
        <f>IF(OR(G164="",O164="Aprovado",O164="Recusado",O164="Sem retorno"),0,IF(O164="Parado",2000,1000)+MIN(N(M164),500)+N(F164)/1000000-ROW()/100000)</f>
        <v>0</v>
      </c>
    </row>
    <row r="165">
      <c r="A165" s="37" t="n"/>
      <c r="B165" s="32" t="n"/>
      <c r="C165" s="35" t="n"/>
      <c r="D165" s="35" t="n"/>
      <c r="E165" s="32" t="n"/>
      <c r="F165" s="38" t="n"/>
      <c r="G165" s="35" t="n"/>
      <c r="H165" s="37" t="n"/>
      <c r="I165" s="35" t="n"/>
      <c r="J165" s="32" t="n"/>
      <c r="K165" s="30">
        <f>IF(G165="","",IFERROR(INDEX(Config!$B$10:$B$14,MATCH(G165,Config!$A$10:$A$14,0)),0))</f>
        <v/>
      </c>
      <c r="L165" s="26">
        <f>IF(OR(G165="",F165=""),"",F165*K165)</f>
        <v/>
      </c>
      <c r="M165" s="29">
        <f>IF(OR(G165="",G165="Aprovado",G165="Recusado",G165="Sem retorno",A165=""),"",Config!$B$5-A165)</f>
        <v/>
      </c>
      <c r="N165" s="29">
        <f>IF(AND(OR(G165="Aprovado",G165="Recusado"),H165&lt;&gt;"",A165&lt;&gt;""),H165-A165,"")</f>
        <v/>
      </c>
      <c r="O165" s="25">
        <f>IF(G165="","",IF(OR(G165="Aprovado",G165="Recusado",G165="Sem retorno"),G165,IF(AND(M165&lt;&gt;"",M165&gt;Config!$B$7),"Parado","Ativo")))</f>
        <v/>
      </c>
      <c r="P165" s="39">
        <f>IF(A165="","",DATE(YEAR(A165),MONTH(A165),1))</f>
        <v/>
      </c>
      <c r="Q165" s="40">
        <f>IF(OR(G165="",O165="Aprovado",O165="Recusado",O165="Sem retorno"),0,IF(O165="Parado",2000,1000)+MIN(N(M165),500)+N(F165)/1000000-ROW()/100000)</f>
        <v>0</v>
      </c>
    </row>
    <row r="166">
      <c r="A166" s="37" t="n"/>
      <c r="B166" s="32" t="n"/>
      <c r="C166" s="35" t="n"/>
      <c r="D166" s="35" t="n"/>
      <c r="E166" s="32" t="n"/>
      <c r="F166" s="38" t="n"/>
      <c r="G166" s="35" t="n"/>
      <c r="H166" s="37" t="n"/>
      <c r="I166" s="35" t="n"/>
      <c r="J166" s="32" t="n"/>
      <c r="K166" s="30">
        <f>IF(G166="","",IFERROR(INDEX(Config!$B$10:$B$14,MATCH(G166,Config!$A$10:$A$14,0)),0))</f>
        <v/>
      </c>
      <c r="L166" s="26">
        <f>IF(OR(G166="",F166=""),"",F166*K166)</f>
        <v/>
      </c>
      <c r="M166" s="29">
        <f>IF(OR(G166="",G166="Aprovado",G166="Recusado",G166="Sem retorno",A166=""),"",Config!$B$5-A166)</f>
        <v/>
      </c>
      <c r="N166" s="29">
        <f>IF(AND(OR(G166="Aprovado",G166="Recusado"),H166&lt;&gt;"",A166&lt;&gt;""),H166-A166,"")</f>
        <v/>
      </c>
      <c r="O166" s="25">
        <f>IF(G166="","",IF(OR(G166="Aprovado",G166="Recusado",G166="Sem retorno"),G166,IF(AND(M166&lt;&gt;"",M166&gt;Config!$B$7),"Parado","Ativo")))</f>
        <v/>
      </c>
      <c r="P166" s="39">
        <f>IF(A166="","",DATE(YEAR(A166),MONTH(A166),1))</f>
        <v/>
      </c>
      <c r="Q166" s="40">
        <f>IF(OR(G166="",O166="Aprovado",O166="Recusado",O166="Sem retorno"),0,IF(O166="Parado",2000,1000)+MIN(N(M166),500)+N(F166)/1000000-ROW()/100000)</f>
        <v>0</v>
      </c>
    </row>
    <row r="167">
      <c r="A167" s="37" t="n"/>
      <c r="B167" s="32" t="n"/>
      <c r="C167" s="35" t="n"/>
      <c r="D167" s="35" t="n"/>
      <c r="E167" s="32" t="n"/>
      <c r="F167" s="38" t="n"/>
      <c r="G167" s="35" t="n"/>
      <c r="H167" s="37" t="n"/>
      <c r="I167" s="35" t="n"/>
      <c r="J167" s="32" t="n"/>
      <c r="K167" s="30">
        <f>IF(G167="","",IFERROR(INDEX(Config!$B$10:$B$14,MATCH(G167,Config!$A$10:$A$14,0)),0))</f>
        <v/>
      </c>
      <c r="L167" s="26">
        <f>IF(OR(G167="",F167=""),"",F167*K167)</f>
        <v/>
      </c>
      <c r="M167" s="29">
        <f>IF(OR(G167="",G167="Aprovado",G167="Recusado",G167="Sem retorno",A167=""),"",Config!$B$5-A167)</f>
        <v/>
      </c>
      <c r="N167" s="29">
        <f>IF(AND(OR(G167="Aprovado",G167="Recusado"),H167&lt;&gt;"",A167&lt;&gt;""),H167-A167,"")</f>
        <v/>
      </c>
      <c r="O167" s="25">
        <f>IF(G167="","",IF(OR(G167="Aprovado",G167="Recusado",G167="Sem retorno"),G167,IF(AND(M167&lt;&gt;"",M167&gt;Config!$B$7),"Parado","Ativo")))</f>
        <v/>
      </c>
      <c r="P167" s="39">
        <f>IF(A167="","",DATE(YEAR(A167),MONTH(A167),1))</f>
        <v/>
      </c>
      <c r="Q167" s="40">
        <f>IF(OR(G167="",O167="Aprovado",O167="Recusado",O167="Sem retorno"),0,IF(O167="Parado",2000,1000)+MIN(N(M167),500)+N(F167)/1000000-ROW()/100000)</f>
        <v>0</v>
      </c>
    </row>
    <row r="168">
      <c r="A168" s="37" t="n"/>
      <c r="B168" s="32" t="n"/>
      <c r="C168" s="35" t="n"/>
      <c r="D168" s="35" t="n"/>
      <c r="E168" s="32" t="n"/>
      <c r="F168" s="38" t="n"/>
      <c r="G168" s="35" t="n"/>
      <c r="H168" s="37" t="n"/>
      <c r="I168" s="35" t="n"/>
      <c r="J168" s="32" t="n"/>
      <c r="K168" s="30">
        <f>IF(G168="","",IFERROR(INDEX(Config!$B$10:$B$14,MATCH(G168,Config!$A$10:$A$14,0)),0))</f>
        <v/>
      </c>
      <c r="L168" s="26">
        <f>IF(OR(G168="",F168=""),"",F168*K168)</f>
        <v/>
      </c>
      <c r="M168" s="29">
        <f>IF(OR(G168="",G168="Aprovado",G168="Recusado",G168="Sem retorno",A168=""),"",Config!$B$5-A168)</f>
        <v/>
      </c>
      <c r="N168" s="29">
        <f>IF(AND(OR(G168="Aprovado",G168="Recusado"),H168&lt;&gt;"",A168&lt;&gt;""),H168-A168,"")</f>
        <v/>
      </c>
      <c r="O168" s="25">
        <f>IF(G168="","",IF(OR(G168="Aprovado",G168="Recusado",G168="Sem retorno"),G168,IF(AND(M168&lt;&gt;"",M168&gt;Config!$B$7),"Parado","Ativo")))</f>
        <v/>
      </c>
      <c r="P168" s="39">
        <f>IF(A168="","",DATE(YEAR(A168),MONTH(A168),1))</f>
        <v/>
      </c>
      <c r="Q168" s="40">
        <f>IF(OR(G168="",O168="Aprovado",O168="Recusado",O168="Sem retorno"),0,IF(O168="Parado",2000,1000)+MIN(N(M168),500)+N(F168)/1000000-ROW()/100000)</f>
        <v>0</v>
      </c>
    </row>
    <row r="169">
      <c r="A169" s="37" t="n"/>
      <c r="B169" s="32" t="n"/>
      <c r="C169" s="35" t="n"/>
      <c r="D169" s="35" t="n"/>
      <c r="E169" s="32" t="n"/>
      <c r="F169" s="38" t="n"/>
      <c r="G169" s="35" t="n"/>
      <c r="H169" s="37" t="n"/>
      <c r="I169" s="35" t="n"/>
      <c r="J169" s="32" t="n"/>
      <c r="K169" s="30">
        <f>IF(G169="","",IFERROR(INDEX(Config!$B$10:$B$14,MATCH(G169,Config!$A$10:$A$14,0)),0))</f>
        <v/>
      </c>
      <c r="L169" s="26">
        <f>IF(OR(G169="",F169=""),"",F169*K169)</f>
        <v/>
      </c>
      <c r="M169" s="29">
        <f>IF(OR(G169="",G169="Aprovado",G169="Recusado",G169="Sem retorno",A169=""),"",Config!$B$5-A169)</f>
        <v/>
      </c>
      <c r="N169" s="29">
        <f>IF(AND(OR(G169="Aprovado",G169="Recusado"),H169&lt;&gt;"",A169&lt;&gt;""),H169-A169,"")</f>
        <v/>
      </c>
      <c r="O169" s="25">
        <f>IF(G169="","",IF(OR(G169="Aprovado",G169="Recusado",G169="Sem retorno"),G169,IF(AND(M169&lt;&gt;"",M169&gt;Config!$B$7),"Parado","Ativo")))</f>
        <v/>
      </c>
      <c r="P169" s="39">
        <f>IF(A169="","",DATE(YEAR(A169),MONTH(A169),1))</f>
        <v/>
      </c>
      <c r="Q169" s="40">
        <f>IF(OR(G169="",O169="Aprovado",O169="Recusado",O169="Sem retorno"),0,IF(O169="Parado",2000,1000)+MIN(N(M169),500)+N(F169)/1000000-ROW()/100000)</f>
        <v>0</v>
      </c>
    </row>
    <row r="170">
      <c r="A170" s="37" t="n"/>
      <c r="B170" s="32" t="n"/>
      <c r="C170" s="35" t="n"/>
      <c r="D170" s="35" t="n"/>
      <c r="E170" s="32" t="n"/>
      <c r="F170" s="38" t="n"/>
      <c r="G170" s="35" t="n"/>
      <c r="H170" s="37" t="n"/>
      <c r="I170" s="35" t="n"/>
      <c r="J170" s="32" t="n"/>
      <c r="K170" s="30">
        <f>IF(G170="","",IFERROR(INDEX(Config!$B$10:$B$14,MATCH(G170,Config!$A$10:$A$14,0)),0))</f>
        <v/>
      </c>
      <c r="L170" s="26">
        <f>IF(OR(G170="",F170=""),"",F170*K170)</f>
        <v/>
      </c>
      <c r="M170" s="29">
        <f>IF(OR(G170="",G170="Aprovado",G170="Recusado",G170="Sem retorno",A170=""),"",Config!$B$5-A170)</f>
        <v/>
      </c>
      <c r="N170" s="29">
        <f>IF(AND(OR(G170="Aprovado",G170="Recusado"),H170&lt;&gt;"",A170&lt;&gt;""),H170-A170,"")</f>
        <v/>
      </c>
      <c r="O170" s="25">
        <f>IF(G170="","",IF(OR(G170="Aprovado",G170="Recusado",G170="Sem retorno"),G170,IF(AND(M170&lt;&gt;"",M170&gt;Config!$B$7),"Parado","Ativo")))</f>
        <v/>
      </c>
      <c r="P170" s="39">
        <f>IF(A170="","",DATE(YEAR(A170),MONTH(A170),1))</f>
        <v/>
      </c>
      <c r="Q170" s="40">
        <f>IF(OR(G170="",O170="Aprovado",O170="Recusado",O170="Sem retorno"),0,IF(O170="Parado",2000,1000)+MIN(N(M170),500)+N(F170)/1000000-ROW()/100000)</f>
        <v>0</v>
      </c>
    </row>
    <row r="171">
      <c r="A171" s="37" t="n"/>
      <c r="B171" s="32" t="n"/>
      <c r="C171" s="35" t="n"/>
      <c r="D171" s="35" t="n"/>
      <c r="E171" s="32" t="n"/>
      <c r="F171" s="38" t="n"/>
      <c r="G171" s="35" t="n"/>
      <c r="H171" s="37" t="n"/>
      <c r="I171" s="35" t="n"/>
      <c r="J171" s="32" t="n"/>
      <c r="K171" s="30">
        <f>IF(G171="","",IFERROR(INDEX(Config!$B$10:$B$14,MATCH(G171,Config!$A$10:$A$14,0)),0))</f>
        <v/>
      </c>
      <c r="L171" s="26">
        <f>IF(OR(G171="",F171=""),"",F171*K171)</f>
        <v/>
      </c>
      <c r="M171" s="29">
        <f>IF(OR(G171="",G171="Aprovado",G171="Recusado",G171="Sem retorno",A171=""),"",Config!$B$5-A171)</f>
        <v/>
      </c>
      <c r="N171" s="29">
        <f>IF(AND(OR(G171="Aprovado",G171="Recusado"),H171&lt;&gt;"",A171&lt;&gt;""),H171-A171,"")</f>
        <v/>
      </c>
      <c r="O171" s="25">
        <f>IF(G171="","",IF(OR(G171="Aprovado",G171="Recusado",G171="Sem retorno"),G171,IF(AND(M171&lt;&gt;"",M171&gt;Config!$B$7),"Parado","Ativo")))</f>
        <v/>
      </c>
      <c r="P171" s="39">
        <f>IF(A171="","",DATE(YEAR(A171),MONTH(A171),1))</f>
        <v/>
      </c>
      <c r="Q171" s="40">
        <f>IF(OR(G171="",O171="Aprovado",O171="Recusado",O171="Sem retorno"),0,IF(O171="Parado",2000,1000)+MIN(N(M171),500)+N(F171)/1000000-ROW()/100000)</f>
        <v>0</v>
      </c>
    </row>
    <row r="172">
      <c r="A172" s="37" t="n"/>
      <c r="B172" s="32" t="n"/>
      <c r="C172" s="35" t="n"/>
      <c r="D172" s="35" t="n"/>
      <c r="E172" s="32" t="n"/>
      <c r="F172" s="38" t="n"/>
      <c r="G172" s="35" t="n"/>
      <c r="H172" s="37" t="n"/>
      <c r="I172" s="35" t="n"/>
      <c r="J172" s="32" t="n"/>
      <c r="K172" s="30">
        <f>IF(G172="","",IFERROR(INDEX(Config!$B$10:$B$14,MATCH(G172,Config!$A$10:$A$14,0)),0))</f>
        <v/>
      </c>
      <c r="L172" s="26">
        <f>IF(OR(G172="",F172=""),"",F172*K172)</f>
        <v/>
      </c>
      <c r="M172" s="29">
        <f>IF(OR(G172="",G172="Aprovado",G172="Recusado",G172="Sem retorno",A172=""),"",Config!$B$5-A172)</f>
        <v/>
      </c>
      <c r="N172" s="29">
        <f>IF(AND(OR(G172="Aprovado",G172="Recusado"),H172&lt;&gt;"",A172&lt;&gt;""),H172-A172,"")</f>
        <v/>
      </c>
      <c r="O172" s="25">
        <f>IF(G172="","",IF(OR(G172="Aprovado",G172="Recusado",G172="Sem retorno"),G172,IF(AND(M172&lt;&gt;"",M172&gt;Config!$B$7),"Parado","Ativo")))</f>
        <v/>
      </c>
      <c r="P172" s="39">
        <f>IF(A172="","",DATE(YEAR(A172),MONTH(A172),1))</f>
        <v/>
      </c>
      <c r="Q172" s="40">
        <f>IF(OR(G172="",O172="Aprovado",O172="Recusado",O172="Sem retorno"),0,IF(O172="Parado",2000,1000)+MIN(N(M172),500)+N(F172)/1000000-ROW()/100000)</f>
        <v>0</v>
      </c>
    </row>
    <row r="173">
      <c r="A173" s="37" t="n"/>
      <c r="B173" s="32" t="n"/>
      <c r="C173" s="35" t="n"/>
      <c r="D173" s="35" t="n"/>
      <c r="E173" s="32" t="n"/>
      <c r="F173" s="38" t="n"/>
      <c r="G173" s="35" t="n"/>
      <c r="H173" s="37" t="n"/>
      <c r="I173" s="35" t="n"/>
      <c r="J173" s="32" t="n"/>
      <c r="K173" s="30">
        <f>IF(G173="","",IFERROR(INDEX(Config!$B$10:$B$14,MATCH(G173,Config!$A$10:$A$14,0)),0))</f>
        <v/>
      </c>
      <c r="L173" s="26">
        <f>IF(OR(G173="",F173=""),"",F173*K173)</f>
        <v/>
      </c>
      <c r="M173" s="29">
        <f>IF(OR(G173="",G173="Aprovado",G173="Recusado",G173="Sem retorno",A173=""),"",Config!$B$5-A173)</f>
        <v/>
      </c>
      <c r="N173" s="29">
        <f>IF(AND(OR(G173="Aprovado",G173="Recusado"),H173&lt;&gt;"",A173&lt;&gt;""),H173-A173,"")</f>
        <v/>
      </c>
      <c r="O173" s="25">
        <f>IF(G173="","",IF(OR(G173="Aprovado",G173="Recusado",G173="Sem retorno"),G173,IF(AND(M173&lt;&gt;"",M173&gt;Config!$B$7),"Parado","Ativo")))</f>
        <v/>
      </c>
      <c r="P173" s="39">
        <f>IF(A173="","",DATE(YEAR(A173),MONTH(A173),1))</f>
        <v/>
      </c>
      <c r="Q173" s="40">
        <f>IF(OR(G173="",O173="Aprovado",O173="Recusado",O173="Sem retorno"),0,IF(O173="Parado",2000,1000)+MIN(N(M173),500)+N(F173)/1000000-ROW()/100000)</f>
        <v>0</v>
      </c>
    </row>
    <row r="174">
      <c r="A174" s="37" t="n"/>
      <c r="B174" s="32" t="n"/>
      <c r="C174" s="35" t="n"/>
      <c r="D174" s="35" t="n"/>
      <c r="E174" s="32" t="n"/>
      <c r="F174" s="38" t="n"/>
      <c r="G174" s="35" t="n"/>
      <c r="H174" s="37" t="n"/>
      <c r="I174" s="35" t="n"/>
      <c r="J174" s="32" t="n"/>
      <c r="K174" s="30">
        <f>IF(G174="","",IFERROR(INDEX(Config!$B$10:$B$14,MATCH(G174,Config!$A$10:$A$14,0)),0))</f>
        <v/>
      </c>
      <c r="L174" s="26">
        <f>IF(OR(G174="",F174=""),"",F174*K174)</f>
        <v/>
      </c>
      <c r="M174" s="29">
        <f>IF(OR(G174="",G174="Aprovado",G174="Recusado",G174="Sem retorno",A174=""),"",Config!$B$5-A174)</f>
        <v/>
      </c>
      <c r="N174" s="29">
        <f>IF(AND(OR(G174="Aprovado",G174="Recusado"),H174&lt;&gt;"",A174&lt;&gt;""),H174-A174,"")</f>
        <v/>
      </c>
      <c r="O174" s="25">
        <f>IF(G174="","",IF(OR(G174="Aprovado",G174="Recusado",G174="Sem retorno"),G174,IF(AND(M174&lt;&gt;"",M174&gt;Config!$B$7),"Parado","Ativo")))</f>
        <v/>
      </c>
      <c r="P174" s="39">
        <f>IF(A174="","",DATE(YEAR(A174),MONTH(A174),1))</f>
        <v/>
      </c>
      <c r="Q174" s="40">
        <f>IF(OR(G174="",O174="Aprovado",O174="Recusado",O174="Sem retorno"),0,IF(O174="Parado",2000,1000)+MIN(N(M174),500)+N(F174)/1000000-ROW()/100000)</f>
        <v>0</v>
      </c>
    </row>
    <row r="175">
      <c r="A175" s="37" t="n"/>
      <c r="B175" s="32" t="n"/>
      <c r="C175" s="35" t="n"/>
      <c r="D175" s="35" t="n"/>
      <c r="E175" s="32" t="n"/>
      <c r="F175" s="38" t="n"/>
      <c r="G175" s="35" t="n"/>
      <c r="H175" s="37" t="n"/>
      <c r="I175" s="35" t="n"/>
      <c r="J175" s="32" t="n"/>
      <c r="K175" s="30">
        <f>IF(G175="","",IFERROR(INDEX(Config!$B$10:$B$14,MATCH(G175,Config!$A$10:$A$14,0)),0))</f>
        <v/>
      </c>
      <c r="L175" s="26">
        <f>IF(OR(G175="",F175=""),"",F175*K175)</f>
        <v/>
      </c>
      <c r="M175" s="29">
        <f>IF(OR(G175="",G175="Aprovado",G175="Recusado",G175="Sem retorno",A175=""),"",Config!$B$5-A175)</f>
        <v/>
      </c>
      <c r="N175" s="29">
        <f>IF(AND(OR(G175="Aprovado",G175="Recusado"),H175&lt;&gt;"",A175&lt;&gt;""),H175-A175,"")</f>
        <v/>
      </c>
      <c r="O175" s="25">
        <f>IF(G175="","",IF(OR(G175="Aprovado",G175="Recusado",G175="Sem retorno"),G175,IF(AND(M175&lt;&gt;"",M175&gt;Config!$B$7),"Parado","Ativo")))</f>
        <v/>
      </c>
      <c r="P175" s="39">
        <f>IF(A175="","",DATE(YEAR(A175),MONTH(A175),1))</f>
        <v/>
      </c>
      <c r="Q175" s="40">
        <f>IF(OR(G175="",O175="Aprovado",O175="Recusado",O175="Sem retorno"),0,IF(O175="Parado",2000,1000)+MIN(N(M175),500)+N(F175)/1000000-ROW()/100000)</f>
        <v>0</v>
      </c>
    </row>
    <row r="176">
      <c r="A176" s="37" t="n"/>
      <c r="B176" s="32" t="n"/>
      <c r="C176" s="35" t="n"/>
      <c r="D176" s="35" t="n"/>
      <c r="E176" s="32" t="n"/>
      <c r="F176" s="38" t="n"/>
      <c r="G176" s="35" t="n"/>
      <c r="H176" s="37" t="n"/>
      <c r="I176" s="35" t="n"/>
      <c r="J176" s="32" t="n"/>
      <c r="K176" s="30">
        <f>IF(G176="","",IFERROR(INDEX(Config!$B$10:$B$14,MATCH(G176,Config!$A$10:$A$14,0)),0))</f>
        <v/>
      </c>
      <c r="L176" s="26">
        <f>IF(OR(G176="",F176=""),"",F176*K176)</f>
        <v/>
      </c>
      <c r="M176" s="29">
        <f>IF(OR(G176="",G176="Aprovado",G176="Recusado",G176="Sem retorno",A176=""),"",Config!$B$5-A176)</f>
        <v/>
      </c>
      <c r="N176" s="29">
        <f>IF(AND(OR(G176="Aprovado",G176="Recusado"),H176&lt;&gt;"",A176&lt;&gt;""),H176-A176,"")</f>
        <v/>
      </c>
      <c r="O176" s="25">
        <f>IF(G176="","",IF(OR(G176="Aprovado",G176="Recusado",G176="Sem retorno"),G176,IF(AND(M176&lt;&gt;"",M176&gt;Config!$B$7),"Parado","Ativo")))</f>
        <v/>
      </c>
      <c r="P176" s="39">
        <f>IF(A176="","",DATE(YEAR(A176),MONTH(A176),1))</f>
        <v/>
      </c>
      <c r="Q176" s="40">
        <f>IF(OR(G176="",O176="Aprovado",O176="Recusado",O176="Sem retorno"),0,IF(O176="Parado",2000,1000)+MIN(N(M176),500)+N(F176)/1000000-ROW()/100000)</f>
        <v>0</v>
      </c>
    </row>
    <row r="177">
      <c r="A177" s="37" t="n"/>
      <c r="B177" s="32" t="n"/>
      <c r="C177" s="35" t="n"/>
      <c r="D177" s="35" t="n"/>
      <c r="E177" s="32" t="n"/>
      <c r="F177" s="38" t="n"/>
      <c r="G177" s="35" t="n"/>
      <c r="H177" s="37" t="n"/>
      <c r="I177" s="35" t="n"/>
      <c r="J177" s="32" t="n"/>
      <c r="K177" s="30">
        <f>IF(G177="","",IFERROR(INDEX(Config!$B$10:$B$14,MATCH(G177,Config!$A$10:$A$14,0)),0))</f>
        <v/>
      </c>
      <c r="L177" s="26">
        <f>IF(OR(G177="",F177=""),"",F177*K177)</f>
        <v/>
      </c>
      <c r="M177" s="29">
        <f>IF(OR(G177="",G177="Aprovado",G177="Recusado",G177="Sem retorno",A177=""),"",Config!$B$5-A177)</f>
        <v/>
      </c>
      <c r="N177" s="29">
        <f>IF(AND(OR(G177="Aprovado",G177="Recusado"),H177&lt;&gt;"",A177&lt;&gt;""),H177-A177,"")</f>
        <v/>
      </c>
      <c r="O177" s="25">
        <f>IF(G177="","",IF(OR(G177="Aprovado",G177="Recusado",G177="Sem retorno"),G177,IF(AND(M177&lt;&gt;"",M177&gt;Config!$B$7),"Parado","Ativo")))</f>
        <v/>
      </c>
      <c r="P177" s="39">
        <f>IF(A177="","",DATE(YEAR(A177),MONTH(A177),1))</f>
        <v/>
      </c>
      <c r="Q177" s="40">
        <f>IF(OR(G177="",O177="Aprovado",O177="Recusado",O177="Sem retorno"),0,IF(O177="Parado",2000,1000)+MIN(N(M177),500)+N(F177)/1000000-ROW()/100000)</f>
        <v>0</v>
      </c>
    </row>
    <row r="178">
      <c r="A178" s="37" t="n"/>
      <c r="B178" s="32" t="n"/>
      <c r="C178" s="35" t="n"/>
      <c r="D178" s="35" t="n"/>
      <c r="E178" s="32" t="n"/>
      <c r="F178" s="38" t="n"/>
      <c r="G178" s="35" t="n"/>
      <c r="H178" s="37" t="n"/>
      <c r="I178" s="35" t="n"/>
      <c r="J178" s="32" t="n"/>
      <c r="K178" s="30">
        <f>IF(G178="","",IFERROR(INDEX(Config!$B$10:$B$14,MATCH(G178,Config!$A$10:$A$14,0)),0))</f>
        <v/>
      </c>
      <c r="L178" s="26">
        <f>IF(OR(G178="",F178=""),"",F178*K178)</f>
        <v/>
      </c>
      <c r="M178" s="29">
        <f>IF(OR(G178="",G178="Aprovado",G178="Recusado",G178="Sem retorno",A178=""),"",Config!$B$5-A178)</f>
        <v/>
      </c>
      <c r="N178" s="29">
        <f>IF(AND(OR(G178="Aprovado",G178="Recusado"),H178&lt;&gt;"",A178&lt;&gt;""),H178-A178,"")</f>
        <v/>
      </c>
      <c r="O178" s="25">
        <f>IF(G178="","",IF(OR(G178="Aprovado",G178="Recusado",G178="Sem retorno"),G178,IF(AND(M178&lt;&gt;"",M178&gt;Config!$B$7),"Parado","Ativo")))</f>
        <v/>
      </c>
      <c r="P178" s="39">
        <f>IF(A178="","",DATE(YEAR(A178),MONTH(A178),1))</f>
        <v/>
      </c>
      <c r="Q178" s="40">
        <f>IF(OR(G178="",O178="Aprovado",O178="Recusado",O178="Sem retorno"),0,IF(O178="Parado",2000,1000)+MIN(N(M178),500)+N(F178)/1000000-ROW()/100000)</f>
        <v>0</v>
      </c>
    </row>
    <row r="179">
      <c r="A179" s="37" t="n"/>
      <c r="B179" s="32" t="n"/>
      <c r="C179" s="35" t="n"/>
      <c r="D179" s="35" t="n"/>
      <c r="E179" s="32" t="n"/>
      <c r="F179" s="38" t="n"/>
      <c r="G179" s="35" t="n"/>
      <c r="H179" s="37" t="n"/>
      <c r="I179" s="35" t="n"/>
      <c r="J179" s="32" t="n"/>
      <c r="K179" s="30">
        <f>IF(G179="","",IFERROR(INDEX(Config!$B$10:$B$14,MATCH(G179,Config!$A$10:$A$14,0)),0))</f>
        <v/>
      </c>
      <c r="L179" s="26">
        <f>IF(OR(G179="",F179=""),"",F179*K179)</f>
        <v/>
      </c>
      <c r="M179" s="29">
        <f>IF(OR(G179="",G179="Aprovado",G179="Recusado",G179="Sem retorno",A179=""),"",Config!$B$5-A179)</f>
        <v/>
      </c>
      <c r="N179" s="29">
        <f>IF(AND(OR(G179="Aprovado",G179="Recusado"),H179&lt;&gt;"",A179&lt;&gt;""),H179-A179,"")</f>
        <v/>
      </c>
      <c r="O179" s="25">
        <f>IF(G179="","",IF(OR(G179="Aprovado",G179="Recusado",G179="Sem retorno"),G179,IF(AND(M179&lt;&gt;"",M179&gt;Config!$B$7),"Parado","Ativo")))</f>
        <v/>
      </c>
      <c r="P179" s="39">
        <f>IF(A179="","",DATE(YEAR(A179),MONTH(A179),1))</f>
        <v/>
      </c>
      <c r="Q179" s="40">
        <f>IF(OR(G179="",O179="Aprovado",O179="Recusado",O179="Sem retorno"),0,IF(O179="Parado",2000,1000)+MIN(N(M179),500)+N(F179)/1000000-ROW()/100000)</f>
        <v>0</v>
      </c>
    </row>
    <row r="180">
      <c r="A180" s="37" t="n"/>
      <c r="B180" s="32" t="n"/>
      <c r="C180" s="35" t="n"/>
      <c r="D180" s="35" t="n"/>
      <c r="E180" s="32" t="n"/>
      <c r="F180" s="38" t="n"/>
      <c r="G180" s="35" t="n"/>
      <c r="H180" s="37" t="n"/>
      <c r="I180" s="35" t="n"/>
      <c r="J180" s="32" t="n"/>
      <c r="K180" s="30">
        <f>IF(G180="","",IFERROR(INDEX(Config!$B$10:$B$14,MATCH(G180,Config!$A$10:$A$14,0)),0))</f>
        <v/>
      </c>
      <c r="L180" s="26">
        <f>IF(OR(G180="",F180=""),"",F180*K180)</f>
        <v/>
      </c>
      <c r="M180" s="29">
        <f>IF(OR(G180="",G180="Aprovado",G180="Recusado",G180="Sem retorno",A180=""),"",Config!$B$5-A180)</f>
        <v/>
      </c>
      <c r="N180" s="29">
        <f>IF(AND(OR(G180="Aprovado",G180="Recusado"),H180&lt;&gt;"",A180&lt;&gt;""),H180-A180,"")</f>
        <v/>
      </c>
      <c r="O180" s="25">
        <f>IF(G180="","",IF(OR(G180="Aprovado",G180="Recusado",G180="Sem retorno"),G180,IF(AND(M180&lt;&gt;"",M180&gt;Config!$B$7),"Parado","Ativo")))</f>
        <v/>
      </c>
      <c r="P180" s="39">
        <f>IF(A180="","",DATE(YEAR(A180),MONTH(A180),1))</f>
        <v/>
      </c>
      <c r="Q180" s="40">
        <f>IF(OR(G180="",O180="Aprovado",O180="Recusado",O180="Sem retorno"),0,IF(O180="Parado",2000,1000)+MIN(N(M180),500)+N(F180)/1000000-ROW()/100000)</f>
        <v>0</v>
      </c>
    </row>
    <row r="181">
      <c r="A181" s="37" t="n"/>
      <c r="B181" s="32" t="n"/>
      <c r="C181" s="35" t="n"/>
      <c r="D181" s="35" t="n"/>
      <c r="E181" s="32" t="n"/>
      <c r="F181" s="38" t="n"/>
      <c r="G181" s="35" t="n"/>
      <c r="H181" s="37" t="n"/>
      <c r="I181" s="35" t="n"/>
      <c r="J181" s="32" t="n"/>
      <c r="K181" s="30">
        <f>IF(G181="","",IFERROR(INDEX(Config!$B$10:$B$14,MATCH(G181,Config!$A$10:$A$14,0)),0))</f>
        <v/>
      </c>
      <c r="L181" s="26">
        <f>IF(OR(G181="",F181=""),"",F181*K181)</f>
        <v/>
      </c>
      <c r="M181" s="29">
        <f>IF(OR(G181="",G181="Aprovado",G181="Recusado",G181="Sem retorno",A181=""),"",Config!$B$5-A181)</f>
        <v/>
      </c>
      <c r="N181" s="29">
        <f>IF(AND(OR(G181="Aprovado",G181="Recusado"),H181&lt;&gt;"",A181&lt;&gt;""),H181-A181,"")</f>
        <v/>
      </c>
      <c r="O181" s="25">
        <f>IF(G181="","",IF(OR(G181="Aprovado",G181="Recusado",G181="Sem retorno"),G181,IF(AND(M181&lt;&gt;"",M181&gt;Config!$B$7),"Parado","Ativo")))</f>
        <v/>
      </c>
      <c r="P181" s="39">
        <f>IF(A181="","",DATE(YEAR(A181),MONTH(A181),1))</f>
        <v/>
      </c>
      <c r="Q181" s="40">
        <f>IF(OR(G181="",O181="Aprovado",O181="Recusado",O181="Sem retorno"),0,IF(O181="Parado",2000,1000)+MIN(N(M181),500)+N(F181)/1000000-ROW()/100000)</f>
        <v>0</v>
      </c>
    </row>
    <row r="182">
      <c r="A182" s="37" t="n"/>
      <c r="B182" s="32" t="n"/>
      <c r="C182" s="35" t="n"/>
      <c r="D182" s="35" t="n"/>
      <c r="E182" s="32" t="n"/>
      <c r="F182" s="38" t="n"/>
      <c r="G182" s="35" t="n"/>
      <c r="H182" s="37" t="n"/>
      <c r="I182" s="35" t="n"/>
      <c r="J182" s="32" t="n"/>
      <c r="K182" s="30">
        <f>IF(G182="","",IFERROR(INDEX(Config!$B$10:$B$14,MATCH(G182,Config!$A$10:$A$14,0)),0))</f>
        <v/>
      </c>
      <c r="L182" s="26">
        <f>IF(OR(G182="",F182=""),"",F182*K182)</f>
        <v/>
      </c>
      <c r="M182" s="29">
        <f>IF(OR(G182="",G182="Aprovado",G182="Recusado",G182="Sem retorno",A182=""),"",Config!$B$5-A182)</f>
        <v/>
      </c>
      <c r="N182" s="29">
        <f>IF(AND(OR(G182="Aprovado",G182="Recusado"),H182&lt;&gt;"",A182&lt;&gt;""),H182-A182,"")</f>
        <v/>
      </c>
      <c r="O182" s="25">
        <f>IF(G182="","",IF(OR(G182="Aprovado",G182="Recusado",G182="Sem retorno"),G182,IF(AND(M182&lt;&gt;"",M182&gt;Config!$B$7),"Parado","Ativo")))</f>
        <v/>
      </c>
      <c r="P182" s="39">
        <f>IF(A182="","",DATE(YEAR(A182),MONTH(A182),1))</f>
        <v/>
      </c>
      <c r="Q182" s="40">
        <f>IF(OR(G182="",O182="Aprovado",O182="Recusado",O182="Sem retorno"),0,IF(O182="Parado",2000,1000)+MIN(N(M182),500)+N(F182)/1000000-ROW()/100000)</f>
        <v>0</v>
      </c>
    </row>
    <row r="183">
      <c r="A183" s="37" t="n"/>
      <c r="B183" s="32" t="n"/>
      <c r="C183" s="35" t="n"/>
      <c r="D183" s="35" t="n"/>
      <c r="E183" s="32" t="n"/>
      <c r="F183" s="38" t="n"/>
      <c r="G183" s="35" t="n"/>
      <c r="H183" s="37" t="n"/>
      <c r="I183" s="35" t="n"/>
      <c r="J183" s="32" t="n"/>
      <c r="K183" s="30">
        <f>IF(G183="","",IFERROR(INDEX(Config!$B$10:$B$14,MATCH(G183,Config!$A$10:$A$14,0)),0))</f>
        <v/>
      </c>
      <c r="L183" s="26">
        <f>IF(OR(G183="",F183=""),"",F183*K183)</f>
        <v/>
      </c>
      <c r="M183" s="29">
        <f>IF(OR(G183="",G183="Aprovado",G183="Recusado",G183="Sem retorno",A183=""),"",Config!$B$5-A183)</f>
        <v/>
      </c>
      <c r="N183" s="29">
        <f>IF(AND(OR(G183="Aprovado",G183="Recusado"),H183&lt;&gt;"",A183&lt;&gt;""),H183-A183,"")</f>
        <v/>
      </c>
      <c r="O183" s="25">
        <f>IF(G183="","",IF(OR(G183="Aprovado",G183="Recusado",G183="Sem retorno"),G183,IF(AND(M183&lt;&gt;"",M183&gt;Config!$B$7),"Parado","Ativo")))</f>
        <v/>
      </c>
      <c r="P183" s="39">
        <f>IF(A183="","",DATE(YEAR(A183),MONTH(A183),1))</f>
        <v/>
      </c>
      <c r="Q183" s="40">
        <f>IF(OR(G183="",O183="Aprovado",O183="Recusado",O183="Sem retorno"),0,IF(O183="Parado",2000,1000)+MIN(N(M183),500)+N(F183)/1000000-ROW()/100000)</f>
        <v>0</v>
      </c>
    </row>
    <row r="184">
      <c r="A184" s="37" t="n"/>
      <c r="B184" s="32" t="n"/>
      <c r="C184" s="35" t="n"/>
      <c r="D184" s="35" t="n"/>
      <c r="E184" s="32" t="n"/>
      <c r="F184" s="38" t="n"/>
      <c r="G184" s="35" t="n"/>
      <c r="H184" s="37" t="n"/>
      <c r="I184" s="35" t="n"/>
      <c r="J184" s="32" t="n"/>
      <c r="K184" s="30">
        <f>IF(G184="","",IFERROR(INDEX(Config!$B$10:$B$14,MATCH(G184,Config!$A$10:$A$14,0)),0))</f>
        <v/>
      </c>
      <c r="L184" s="26">
        <f>IF(OR(G184="",F184=""),"",F184*K184)</f>
        <v/>
      </c>
      <c r="M184" s="29">
        <f>IF(OR(G184="",G184="Aprovado",G184="Recusado",G184="Sem retorno",A184=""),"",Config!$B$5-A184)</f>
        <v/>
      </c>
      <c r="N184" s="29">
        <f>IF(AND(OR(G184="Aprovado",G184="Recusado"),H184&lt;&gt;"",A184&lt;&gt;""),H184-A184,"")</f>
        <v/>
      </c>
      <c r="O184" s="25">
        <f>IF(G184="","",IF(OR(G184="Aprovado",G184="Recusado",G184="Sem retorno"),G184,IF(AND(M184&lt;&gt;"",M184&gt;Config!$B$7),"Parado","Ativo")))</f>
        <v/>
      </c>
      <c r="P184" s="39">
        <f>IF(A184="","",DATE(YEAR(A184),MONTH(A184),1))</f>
        <v/>
      </c>
      <c r="Q184" s="40">
        <f>IF(OR(G184="",O184="Aprovado",O184="Recusado",O184="Sem retorno"),0,IF(O184="Parado",2000,1000)+MIN(N(M184),500)+N(F184)/1000000-ROW()/100000)</f>
        <v>0</v>
      </c>
    </row>
    <row r="185">
      <c r="A185" s="37" t="n"/>
      <c r="B185" s="32" t="n"/>
      <c r="C185" s="35" t="n"/>
      <c r="D185" s="35" t="n"/>
      <c r="E185" s="32" t="n"/>
      <c r="F185" s="38" t="n"/>
      <c r="G185" s="35" t="n"/>
      <c r="H185" s="37" t="n"/>
      <c r="I185" s="35" t="n"/>
      <c r="J185" s="32" t="n"/>
      <c r="K185" s="30">
        <f>IF(G185="","",IFERROR(INDEX(Config!$B$10:$B$14,MATCH(G185,Config!$A$10:$A$14,0)),0))</f>
        <v/>
      </c>
      <c r="L185" s="26">
        <f>IF(OR(G185="",F185=""),"",F185*K185)</f>
        <v/>
      </c>
      <c r="M185" s="29">
        <f>IF(OR(G185="",G185="Aprovado",G185="Recusado",G185="Sem retorno",A185=""),"",Config!$B$5-A185)</f>
        <v/>
      </c>
      <c r="N185" s="29">
        <f>IF(AND(OR(G185="Aprovado",G185="Recusado"),H185&lt;&gt;"",A185&lt;&gt;""),H185-A185,"")</f>
        <v/>
      </c>
      <c r="O185" s="25">
        <f>IF(G185="","",IF(OR(G185="Aprovado",G185="Recusado",G185="Sem retorno"),G185,IF(AND(M185&lt;&gt;"",M185&gt;Config!$B$7),"Parado","Ativo")))</f>
        <v/>
      </c>
      <c r="P185" s="39">
        <f>IF(A185="","",DATE(YEAR(A185),MONTH(A185),1))</f>
        <v/>
      </c>
      <c r="Q185" s="40">
        <f>IF(OR(G185="",O185="Aprovado",O185="Recusado",O185="Sem retorno"),0,IF(O185="Parado",2000,1000)+MIN(N(M185),500)+N(F185)/1000000-ROW()/100000)</f>
        <v>0</v>
      </c>
    </row>
    <row r="186">
      <c r="A186" s="37" t="n"/>
      <c r="B186" s="32" t="n"/>
      <c r="C186" s="35" t="n"/>
      <c r="D186" s="35" t="n"/>
      <c r="E186" s="32" t="n"/>
      <c r="F186" s="38" t="n"/>
      <c r="G186" s="35" t="n"/>
      <c r="H186" s="37" t="n"/>
      <c r="I186" s="35" t="n"/>
      <c r="J186" s="32" t="n"/>
      <c r="K186" s="30">
        <f>IF(G186="","",IFERROR(INDEX(Config!$B$10:$B$14,MATCH(G186,Config!$A$10:$A$14,0)),0))</f>
        <v/>
      </c>
      <c r="L186" s="26">
        <f>IF(OR(G186="",F186=""),"",F186*K186)</f>
        <v/>
      </c>
      <c r="M186" s="29">
        <f>IF(OR(G186="",G186="Aprovado",G186="Recusado",G186="Sem retorno",A186=""),"",Config!$B$5-A186)</f>
        <v/>
      </c>
      <c r="N186" s="29">
        <f>IF(AND(OR(G186="Aprovado",G186="Recusado"),H186&lt;&gt;"",A186&lt;&gt;""),H186-A186,"")</f>
        <v/>
      </c>
      <c r="O186" s="25">
        <f>IF(G186="","",IF(OR(G186="Aprovado",G186="Recusado",G186="Sem retorno"),G186,IF(AND(M186&lt;&gt;"",M186&gt;Config!$B$7),"Parado","Ativo")))</f>
        <v/>
      </c>
      <c r="P186" s="39">
        <f>IF(A186="","",DATE(YEAR(A186),MONTH(A186),1))</f>
        <v/>
      </c>
      <c r="Q186" s="40">
        <f>IF(OR(G186="",O186="Aprovado",O186="Recusado",O186="Sem retorno"),0,IF(O186="Parado",2000,1000)+MIN(N(M186),500)+N(F186)/1000000-ROW()/100000)</f>
        <v>0</v>
      </c>
    </row>
    <row r="187">
      <c r="A187" s="37" t="n"/>
      <c r="B187" s="32" t="n"/>
      <c r="C187" s="35" t="n"/>
      <c r="D187" s="35" t="n"/>
      <c r="E187" s="32" t="n"/>
      <c r="F187" s="38" t="n"/>
      <c r="G187" s="35" t="n"/>
      <c r="H187" s="37" t="n"/>
      <c r="I187" s="35" t="n"/>
      <c r="J187" s="32" t="n"/>
      <c r="K187" s="30">
        <f>IF(G187="","",IFERROR(INDEX(Config!$B$10:$B$14,MATCH(G187,Config!$A$10:$A$14,0)),0))</f>
        <v/>
      </c>
      <c r="L187" s="26">
        <f>IF(OR(G187="",F187=""),"",F187*K187)</f>
        <v/>
      </c>
      <c r="M187" s="29">
        <f>IF(OR(G187="",G187="Aprovado",G187="Recusado",G187="Sem retorno",A187=""),"",Config!$B$5-A187)</f>
        <v/>
      </c>
      <c r="N187" s="29">
        <f>IF(AND(OR(G187="Aprovado",G187="Recusado"),H187&lt;&gt;"",A187&lt;&gt;""),H187-A187,"")</f>
        <v/>
      </c>
      <c r="O187" s="25">
        <f>IF(G187="","",IF(OR(G187="Aprovado",G187="Recusado",G187="Sem retorno"),G187,IF(AND(M187&lt;&gt;"",M187&gt;Config!$B$7),"Parado","Ativo")))</f>
        <v/>
      </c>
      <c r="P187" s="39">
        <f>IF(A187="","",DATE(YEAR(A187),MONTH(A187),1))</f>
        <v/>
      </c>
      <c r="Q187" s="40">
        <f>IF(OR(G187="",O187="Aprovado",O187="Recusado",O187="Sem retorno"),0,IF(O187="Parado",2000,1000)+MIN(N(M187),500)+N(F187)/1000000-ROW()/100000)</f>
        <v>0</v>
      </c>
    </row>
    <row r="188">
      <c r="A188" s="37" t="n"/>
      <c r="B188" s="32" t="n"/>
      <c r="C188" s="35" t="n"/>
      <c r="D188" s="35" t="n"/>
      <c r="E188" s="32" t="n"/>
      <c r="F188" s="38" t="n"/>
      <c r="G188" s="35" t="n"/>
      <c r="H188" s="37" t="n"/>
      <c r="I188" s="35" t="n"/>
      <c r="J188" s="32" t="n"/>
      <c r="K188" s="30">
        <f>IF(G188="","",IFERROR(INDEX(Config!$B$10:$B$14,MATCH(G188,Config!$A$10:$A$14,0)),0))</f>
        <v/>
      </c>
      <c r="L188" s="26">
        <f>IF(OR(G188="",F188=""),"",F188*K188)</f>
        <v/>
      </c>
      <c r="M188" s="29">
        <f>IF(OR(G188="",G188="Aprovado",G188="Recusado",G188="Sem retorno",A188=""),"",Config!$B$5-A188)</f>
        <v/>
      </c>
      <c r="N188" s="29">
        <f>IF(AND(OR(G188="Aprovado",G188="Recusado"),H188&lt;&gt;"",A188&lt;&gt;""),H188-A188,"")</f>
        <v/>
      </c>
      <c r="O188" s="25">
        <f>IF(G188="","",IF(OR(G188="Aprovado",G188="Recusado",G188="Sem retorno"),G188,IF(AND(M188&lt;&gt;"",M188&gt;Config!$B$7),"Parado","Ativo")))</f>
        <v/>
      </c>
      <c r="P188" s="39">
        <f>IF(A188="","",DATE(YEAR(A188),MONTH(A188),1))</f>
        <v/>
      </c>
      <c r="Q188" s="40">
        <f>IF(OR(G188="",O188="Aprovado",O188="Recusado",O188="Sem retorno"),0,IF(O188="Parado",2000,1000)+MIN(N(M188),500)+N(F188)/1000000-ROW()/100000)</f>
        <v>0</v>
      </c>
    </row>
    <row r="189">
      <c r="A189" s="37" t="n"/>
      <c r="B189" s="32" t="n"/>
      <c r="C189" s="35" t="n"/>
      <c r="D189" s="35" t="n"/>
      <c r="E189" s="32" t="n"/>
      <c r="F189" s="38" t="n"/>
      <c r="G189" s="35" t="n"/>
      <c r="H189" s="37" t="n"/>
      <c r="I189" s="35" t="n"/>
      <c r="J189" s="32" t="n"/>
      <c r="K189" s="30">
        <f>IF(G189="","",IFERROR(INDEX(Config!$B$10:$B$14,MATCH(G189,Config!$A$10:$A$14,0)),0))</f>
        <v/>
      </c>
      <c r="L189" s="26">
        <f>IF(OR(G189="",F189=""),"",F189*K189)</f>
        <v/>
      </c>
      <c r="M189" s="29">
        <f>IF(OR(G189="",G189="Aprovado",G189="Recusado",G189="Sem retorno",A189=""),"",Config!$B$5-A189)</f>
        <v/>
      </c>
      <c r="N189" s="29">
        <f>IF(AND(OR(G189="Aprovado",G189="Recusado"),H189&lt;&gt;"",A189&lt;&gt;""),H189-A189,"")</f>
        <v/>
      </c>
      <c r="O189" s="25">
        <f>IF(G189="","",IF(OR(G189="Aprovado",G189="Recusado",G189="Sem retorno"),G189,IF(AND(M189&lt;&gt;"",M189&gt;Config!$B$7),"Parado","Ativo")))</f>
        <v/>
      </c>
      <c r="P189" s="39">
        <f>IF(A189="","",DATE(YEAR(A189),MONTH(A189),1))</f>
        <v/>
      </c>
      <c r="Q189" s="40">
        <f>IF(OR(G189="",O189="Aprovado",O189="Recusado",O189="Sem retorno"),0,IF(O189="Parado",2000,1000)+MIN(N(M189),500)+N(F189)/1000000-ROW()/100000)</f>
        <v>0</v>
      </c>
    </row>
    <row r="190">
      <c r="A190" s="37" t="n"/>
      <c r="B190" s="32" t="n"/>
      <c r="C190" s="35" t="n"/>
      <c r="D190" s="35" t="n"/>
      <c r="E190" s="32" t="n"/>
      <c r="F190" s="38" t="n"/>
      <c r="G190" s="35" t="n"/>
      <c r="H190" s="37" t="n"/>
      <c r="I190" s="35" t="n"/>
      <c r="J190" s="32" t="n"/>
      <c r="K190" s="30">
        <f>IF(G190="","",IFERROR(INDEX(Config!$B$10:$B$14,MATCH(G190,Config!$A$10:$A$14,0)),0))</f>
        <v/>
      </c>
      <c r="L190" s="26">
        <f>IF(OR(G190="",F190=""),"",F190*K190)</f>
        <v/>
      </c>
      <c r="M190" s="29">
        <f>IF(OR(G190="",G190="Aprovado",G190="Recusado",G190="Sem retorno",A190=""),"",Config!$B$5-A190)</f>
        <v/>
      </c>
      <c r="N190" s="29">
        <f>IF(AND(OR(G190="Aprovado",G190="Recusado"),H190&lt;&gt;"",A190&lt;&gt;""),H190-A190,"")</f>
        <v/>
      </c>
      <c r="O190" s="25">
        <f>IF(G190="","",IF(OR(G190="Aprovado",G190="Recusado",G190="Sem retorno"),G190,IF(AND(M190&lt;&gt;"",M190&gt;Config!$B$7),"Parado","Ativo")))</f>
        <v/>
      </c>
      <c r="P190" s="39">
        <f>IF(A190="","",DATE(YEAR(A190),MONTH(A190),1))</f>
        <v/>
      </c>
      <c r="Q190" s="40">
        <f>IF(OR(G190="",O190="Aprovado",O190="Recusado",O190="Sem retorno"),0,IF(O190="Parado",2000,1000)+MIN(N(M190),500)+N(F190)/1000000-ROW()/100000)</f>
        <v>0</v>
      </c>
    </row>
    <row r="191">
      <c r="A191" s="37" t="n"/>
      <c r="B191" s="32" t="n"/>
      <c r="C191" s="35" t="n"/>
      <c r="D191" s="35" t="n"/>
      <c r="E191" s="32" t="n"/>
      <c r="F191" s="38" t="n"/>
      <c r="G191" s="35" t="n"/>
      <c r="H191" s="37" t="n"/>
      <c r="I191" s="35" t="n"/>
      <c r="J191" s="32" t="n"/>
      <c r="K191" s="30">
        <f>IF(G191="","",IFERROR(INDEX(Config!$B$10:$B$14,MATCH(G191,Config!$A$10:$A$14,0)),0))</f>
        <v/>
      </c>
      <c r="L191" s="26">
        <f>IF(OR(G191="",F191=""),"",F191*K191)</f>
        <v/>
      </c>
      <c r="M191" s="29">
        <f>IF(OR(G191="",G191="Aprovado",G191="Recusado",G191="Sem retorno",A191=""),"",Config!$B$5-A191)</f>
        <v/>
      </c>
      <c r="N191" s="29">
        <f>IF(AND(OR(G191="Aprovado",G191="Recusado"),H191&lt;&gt;"",A191&lt;&gt;""),H191-A191,"")</f>
        <v/>
      </c>
      <c r="O191" s="25">
        <f>IF(G191="","",IF(OR(G191="Aprovado",G191="Recusado",G191="Sem retorno"),G191,IF(AND(M191&lt;&gt;"",M191&gt;Config!$B$7),"Parado","Ativo")))</f>
        <v/>
      </c>
      <c r="P191" s="39">
        <f>IF(A191="","",DATE(YEAR(A191),MONTH(A191),1))</f>
        <v/>
      </c>
      <c r="Q191" s="40">
        <f>IF(OR(G191="",O191="Aprovado",O191="Recusado",O191="Sem retorno"),0,IF(O191="Parado",2000,1000)+MIN(N(M191),500)+N(F191)/1000000-ROW()/100000)</f>
        <v>0</v>
      </c>
    </row>
    <row r="192">
      <c r="A192" s="37" t="n"/>
      <c r="B192" s="32" t="n"/>
      <c r="C192" s="35" t="n"/>
      <c r="D192" s="35" t="n"/>
      <c r="E192" s="32" t="n"/>
      <c r="F192" s="38" t="n"/>
      <c r="G192" s="35" t="n"/>
      <c r="H192" s="37" t="n"/>
      <c r="I192" s="35" t="n"/>
      <c r="J192" s="32" t="n"/>
      <c r="K192" s="30">
        <f>IF(G192="","",IFERROR(INDEX(Config!$B$10:$B$14,MATCH(G192,Config!$A$10:$A$14,0)),0))</f>
        <v/>
      </c>
      <c r="L192" s="26">
        <f>IF(OR(G192="",F192=""),"",F192*K192)</f>
        <v/>
      </c>
      <c r="M192" s="29">
        <f>IF(OR(G192="",G192="Aprovado",G192="Recusado",G192="Sem retorno",A192=""),"",Config!$B$5-A192)</f>
        <v/>
      </c>
      <c r="N192" s="29">
        <f>IF(AND(OR(G192="Aprovado",G192="Recusado"),H192&lt;&gt;"",A192&lt;&gt;""),H192-A192,"")</f>
        <v/>
      </c>
      <c r="O192" s="25">
        <f>IF(G192="","",IF(OR(G192="Aprovado",G192="Recusado",G192="Sem retorno"),G192,IF(AND(M192&lt;&gt;"",M192&gt;Config!$B$7),"Parado","Ativo")))</f>
        <v/>
      </c>
      <c r="P192" s="39">
        <f>IF(A192="","",DATE(YEAR(A192),MONTH(A192),1))</f>
        <v/>
      </c>
      <c r="Q192" s="40">
        <f>IF(OR(G192="",O192="Aprovado",O192="Recusado",O192="Sem retorno"),0,IF(O192="Parado",2000,1000)+MIN(N(M192),500)+N(F192)/1000000-ROW()/100000)</f>
        <v>0</v>
      </c>
    </row>
    <row r="193">
      <c r="A193" s="37" t="n"/>
      <c r="B193" s="32" t="n"/>
      <c r="C193" s="35" t="n"/>
      <c r="D193" s="35" t="n"/>
      <c r="E193" s="32" t="n"/>
      <c r="F193" s="38" t="n"/>
      <c r="G193" s="35" t="n"/>
      <c r="H193" s="37" t="n"/>
      <c r="I193" s="35" t="n"/>
      <c r="J193" s="32" t="n"/>
      <c r="K193" s="30">
        <f>IF(G193="","",IFERROR(INDEX(Config!$B$10:$B$14,MATCH(G193,Config!$A$10:$A$14,0)),0))</f>
        <v/>
      </c>
      <c r="L193" s="26">
        <f>IF(OR(G193="",F193=""),"",F193*K193)</f>
        <v/>
      </c>
      <c r="M193" s="29">
        <f>IF(OR(G193="",G193="Aprovado",G193="Recusado",G193="Sem retorno",A193=""),"",Config!$B$5-A193)</f>
        <v/>
      </c>
      <c r="N193" s="29">
        <f>IF(AND(OR(G193="Aprovado",G193="Recusado"),H193&lt;&gt;"",A193&lt;&gt;""),H193-A193,"")</f>
        <v/>
      </c>
      <c r="O193" s="25">
        <f>IF(G193="","",IF(OR(G193="Aprovado",G193="Recusado",G193="Sem retorno"),G193,IF(AND(M193&lt;&gt;"",M193&gt;Config!$B$7),"Parado","Ativo")))</f>
        <v/>
      </c>
      <c r="P193" s="39">
        <f>IF(A193="","",DATE(YEAR(A193),MONTH(A193),1))</f>
        <v/>
      </c>
      <c r="Q193" s="40">
        <f>IF(OR(G193="",O193="Aprovado",O193="Recusado",O193="Sem retorno"),0,IF(O193="Parado",2000,1000)+MIN(N(M193),500)+N(F193)/1000000-ROW()/100000)</f>
        <v>0</v>
      </c>
    </row>
    <row r="194">
      <c r="A194" s="37" t="n"/>
      <c r="B194" s="32" t="n"/>
      <c r="C194" s="35" t="n"/>
      <c r="D194" s="35" t="n"/>
      <c r="E194" s="32" t="n"/>
      <c r="F194" s="38" t="n"/>
      <c r="G194" s="35" t="n"/>
      <c r="H194" s="37" t="n"/>
      <c r="I194" s="35" t="n"/>
      <c r="J194" s="32" t="n"/>
      <c r="K194" s="30">
        <f>IF(G194="","",IFERROR(INDEX(Config!$B$10:$B$14,MATCH(G194,Config!$A$10:$A$14,0)),0))</f>
        <v/>
      </c>
      <c r="L194" s="26">
        <f>IF(OR(G194="",F194=""),"",F194*K194)</f>
        <v/>
      </c>
      <c r="M194" s="29">
        <f>IF(OR(G194="",G194="Aprovado",G194="Recusado",G194="Sem retorno",A194=""),"",Config!$B$5-A194)</f>
        <v/>
      </c>
      <c r="N194" s="29">
        <f>IF(AND(OR(G194="Aprovado",G194="Recusado"),H194&lt;&gt;"",A194&lt;&gt;""),H194-A194,"")</f>
        <v/>
      </c>
      <c r="O194" s="25">
        <f>IF(G194="","",IF(OR(G194="Aprovado",G194="Recusado",G194="Sem retorno"),G194,IF(AND(M194&lt;&gt;"",M194&gt;Config!$B$7),"Parado","Ativo")))</f>
        <v/>
      </c>
      <c r="P194" s="39">
        <f>IF(A194="","",DATE(YEAR(A194),MONTH(A194),1))</f>
        <v/>
      </c>
      <c r="Q194" s="40">
        <f>IF(OR(G194="",O194="Aprovado",O194="Recusado",O194="Sem retorno"),0,IF(O194="Parado",2000,1000)+MIN(N(M194),500)+N(F194)/1000000-ROW()/100000)</f>
        <v>0</v>
      </c>
    </row>
    <row r="195">
      <c r="A195" s="37" t="n"/>
      <c r="B195" s="32" t="n"/>
      <c r="C195" s="35" t="n"/>
      <c r="D195" s="35" t="n"/>
      <c r="E195" s="32" t="n"/>
      <c r="F195" s="38" t="n"/>
      <c r="G195" s="35" t="n"/>
      <c r="H195" s="37" t="n"/>
      <c r="I195" s="35" t="n"/>
      <c r="J195" s="32" t="n"/>
      <c r="K195" s="30">
        <f>IF(G195="","",IFERROR(INDEX(Config!$B$10:$B$14,MATCH(G195,Config!$A$10:$A$14,0)),0))</f>
        <v/>
      </c>
      <c r="L195" s="26">
        <f>IF(OR(G195="",F195=""),"",F195*K195)</f>
        <v/>
      </c>
      <c r="M195" s="29">
        <f>IF(OR(G195="",G195="Aprovado",G195="Recusado",G195="Sem retorno",A195=""),"",Config!$B$5-A195)</f>
        <v/>
      </c>
      <c r="N195" s="29">
        <f>IF(AND(OR(G195="Aprovado",G195="Recusado"),H195&lt;&gt;"",A195&lt;&gt;""),H195-A195,"")</f>
        <v/>
      </c>
      <c r="O195" s="25">
        <f>IF(G195="","",IF(OR(G195="Aprovado",G195="Recusado",G195="Sem retorno"),G195,IF(AND(M195&lt;&gt;"",M195&gt;Config!$B$7),"Parado","Ativo")))</f>
        <v/>
      </c>
      <c r="P195" s="39">
        <f>IF(A195="","",DATE(YEAR(A195),MONTH(A195),1))</f>
        <v/>
      </c>
      <c r="Q195" s="40">
        <f>IF(OR(G195="",O195="Aprovado",O195="Recusado",O195="Sem retorno"),0,IF(O195="Parado",2000,1000)+MIN(N(M195),500)+N(F195)/1000000-ROW()/100000)</f>
        <v>0</v>
      </c>
    </row>
    <row r="196">
      <c r="A196" s="37" t="n"/>
      <c r="B196" s="32" t="n"/>
      <c r="C196" s="35" t="n"/>
      <c r="D196" s="35" t="n"/>
      <c r="E196" s="32" t="n"/>
      <c r="F196" s="38" t="n"/>
      <c r="G196" s="35" t="n"/>
      <c r="H196" s="37" t="n"/>
      <c r="I196" s="35" t="n"/>
      <c r="J196" s="32" t="n"/>
      <c r="K196" s="30">
        <f>IF(G196="","",IFERROR(INDEX(Config!$B$10:$B$14,MATCH(G196,Config!$A$10:$A$14,0)),0))</f>
        <v/>
      </c>
      <c r="L196" s="26">
        <f>IF(OR(G196="",F196=""),"",F196*K196)</f>
        <v/>
      </c>
      <c r="M196" s="29">
        <f>IF(OR(G196="",G196="Aprovado",G196="Recusado",G196="Sem retorno",A196=""),"",Config!$B$5-A196)</f>
        <v/>
      </c>
      <c r="N196" s="29">
        <f>IF(AND(OR(G196="Aprovado",G196="Recusado"),H196&lt;&gt;"",A196&lt;&gt;""),H196-A196,"")</f>
        <v/>
      </c>
      <c r="O196" s="25">
        <f>IF(G196="","",IF(OR(G196="Aprovado",G196="Recusado",G196="Sem retorno"),G196,IF(AND(M196&lt;&gt;"",M196&gt;Config!$B$7),"Parado","Ativo")))</f>
        <v/>
      </c>
      <c r="P196" s="39">
        <f>IF(A196="","",DATE(YEAR(A196),MONTH(A196),1))</f>
        <v/>
      </c>
      <c r="Q196" s="40">
        <f>IF(OR(G196="",O196="Aprovado",O196="Recusado",O196="Sem retorno"),0,IF(O196="Parado",2000,1000)+MIN(N(M196),500)+N(F196)/1000000-ROW()/100000)</f>
        <v>0</v>
      </c>
    </row>
    <row r="197">
      <c r="A197" s="37" t="n"/>
      <c r="B197" s="32" t="n"/>
      <c r="C197" s="35" t="n"/>
      <c r="D197" s="35" t="n"/>
      <c r="E197" s="32" t="n"/>
      <c r="F197" s="38" t="n"/>
      <c r="G197" s="35" t="n"/>
      <c r="H197" s="37" t="n"/>
      <c r="I197" s="35" t="n"/>
      <c r="J197" s="32" t="n"/>
      <c r="K197" s="30">
        <f>IF(G197="","",IFERROR(INDEX(Config!$B$10:$B$14,MATCH(G197,Config!$A$10:$A$14,0)),0))</f>
        <v/>
      </c>
      <c r="L197" s="26">
        <f>IF(OR(G197="",F197=""),"",F197*K197)</f>
        <v/>
      </c>
      <c r="M197" s="29">
        <f>IF(OR(G197="",G197="Aprovado",G197="Recusado",G197="Sem retorno",A197=""),"",Config!$B$5-A197)</f>
        <v/>
      </c>
      <c r="N197" s="29">
        <f>IF(AND(OR(G197="Aprovado",G197="Recusado"),H197&lt;&gt;"",A197&lt;&gt;""),H197-A197,"")</f>
        <v/>
      </c>
      <c r="O197" s="25">
        <f>IF(G197="","",IF(OR(G197="Aprovado",G197="Recusado",G197="Sem retorno"),G197,IF(AND(M197&lt;&gt;"",M197&gt;Config!$B$7),"Parado","Ativo")))</f>
        <v/>
      </c>
      <c r="P197" s="39">
        <f>IF(A197="","",DATE(YEAR(A197),MONTH(A197),1))</f>
        <v/>
      </c>
      <c r="Q197" s="40">
        <f>IF(OR(G197="",O197="Aprovado",O197="Recusado",O197="Sem retorno"),0,IF(O197="Parado",2000,1000)+MIN(N(M197),500)+N(F197)/1000000-ROW()/100000)</f>
        <v>0</v>
      </c>
    </row>
    <row r="198">
      <c r="A198" s="37" t="n"/>
      <c r="B198" s="32" t="n"/>
      <c r="C198" s="35" t="n"/>
      <c r="D198" s="35" t="n"/>
      <c r="E198" s="32" t="n"/>
      <c r="F198" s="38" t="n"/>
      <c r="G198" s="35" t="n"/>
      <c r="H198" s="37" t="n"/>
      <c r="I198" s="35" t="n"/>
      <c r="J198" s="32" t="n"/>
      <c r="K198" s="30">
        <f>IF(G198="","",IFERROR(INDEX(Config!$B$10:$B$14,MATCH(G198,Config!$A$10:$A$14,0)),0))</f>
        <v/>
      </c>
      <c r="L198" s="26">
        <f>IF(OR(G198="",F198=""),"",F198*K198)</f>
        <v/>
      </c>
      <c r="M198" s="29">
        <f>IF(OR(G198="",G198="Aprovado",G198="Recusado",G198="Sem retorno",A198=""),"",Config!$B$5-A198)</f>
        <v/>
      </c>
      <c r="N198" s="29">
        <f>IF(AND(OR(G198="Aprovado",G198="Recusado"),H198&lt;&gt;"",A198&lt;&gt;""),H198-A198,"")</f>
        <v/>
      </c>
      <c r="O198" s="25">
        <f>IF(G198="","",IF(OR(G198="Aprovado",G198="Recusado",G198="Sem retorno"),G198,IF(AND(M198&lt;&gt;"",M198&gt;Config!$B$7),"Parado","Ativo")))</f>
        <v/>
      </c>
      <c r="P198" s="39">
        <f>IF(A198="","",DATE(YEAR(A198),MONTH(A198),1))</f>
        <v/>
      </c>
      <c r="Q198" s="40">
        <f>IF(OR(G198="",O198="Aprovado",O198="Recusado",O198="Sem retorno"),0,IF(O198="Parado",2000,1000)+MIN(N(M198),500)+N(F198)/1000000-ROW()/100000)</f>
        <v>0</v>
      </c>
    </row>
    <row r="199">
      <c r="A199" s="37" t="n"/>
      <c r="B199" s="32" t="n"/>
      <c r="C199" s="35" t="n"/>
      <c r="D199" s="35" t="n"/>
      <c r="E199" s="32" t="n"/>
      <c r="F199" s="38" t="n"/>
      <c r="G199" s="35" t="n"/>
      <c r="H199" s="37" t="n"/>
      <c r="I199" s="35" t="n"/>
      <c r="J199" s="32" t="n"/>
      <c r="K199" s="30">
        <f>IF(G199="","",IFERROR(INDEX(Config!$B$10:$B$14,MATCH(G199,Config!$A$10:$A$14,0)),0))</f>
        <v/>
      </c>
      <c r="L199" s="26">
        <f>IF(OR(G199="",F199=""),"",F199*K199)</f>
        <v/>
      </c>
      <c r="M199" s="29">
        <f>IF(OR(G199="",G199="Aprovado",G199="Recusado",G199="Sem retorno",A199=""),"",Config!$B$5-A199)</f>
        <v/>
      </c>
      <c r="N199" s="29">
        <f>IF(AND(OR(G199="Aprovado",G199="Recusado"),H199&lt;&gt;"",A199&lt;&gt;""),H199-A199,"")</f>
        <v/>
      </c>
      <c r="O199" s="25">
        <f>IF(G199="","",IF(OR(G199="Aprovado",G199="Recusado",G199="Sem retorno"),G199,IF(AND(M199&lt;&gt;"",M199&gt;Config!$B$7),"Parado","Ativo")))</f>
        <v/>
      </c>
      <c r="P199" s="39">
        <f>IF(A199="","",DATE(YEAR(A199),MONTH(A199),1))</f>
        <v/>
      </c>
      <c r="Q199" s="40">
        <f>IF(OR(G199="",O199="Aprovado",O199="Recusado",O199="Sem retorno"),0,IF(O199="Parado",2000,1000)+MIN(N(M199),500)+N(F199)/1000000-ROW()/100000)</f>
        <v>0</v>
      </c>
    </row>
    <row r="200">
      <c r="A200" s="37" t="n"/>
      <c r="B200" s="32" t="n"/>
      <c r="C200" s="35" t="n"/>
      <c r="D200" s="35" t="n"/>
      <c r="E200" s="32" t="n"/>
      <c r="F200" s="38" t="n"/>
      <c r="G200" s="35" t="n"/>
      <c r="H200" s="37" t="n"/>
      <c r="I200" s="35" t="n"/>
      <c r="J200" s="32" t="n"/>
      <c r="K200" s="30">
        <f>IF(G200="","",IFERROR(INDEX(Config!$B$10:$B$14,MATCH(G200,Config!$A$10:$A$14,0)),0))</f>
        <v/>
      </c>
      <c r="L200" s="26">
        <f>IF(OR(G200="",F200=""),"",F200*K200)</f>
        <v/>
      </c>
      <c r="M200" s="29">
        <f>IF(OR(G200="",G200="Aprovado",G200="Recusado",G200="Sem retorno",A200=""),"",Config!$B$5-A200)</f>
        <v/>
      </c>
      <c r="N200" s="29">
        <f>IF(AND(OR(G200="Aprovado",G200="Recusado"),H200&lt;&gt;"",A200&lt;&gt;""),H200-A200,"")</f>
        <v/>
      </c>
      <c r="O200" s="25">
        <f>IF(G200="","",IF(OR(G200="Aprovado",G200="Recusado",G200="Sem retorno"),G200,IF(AND(M200&lt;&gt;"",M200&gt;Config!$B$7),"Parado","Ativo")))</f>
        <v/>
      </c>
      <c r="P200" s="39">
        <f>IF(A200="","",DATE(YEAR(A200),MONTH(A200),1))</f>
        <v/>
      </c>
      <c r="Q200" s="40">
        <f>IF(OR(G200="",O200="Aprovado",O200="Recusado",O200="Sem retorno"),0,IF(O200="Parado",2000,1000)+MIN(N(M200),500)+N(F200)/1000000-ROW()/100000)</f>
        <v>0</v>
      </c>
    </row>
    <row r="201">
      <c r="A201" s="37" t="n"/>
      <c r="B201" s="32" t="n"/>
      <c r="C201" s="35" t="n"/>
      <c r="D201" s="35" t="n"/>
      <c r="E201" s="32" t="n"/>
      <c r="F201" s="38" t="n"/>
      <c r="G201" s="35" t="n"/>
      <c r="H201" s="37" t="n"/>
      <c r="I201" s="35" t="n"/>
      <c r="J201" s="32" t="n"/>
      <c r="K201" s="30">
        <f>IF(G201="","",IFERROR(INDEX(Config!$B$10:$B$14,MATCH(G201,Config!$A$10:$A$14,0)),0))</f>
        <v/>
      </c>
      <c r="L201" s="26">
        <f>IF(OR(G201="",F201=""),"",F201*K201)</f>
        <v/>
      </c>
      <c r="M201" s="29">
        <f>IF(OR(G201="",G201="Aprovado",G201="Recusado",G201="Sem retorno",A201=""),"",Config!$B$5-A201)</f>
        <v/>
      </c>
      <c r="N201" s="29">
        <f>IF(AND(OR(G201="Aprovado",G201="Recusado"),H201&lt;&gt;"",A201&lt;&gt;""),H201-A201,"")</f>
        <v/>
      </c>
      <c r="O201" s="25">
        <f>IF(G201="","",IF(OR(G201="Aprovado",G201="Recusado",G201="Sem retorno"),G201,IF(AND(M201&lt;&gt;"",M201&gt;Config!$B$7),"Parado","Ativo")))</f>
        <v/>
      </c>
      <c r="P201" s="39">
        <f>IF(A201="","",DATE(YEAR(A201),MONTH(A201),1))</f>
        <v/>
      </c>
      <c r="Q201" s="40">
        <f>IF(OR(G201="",O201="Aprovado",O201="Recusado",O201="Sem retorno"),0,IF(O201="Parado",2000,1000)+MIN(N(M201),500)+N(F201)/1000000-ROW()/100000)</f>
        <v>0</v>
      </c>
    </row>
    <row r="202">
      <c r="A202" s="37" t="n"/>
      <c r="B202" s="32" t="n"/>
      <c r="C202" s="35" t="n"/>
      <c r="D202" s="35" t="n"/>
      <c r="E202" s="32" t="n"/>
      <c r="F202" s="38" t="n"/>
      <c r="G202" s="35" t="n"/>
      <c r="H202" s="37" t="n"/>
      <c r="I202" s="35" t="n"/>
      <c r="J202" s="32" t="n"/>
      <c r="K202" s="30">
        <f>IF(G202="","",IFERROR(INDEX(Config!$B$10:$B$14,MATCH(G202,Config!$A$10:$A$14,0)),0))</f>
        <v/>
      </c>
      <c r="L202" s="26">
        <f>IF(OR(G202="",F202=""),"",F202*K202)</f>
        <v/>
      </c>
      <c r="M202" s="29">
        <f>IF(OR(G202="",G202="Aprovado",G202="Recusado",G202="Sem retorno",A202=""),"",Config!$B$5-A202)</f>
        <v/>
      </c>
      <c r="N202" s="29">
        <f>IF(AND(OR(G202="Aprovado",G202="Recusado"),H202&lt;&gt;"",A202&lt;&gt;""),H202-A202,"")</f>
        <v/>
      </c>
      <c r="O202" s="25">
        <f>IF(G202="","",IF(OR(G202="Aprovado",G202="Recusado",G202="Sem retorno"),G202,IF(AND(M202&lt;&gt;"",M202&gt;Config!$B$7),"Parado","Ativo")))</f>
        <v/>
      </c>
      <c r="P202" s="39">
        <f>IF(A202="","",DATE(YEAR(A202),MONTH(A202),1))</f>
        <v/>
      </c>
      <c r="Q202" s="40">
        <f>IF(OR(G202="",O202="Aprovado",O202="Recusado",O202="Sem retorno"),0,IF(O202="Parado",2000,1000)+MIN(N(M202),500)+N(F202)/1000000-ROW()/100000)</f>
        <v>0</v>
      </c>
    </row>
    <row r="203">
      <c r="A203" s="37" t="n"/>
      <c r="B203" s="32" t="n"/>
      <c r="C203" s="35" t="n"/>
      <c r="D203" s="35" t="n"/>
      <c r="E203" s="32" t="n"/>
      <c r="F203" s="38" t="n"/>
      <c r="G203" s="35" t="n"/>
      <c r="H203" s="37" t="n"/>
      <c r="I203" s="35" t="n"/>
      <c r="J203" s="32" t="n"/>
      <c r="K203" s="30">
        <f>IF(G203="","",IFERROR(INDEX(Config!$B$10:$B$14,MATCH(G203,Config!$A$10:$A$14,0)),0))</f>
        <v/>
      </c>
      <c r="L203" s="26">
        <f>IF(OR(G203="",F203=""),"",F203*K203)</f>
        <v/>
      </c>
      <c r="M203" s="29">
        <f>IF(OR(G203="",G203="Aprovado",G203="Recusado",G203="Sem retorno",A203=""),"",Config!$B$5-A203)</f>
        <v/>
      </c>
      <c r="N203" s="29">
        <f>IF(AND(OR(G203="Aprovado",G203="Recusado"),H203&lt;&gt;"",A203&lt;&gt;""),H203-A203,"")</f>
        <v/>
      </c>
      <c r="O203" s="25">
        <f>IF(G203="","",IF(OR(G203="Aprovado",G203="Recusado",G203="Sem retorno"),G203,IF(AND(M203&lt;&gt;"",M203&gt;Config!$B$7),"Parado","Ativo")))</f>
        <v/>
      </c>
      <c r="P203" s="39">
        <f>IF(A203="","",DATE(YEAR(A203),MONTH(A203),1))</f>
        <v/>
      </c>
      <c r="Q203" s="40">
        <f>IF(OR(G203="",O203="Aprovado",O203="Recusado",O203="Sem retorno"),0,IF(O203="Parado",2000,1000)+MIN(N(M203),500)+N(F203)/1000000-ROW()/100000)</f>
        <v>0</v>
      </c>
    </row>
    <row r="204">
      <c r="A204" s="37" t="n"/>
      <c r="B204" s="32" t="n"/>
      <c r="C204" s="35" t="n"/>
      <c r="D204" s="35" t="n"/>
      <c r="E204" s="32" t="n"/>
      <c r="F204" s="38" t="n"/>
      <c r="G204" s="35" t="n"/>
      <c r="H204" s="37" t="n"/>
      <c r="I204" s="35" t="n"/>
      <c r="J204" s="32" t="n"/>
      <c r="K204" s="30">
        <f>IF(G204="","",IFERROR(INDEX(Config!$B$10:$B$14,MATCH(G204,Config!$A$10:$A$14,0)),0))</f>
        <v/>
      </c>
      <c r="L204" s="26">
        <f>IF(OR(G204="",F204=""),"",F204*K204)</f>
        <v/>
      </c>
      <c r="M204" s="29">
        <f>IF(OR(G204="",G204="Aprovado",G204="Recusado",G204="Sem retorno",A204=""),"",Config!$B$5-A204)</f>
        <v/>
      </c>
      <c r="N204" s="29">
        <f>IF(AND(OR(G204="Aprovado",G204="Recusado"),H204&lt;&gt;"",A204&lt;&gt;""),H204-A204,"")</f>
        <v/>
      </c>
      <c r="O204" s="25">
        <f>IF(G204="","",IF(OR(G204="Aprovado",G204="Recusado",G204="Sem retorno"),G204,IF(AND(M204&lt;&gt;"",M204&gt;Config!$B$7),"Parado","Ativo")))</f>
        <v/>
      </c>
      <c r="P204" s="39">
        <f>IF(A204="","",DATE(YEAR(A204),MONTH(A204),1))</f>
        <v/>
      </c>
      <c r="Q204" s="40">
        <f>IF(OR(G204="",O204="Aprovado",O204="Recusado",O204="Sem retorno"),0,IF(O204="Parado",2000,1000)+MIN(N(M204),500)+N(F204)/1000000-ROW()/100000)</f>
        <v>0</v>
      </c>
    </row>
    <row r="205">
      <c r="A205" s="37" t="n"/>
      <c r="B205" s="32" t="n"/>
      <c r="C205" s="35" t="n"/>
      <c r="D205" s="35" t="n"/>
      <c r="E205" s="32" t="n"/>
      <c r="F205" s="38" t="n"/>
      <c r="G205" s="35" t="n"/>
      <c r="H205" s="37" t="n"/>
      <c r="I205" s="35" t="n"/>
      <c r="J205" s="32" t="n"/>
      <c r="K205" s="30">
        <f>IF(G205="","",IFERROR(INDEX(Config!$B$10:$B$14,MATCH(G205,Config!$A$10:$A$14,0)),0))</f>
        <v/>
      </c>
      <c r="L205" s="26">
        <f>IF(OR(G205="",F205=""),"",F205*K205)</f>
        <v/>
      </c>
      <c r="M205" s="29">
        <f>IF(OR(G205="",G205="Aprovado",G205="Recusado",G205="Sem retorno",A205=""),"",Config!$B$5-A205)</f>
        <v/>
      </c>
      <c r="N205" s="29">
        <f>IF(AND(OR(G205="Aprovado",G205="Recusado"),H205&lt;&gt;"",A205&lt;&gt;""),H205-A205,"")</f>
        <v/>
      </c>
      <c r="O205" s="25">
        <f>IF(G205="","",IF(OR(G205="Aprovado",G205="Recusado",G205="Sem retorno"),G205,IF(AND(M205&lt;&gt;"",M205&gt;Config!$B$7),"Parado","Ativo")))</f>
        <v/>
      </c>
      <c r="P205" s="39">
        <f>IF(A205="","",DATE(YEAR(A205),MONTH(A205),1))</f>
        <v/>
      </c>
      <c r="Q205" s="40">
        <f>IF(OR(G205="",O205="Aprovado",O205="Recusado",O205="Sem retorno"),0,IF(O205="Parado",2000,1000)+MIN(N(M205),500)+N(F205)/1000000-ROW()/100000)</f>
        <v>0</v>
      </c>
    </row>
    <row r="206">
      <c r="A206" s="37" t="n"/>
      <c r="B206" s="32" t="n"/>
      <c r="C206" s="35" t="n"/>
      <c r="D206" s="35" t="n"/>
      <c r="E206" s="32" t="n"/>
      <c r="F206" s="38" t="n"/>
      <c r="G206" s="35" t="n"/>
      <c r="H206" s="37" t="n"/>
      <c r="I206" s="35" t="n"/>
      <c r="J206" s="32" t="n"/>
      <c r="K206" s="30">
        <f>IF(G206="","",IFERROR(INDEX(Config!$B$10:$B$14,MATCH(G206,Config!$A$10:$A$14,0)),0))</f>
        <v/>
      </c>
      <c r="L206" s="26">
        <f>IF(OR(G206="",F206=""),"",F206*K206)</f>
        <v/>
      </c>
      <c r="M206" s="29">
        <f>IF(OR(G206="",G206="Aprovado",G206="Recusado",G206="Sem retorno",A206=""),"",Config!$B$5-A206)</f>
        <v/>
      </c>
      <c r="N206" s="29">
        <f>IF(AND(OR(G206="Aprovado",G206="Recusado"),H206&lt;&gt;"",A206&lt;&gt;""),H206-A206,"")</f>
        <v/>
      </c>
      <c r="O206" s="25">
        <f>IF(G206="","",IF(OR(G206="Aprovado",G206="Recusado",G206="Sem retorno"),G206,IF(AND(M206&lt;&gt;"",M206&gt;Config!$B$7),"Parado","Ativo")))</f>
        <v/>
      </c>
      <c r="P206" s="39">
        <f>IF(A206="","",DATE(YEAR(A206),MONTH(A206),1))</f>
        <v/>
      </c>
      <c r="Q206" s="40">
        <f>IF(OR(G206="",O206="Aprovado",O206="Recusado",O206="Sem retorno"),0,IF(O206="Parado",2000,1000)+MIN(N(M206),500)+N(F206)/1000000-ROW()/100000)</f>
        <v>0</v>
      </c>
    </row>
    <row r="207">
      <c r="A207" s="37" t="n"/>
      <c r="B207" s="32" t="n"/>
      <c r="C207" s="35" t="n"/>
      <c r="D207" s="35" t="n"/>
      <c r="E207" s="32" t="n"/>
      <c r="F207" s="38" t="n"/>
      <c r="G207" s="35" t="n"/>
      <c r="H207" s="37" t="n"/>
      <c r="I207" s="35" t="n"/>
      <c r="J207" s="32" t="n"/>
      <c r="K207" s="30">
        <f>IF(G207="","",IFERROR(INDEX(Config!$B$10:$B$14,MATCH(G207,Config!$A$10:$A$14,0)),0))</f>
        <v/>
      </c>
      <c r="L207" s="26">
        <f>IF(OR(G207="",F207=""),"",F207*K207)</f>
        <v/>
      </c>
      <c r="M207" s="29">
        <f>IF(OR(G207="",G207="Aprovado",G207="Recusado",G207="Sem retorno",A207=""),"",Config!$B$5-A207)</f>
        <v/>
      </c>
      <c r="N207" s="29">
        <f>IF(AND(OR(G207="Aprovado",G207="Recusado"),H207&lt;&gt;"",A207&lt;&gt;""),H207-A207,"")</f>
        <v/>
      </c>
      <c r="O207" s="25">
        <f>IF(G207="","",IF(OR(G207="Aprovado",G207="Recusado",G207="Sem retorno"),G207,IF(AND(M207&lt;&gt;"",M207&gt;Config!$B$7),"Parado","Ativo")))</f>
        <v/>
      </c>
      <c r="P207" s="39">
        <f>IF(A207="","",DATE(YEAR(A207),MONTH(A207),1))</f>
        <v/>
      </c>
      <c r="Q207" s="40">
        <f>IF(OR(G207="",O207="Aprovado",O207="Recusado",O207="Sem retorno"),0,IF(O207="Parado",2000,1000)+MIN(N(M207),500)+N(F207)/1000000-ROW()/100000)</f>
        <v>0</v>
      </c>
    </row>
    <row r="208">
      <c r="A208" s="37" t="n"/>
      <c r="B208" s="32" t="n"/>
      <c r="C208" s="35" t="n"/>
      <c r="D208" s="35" t="n"/>
      <c r="E208" s="32" t="n"/>
      <c r="F208" s="38" t="n"/>
      <c r="G208" s="35" t="n"/>
      <c r="H208" s="37" t="n"/>
      <c r="I208" s="35" t="n"/>
      <c r="J208" s="32" t="n"/>
      <c r="K208" s="30">
        <f>IF(G208="","",IFERROR(INDEX(Config!$B$10:$B$14,MATCH(G208,Config!$A$10:$A$14,0)),0))</f>
        <v/>
      </c>
      <c r="L208" s="26">
        <f>IF(OR(G208="",F208=""),"",F208*K208)</f>
        <v/>
      </c>
      <c r="M208" s="29">
        <f>IF(OR(G208="",G208="Aprovado",G208="Recusado",G208="Sem retorno",A208=""),"",Config!$B$5-A208)</f>
        <v/>
      </c>
      <c r="N208" s="29">
        <f>IF(AND(OR(G208="Aprovado",G208="Recusado"),H208&lt;&gt;"",A208&lt;&gt;""),H208-A208,"")</f>
        <v/>
      </c>
      <c r="O208" s="25">
        <f>IF(G208="","",IF(OR(G208="Aprovado",G208="Recusado",G208="Sem retorno"),G208,IF(AND(M208&lt;&gt;"",M208&gt;Config!$B$7),"Parado","Ativo")))</f>
        <v/>
      </c>
      <c r="P208" s="39">
        <f>IF(A208="","",DATE(YEAR(A208),MONTH(A208),1))</f>
        <v/>
      </c>
      <c r="Q208" s="40">
        <f>IF(OR(G208="",O208="Aprovado",O208="Recusado",O208="Sem retorno"),0,IF(O208="Parado",2000,1000)+MIN(N(M208),500)+N(F208)/1000000-ROW()/100000)</f>
        <v>0</v>
      </c>
    </row>
    <row r="209">
      <c r="A209" s="37" t="n"/>
      <c r="B209" s="32" t="n"/>
      <c r="C209" s="35" t="n"/>
      <c r="D209" s="35" t="n"/>
      <c r="E209" s="32" t="n"/>
      <c r="F209" s="38" t="n"/>
      <c r="G209" s="35" t="n"/>
      <c r="H209" s="37" t="n"/>
      <c r="I209" s="35" t="n"/>
      <c r="J209" s="32" t="n"/>
      <c r="K209" s="30">
        <f>IF(G209="","",IFERROR(INDEX(Config!$B$10:$B$14,MATCH(G209,Config!$A$10:$A$14,0)),0))</f>
        <v/>
      </c>
      <c r="L209" s="26">
        <f>IF(OR(G209="",F209=""),"",F209*K209)</f>
        <v/>
      </c>
      <c r="M209" s="29">
        <f>IF(OR(G209="",G209="Aprovado",G209="Recusado",G209="Sem retorno",A209=""),"",Config!$B$5-A209)</f>
        <v/>
      </c>
      <c r="N209" s="29">
        <f>IF(AND(OR(G209="Aprovado",G209="Recusado"),H209&lt;&gt;"",A209&lt;&gt;""),H209-A209,"")</f>
        <v/>
      </c>
      <c r="O209" s="25">
        <f>IF(G209="","",IF(OR(G209="Aprovado",G209="Recusado",G209="Sem retorno"),G209,IF(AND(M209&lt;&gt;"",M209&gt;Config!$B$7),"Parado","Ativo")))</f>
        <v/>
      </c>
      <c r="P209" s="39">
        <f>IF(A209="","",DATE(YEAR(A209),MONTH(A209),1))</f>
        <v/>
      </c>
      <c r="Q209" s="40">
        <f>IF(OR(G209="",O209="Aprovado",O209="Recusado",O209="Sem retorno"),0,IF(O209="Parado",2000,1000)+MIN(N(M209),500)+N(F209)/1000000-ROW()/100000)</f>
        <v>0</v>
      </c>
    </row>
    <row r="210">
      <c r="A210" s="37" t="n"/>
      <c r="B210" s="32" t="n"/>
      <c r="C210" s="35" t="n"/>
      <c r="D210" s="35" t="n"/>
      <c r="E210" s="32" t="n"/>
      <c r="F210" s="38" t="n"/>
      <c r="G210" s="35" t="n"/>
      <c r="H210" s="37" t="n"/>
      <c r="I210" s="35" t="n"/>
      <c r="J210" s="32" t="n"/>
      <c r="K210" s="30">
        <f>IF(G210="","",IFERROR(INDEX(Config!$B$10:$B$14,MATCH(G210,Config!$A$10:$A$14,0)),0))</f>
        <v/>
      </c>
      <c r="L210" s="26">
        <f>IF(OR(G210="",F210=""),"",F210*K210)</f>
        <v/>
      </c>
      <c r="M210" s="29">
        <f>IF(OR(G210="",G210="Aprovado",G210="Recusado",G210="Sem retorno",A210=""),"",Config!$B$5-A210)</f>
        <v/>
      </c>
      <c r="N210" s="29">
        <f>IF(AND(OR(G210="Aprovado",G210="Recusado"),H210&lt;&gt;"",A210&lt;&gt;""),H210-A210,"")</f>
        <v/>
      </c>
      <c r="O210" s="25">
        <f>IF(G210="","",IF(OR(G210="Aprovado",G210="Recusado",G210="Sem retorno"),G210,IF(AND(M210&lt;&gt;"",M210&gt;Config!$B$7),"Parado","Ativo")))</f>
        <v/>
      </c>
      <c r="P210" s="39">
        <f>IF(A210="","",DATE(YEAR(A210),MONTH(A210),1))</f>
        <v/>
      </c>
      <c r="Q210" s="40">
        <f>IF(OR(G210="",O210="Aprovado",O210="Recusado",O210="Sem retorno"),0,IF(O210="Parado",2000,1000)+MIN(N(M210),500)+N(F210)/1000000-ROW()/100000)</f>
        <v>0</v>
      </c>
    </row>
    <row r="211">
      <c r="A211" s="37" t="n"/>
      <c r="B211" s="32" t="n"/>
      <c r="C211" s="35" t="n"/>
      <c r="D211" s="35" t="n"/>
      <c r="E211" s="32" t="n"/>
      <c r="F211" s="38" t="n"/>
      <c r="G211" s="35" t="n"/>
      <c r="H211" s="37" t="n"/>
      <c r="I211" s="35" t="n"/>
      <c r="J211" s="32" t="n"/>
      <c r="K211" s="30">
        <f>IF(G211="","",IFERROR(INDEX(Config!$B$10:$B$14,MATCH(G211,Config!$A$10:$A$14,0)),0))</f>
        <v/>
      </c>
      <c r="L211" s="26">
        <f>IF(OR(G211="",F211=""),"",F211*K211)</f>
        <v/>
      </c>
      <c r="M211" s="29">
        <f>IF(OR(G211="",G211="Aprovado",G211="Recusado",G211="Sem retorno",A211=""),"",Config!$B$5-A211)</f>
        <v/>
      </c>
      <c r="N211" s="29">
        <f>IF(AND(OR(G211="Aprovado",G211="Recusado"),H211&lt;&gt;"",A211&lt;&gt;""),H211-A211,"")</f>
        <v/>
      </c>
      <c r="O211" s="25">
        <f>IF(G211="","",IF(OR(G211="Aprovado",G211="Recusado",G211="Sem retorno"),G211,IF(AND(M211&lt;&gt;"",M211&gt;Config!$B$7),"Parado","Ativo")))</f>
        <v/>
      </c>
      <c r="P211" s="39">
        <f>IF(A211="","",DATE(YEAR(A211),MONTH(A211),1))</f>
        <v/>
      </c>
      <c r="Q211" s="40">
        <f>IF(OR(G211="",O211="Aprovado",O211="Recusado",O211="Sem retorno"),0,IF(O211="Parado",2000,1000)+MIN(N(M211),500)+N(F211)/1000000-ROW()/100000)</f>
        <v>0</v>
      </c>
    </row>
    <row r="212">
      <c r="A212" s="37" t="n"/>
      <c r="B212" s="32" t="n"/>
      <c r="C212" s="35" t="n"/>
      <c r="D212" s="35" t="n"/>
      <c r="E212" s="32" t="n"/>
      <c r="F212" s="38" t="n"/>
      <c r="G212" s="35" t="n"/>
      <c r="H212" s="37" t="n"/>
      <c r="I212" s="35" t="n"/>
      <c r="J212" s="32" t="n"/>
      <c r="K212" s="30">
        <f>IF(G212="","",IFERROR(INDEX(Config!$B$10:$B$14,MATCH(G212,Config!$A$10:$A$14,0)),0))</f>
        <v/>
      </c>
      <c r="L212" s="26">
        <f>IF(OR(G212="",F212=""),"",F212*K212)</f>
        <v/>
      </c>
      <c r="M212" s="29">
        <f>IF(OR(G212="",G212="Aprovado",G212="Recusado",G212="Sem retorno",A212=""),"",Config!$B$5-A212)</f>
        <v/>
      </c>
      <c r="N212" s="29">
        <f>IF(AND(OR(G212="Aprovado",G212="Recusado"),H212&lt;&gt;"",A212&lt;&gt;""),H212-A212,"")</f>
        <v/>
      </c>
      <c r="O212" s="25">
        <f>IF(G212="","",IF(OR(G212="Aprovado",G212="Recusado",G212="Sem retorno"),G212,IF(AND(M212&lt;&gt;"",M212&gt;Config!$B$7),"Parado","Ativo")))</f>
        <v/>
      </c>
      <c r="P212" s="39">
        <f>IF(A212="","",DATE(YEAR(A212),MONTH(A212),1))</f>
        <v/>
      </c>
      <c r="Q212" s="40">
        <f>IF(OR(G212="",O212="Aprovado",O212="Recusado",O212="Sem retorno"),0,IF(O212="Parado",2000,1000)+MIN(N(M212),500)+N(F212)/1000000-ROW()/100000)</f>
        <v>0</v>
      </c>
    </row>
    <row r="213">
      <c r="A213" s="37" t="n"/>
      <c r="B213" s="32" t="n"/>
      <c r="C213" s="35" t="n"/>
      <c r="D213" s="35" t="n"/>
      <c r="E213" s="32" t="n"/>
      <c r="F213" s="38" t="n"/>
      <c r="G213" s="35" t="n"/>
      <c r="H213" s="37" t="n"/>
      <c r="I213" s="35" t="n"/>
      <c r="J213" s="32" t="n"/>
      <c r="K213" s="30">
        <f>IF(G213="","",IFERROR(INDEX(Config!$B$10:$B$14,MATCH(G213,Config!$A$10:$A$14,0)),0))</f>
        <v/>
      </c>
      <c r="L213" s="26">
        <f>IF(OR(G213="",F213=""),"",F213*K213)</f>
        <v/>
      </c>
      <c r="M213" s="29">
        <f>IF(OR(G213="",G213="Aprovado",G213="Recusado",G213="Sem retorno",A213=""),"",Config!$B$5-A213)</f>
        <v/>
      </c>
      <c r="N213" s="29">
        <f>IF(AND(OR(G213="Aprovado",G213="Recusado"),H213&lt;&gt;"",A213&lt;&gt;""),H213-A213,"")</f>
        <v/>
      </c>
      <c r="O213" s="25">
        <f>IF(G213="","",IF(OR(G213="Aprovado",G213="Recusado",G213="Sem retorno"),G213,IF(AND(M213&lt;&gt;"",M213&gt;Config!$B$7),"Parado","Ativo")))</f>
        <v/>
      </c>
      <c r="P213" s="39">
        <f>IF(A213="","",DATE(YEAR(A213),MONTH(A213),1))</f>
        <v/>
      </c>
      <c r="Q213" s="40">
        <f>IF(OR(G213="",O213="Aprovado",O213="Recusado",O213="Sem retorno"),0,IF(O213="Parado",2000,1000)+MIN(N(M213),500)+N(F213)/1000000-ROW()/100000)</f>
        <v>0</v>
      </c>
    </row>
    <row r="214">
      <c r="A214" s="37" t="n"/>
      <c r="B214" s="32" t="n"/>
      <c r="C214" s="35" t="n"/>
      <c r="D214" s="35" t="n"/>
      <c r="E214" s="32" t="n"/>
      <c r="F214" s="38" t="n"/>
      <c r="G214" s="35" t="n"/>
      <c r="H214" s="37" t="n"/>
      <c r="I214" s="35" t="n"/>
      <c r="J214" s="32" t="n"/>
      <c r="K214" s="30">
        <f>IF(G214="","",IFERROR(INDEX(Config!$B$10:$B$14,MATCH(G214,Config!$A$10:$A$14,0)),0))</f>
        <v/>
      </c>
      <c r="L214" s="26">
        <f>IF(OR(G214="",F214=""),"",F214*K214)</f>
        <v/>
      </c>
      <c r="M214" s="29">
        <f>IF(OR(G214="",G214="Aprovado",G214="Recusado",G214="Sem retorno",A214=""),"",Config!$B$5-A214)</f>
        <v/>
      </c>
      <c r="N214" s="29">
        <f>IF(AND(OR(G214="Aprovado",G214="Recusado"),H214&lt;&gt;"",A214&lt;&gt;""),H214-A214,"")</f>
        <v/>
      </c>
      <c r="O214" s="25">
        <f>IF(G214="","",IF(OR(G214="Aprovado",G214="Recusado",G214="Sem retorno"),G214,IF(AND(M214&lt;&gt;"",M214&gt;Config!$B$7),"Parado","Ativo")))</f>
        <v/>
      </c>
      <c r="P214" s="39">
        <f>IF(A214="","",DATE(YEAR(A214),MONTH(A214),1))</f>
        <v/>
      </c>
      <c r="Q214" s="40">
        <f>IF(OR(G214="",O214="Aprovado",O214="Recusado",O214="Sem retorno"),0,IF(O214="Parado",2000,1000)+MIN(N(M214),500)+N(F214)/1000000-ROW()/100000)</f>
        <v>0</v>
      </c>
    </row>
    <row r="215">
      <c r="A215" s="37" t="n"/>
      <c r="B215" s="32" t="n"/>
      <c r="C215" s="35" t="n"/>
      <c r="D215" s="35" t="n"/>
      <c r="E215" s="32" t="n"/>
      <c r="F215" s="38" t="n"/>
      <c r="G215" s="35" t="n"/>
      <c r="H215" s="37" t="n"/>
      <c r="I215" s="35" t="n"/>
      <c r="J215" s="32" t="n"/>
      <c r="K215" s="30">
        <f>IF(G215="","",IFERROR(INDEX(Config!$B$10:$B$14,MATCH(G215,Config!$A$10:$A$14,0)),0))</f>
        <v/>
      </c>
      <c r="L215" s="26">
        <f>IF(OR(G215="",F215=""),"",F215*K215)</f>
        <v/>
      </c>
      <c r="M215" s="29">
        <f>IF(OR(G215="",G215="Aprovado",G215="Recusado",G215="Sem retorno",A215=""),"",Config!$B$5-A215)</f>
        <v/>
      </c>
      <c r="N215" s="29">
        <f>IF(AND(OR(G215="Aprovado",G215="Recusado"),H215&lt;&gt;"",A215&lt;&gt;""),H215-A215,"")</f>
        <v/>
      </c>
      <c r="O215" s="25">
        <f>IF(G215="","",IF(OR(G215="Aprovado",G215="Recusado",G215="Sem retorno"),G215,IF(AND(M215&lt;&gt;"",M215&gt;Config!$B$7),"Parado","Ativo")))</f>
        <v/>
      </c>
      <c r="P215" s="39">
        <f>IF(A215="","",DATE(YEAR(A215),MONTH(A215),1))</f>
        <v/>
      </c>
      <c r="Q215" s="40">
        <f>IF(OR(G215="",O215="Aprovado",O215="Recusado",O215="Sem retorno"),0,IF(O215="Parado",2000,1000)+MIN(N(M215),500)+N(F215)/1000000-ROW()/100000)</f>
        <v>0</v>
      </c>
    </row>
    <row r="216">
      <c r="A216" s="37" t="n"/>
      <c r="B216" s="32" t="n"/>
      <c r="C216" s="35" t="n"/>
      <c r="D216" s="35" t="n"/>
      <c r="E216" s="32" t="n"/>
      <c r="F216" s="38" t="n"/>
      <c r="G216" s="35" t="n"/>
      <c r="H216" s="37" t="n"/>
      <c r="I216" s="35" t="n"/>
      <c r="J216" s="32" t="n"/>
      <c r="K216" s="30">
        <f>IF(G216="","",IFERROR(INDEX(Config!$B$10:$B$14,MATCH(G216,Config!$A$10:$A$14,0)),0))</f>
        <v/>
      </c>
      <c r="L216" s="26">
        <f>IF(OR(G216="",F216=""),"",F216*K216)</f>
        <v/>
      </c>
      <c r="M216" s="29">
        <f>IF(OR(G216="",G216="Aprovado",G216="Recusado",G216="Sem retorno",A216=""),"",Config!$B$5-A216)</f>
        <v/>
      </c>
      <c r="N216" s="29">
        <f>IF(AND(OR(G216="Aprovado",G216="Recusado"),H216&lt;&gt;"",A216&lt;&gt;""),H216-A216,"")</f>
        <v/>
      </c>
      <c r="O216" s="25">
        <f>IF(G216="","",IF(OR(G216="Aprovado",G216="Recusado",G216="Sem retorno"),G216,IF(AND(M216&lt;&gt;"",M216&gt;Config!$B$7),"Parado","Ativo")))</f>
        <v/>
      </c>
      <c r="P216" s="39">
        <f>IF(A216="","",DATE(YEAR(A216),MONTH(A216),1))</f>
        <v/>
      </c>
      <c r="Q216" s="40">
        <f>IF(OR(G216="",O216="Aprovado",O216="Recusado",O216="Sem retorno"),0,IF(O216="Parado",2000,1000)+MIN(N(M216),500)+N(F216)/1000000-ROW()/100000)</f>
        <v>0</v>
      </c>
    </row>
    <row r="217">
      <c r="A217" s="37" t="n"/>
      <c r="B217" s="32" t="n"/>
      <c r="C217" s="35" t="n"/>
      <c r="D217" s="35" t="n"/>
      <c r="E217" s="32" t="n"/>
      <c r="F217" s="38" t="n"/>
      <c r="G217" s="35" t="n"/>
      <c r="H217" s="37" t="n"/>
      <c r="I217" s="35" t="n"/>
      <c r="J217" s="32" t="n"/>
      <c r="K217" s="30">
        <f>IF(G217="","",IFERROR(INDEX(Config!$B$10:$B$14,MATCH(G217,Config!$A$10:$A$14,0)),0))</f>
        <v/>
      </c>
      <c r="L217" s="26">
        <f>IF(OR(G217="",F217=""),"",F217*K217)</f>
        <v/>
      </c>
      <c r="M217" s="29">
        <f>IF(OR(G217="",G217="Aprovado",G217="Recusado",G217="Sem retorno",A217=""),"",Config!$B$5-A217)</f>
        <v/>
      </c>
      <c r="N217" s="29">
        <f>IF(AND(OR(G217="Aprovado",G217="Recusado"),H217&lt;&gt;"",A217&lt;&gt;""),H217-A217,"")</f>
        <v/>
      </c>
      <c r="O217" s="25">
        <f>IF(G217="","",IF(OR(G217="Aprovado",G217="Recusado",G217="Sem retorno"),G217,IF(AND(M217&lt;&gt;"",M217&gt;Config!$B$7),"Parado","Ativo")))</f>
        <v/>
      </c>
      <c r="P217" s="39">
        <f>IF(A217="","",DATE(YEAR(A217),MONTH(A217),1))</f>
        <v/>
      </c>
      <c r="Q217" s="40">
        <f>IF(OR(G217="",O217="Aprovado",O217="Recusado",O217="Sem retorno"),0,IF(O217="Parado",2000,1000)+MIN(N(M217),500)+N(F217)/1000000-ROW()/100000)</f>
        <v>0</v>
      </c>
    </row>
    <row r="218">
      <c r="A218" s="37" t="n"/>
      <c r="B218" s="32" t="n"/>
      <c r="C218" s="35" t="n"/>
      <c r="D218" s="35" t="n"/>
      <c r="E218" s="32" t="n"/>
      <c r="F218" s="38" t="n"/>
      <c r="G218" s="35" t="n"/>
      <c r="H218" s="37" t="n"/>
      <c r="I218" s="35" t="n"/>
      <c r="J218" s="32" t="n"/>
      <c r="K218" s="30">
        <f>IF(G218="","",IFERROR(INDEX(Config!$B$10:$B$14,MATCH(G218,Config!$A$10:$A$14,0)),0))</f>
        <v/>
      </c>
      <c r="L218" s="26">
        <f>IF(OR(G218="",F218=""),"",F218*K218)</f>
        <v/>
      </c>
      <c r="M218" s="29">
        <f>IF(OR(G218="",G218="Aprovado",G218="Recusado",G218="Sem retorno",A218=""),"",Config!$B$5-A218)</f>
        <v/>
      </c>
      <c r="N218" s="29">
        <f>IF(AND(OR(G218="Aprovado",G218="Recusado"),H218&lt;&gt;"",A218&lt;&gt;""),H218-A218,"")</f>
        <v/>
      </c>
      <c r="O218" s="25">
        <f>IF(G218="","",IF(OR(G218="Aprovado",G218="Recusado",G218="Sem retorno"),G218,IF(AND(M218&lt;&gt;"",M218&gt;Config!$B$7),"Parado","Ativo")))</f>
        <v/>
      </c>
      <c r="P218" s="39">
        <f>IF(A218="","",DATE(YEAR(A218),MONTH(A218),1))</f>
        <v/>
      </c>
      <c r="Q218" s="40">
        <f>IF(OR(G218="",O218="Aprovado",O218="Recusado",O218="Sem retorno"),0,IF(O218="Parado",2000,1000)+MIN(N(M218),500)+N(F218)/1000000-ROW()/100000)</f>
        <v>0</v>
      </c>
    </row>
    <row r="219">
      <c r="A219" s="37" t="n"/>
      <c r="B219" s="32" t="n"/>
      <c r="C219" s="35" t="n"/>
      <c r="D219" s="35" t="n"/>
      <c r="E219" s="32" t="n"/>
      <c r="F219" s="38" t="n"/>
      <c r="G219" s="35" t="n"/>
      <c r="H219" s="37" t="n"/>
      <c r="I219" s="35" t="n"/>
      <c r="J219" s="32" t="n"/>
      <c r="K219" s="30">
        <f>IF(G219="","",IFERROR(INDEX(Config!$B$10:$B$14,MATCH(G219,Config!$A$10:$A$14,0)),0))</f>
        <v/>
      </c>
      <c r="L219" s="26">
        <f>IF(OR(G219="",F219=""),"",F219*K219)</f>
        <v/>
      </c>
      <c r="M219" s="29">
        <f>IF(OR(G219="",G219="Aprovado",G219="Recusado",G219="Sem retorno",A219=""),"",Config!$B$5-A219)</f>
        <v/>
      </c>
      <c r="N219" s="29">
        <f>IF(AND(OR(G219="Aprovado",G219="Recusado"),H219&lt;&gt;"",A219&lt;&gt;""),H219-A219,"")</f>
        <v/>
      </c>
      <c r="O219" s="25">
        <f>IF(G219="","",IF(OR(G219="Aprovado",G219="Recusado",G219="Sem retorno"),G219,IF(AND(M219&lt;&gt;"",M219&gt;Config!$B$7),"Parado","Ativo")))</f>
        <v/>
      </c>
      <c r="P219" s="39">
        <f>IF(A219="","",DATE(YEAR(A219),MONTH(A219),1))</f>
        <v/>
      </c>
      <c r="Q219" s="40">
        <f>IF(OR(G219="",O219="Aprovado",O219="Recusado",O219="Sem retorno"),0,IF(O219="Parado",2000,1000)+MIN(N(M219),500)+N(F219)/1000000-ROW()/100000)</f>
        <v>0</v>
      </c>
    </row>
    <row r="220">
      <c r="A220" s="37" t="n"/>
      <c r="B220" s="32" t="n"/>
      <c r="C220" s="35" t="n"/>
      <c r="D220" s="35" t="n"/>
      <c r="E220" s="32" t="n"/>
      <c r="F220" s="38" t="n"/>
      <c r="G220" s="35" t="n"/>
      <c r="H220" s="37" t="n"/>
      <c r="I220" s="35" t="n"/>
      <c r="J220" s="32" t="n"/>
      <c r="K220" s="30">
        <f>IF(G220="","",IFERROR(INDEX(Config!$B$10:$B$14,MATCH(G220,Config!$A$10:$A$14,0)),0))</f>
        <v/>
      </c>
      <c r="L220" s="26">
        <f>IF(OR(G220="",F220=""),"",F220*K220)</f>
        <v/>
      </c>
      <c r="M220" s="29">
        <f>IF(OR(G220="",G220="Aprovado",G220="Recusado",G220="Sem retorno",A220=""),"",Config!$B$5-A220)</f>
        <v/>
      </c>
      <c r="N220" s="29">
        <f>IF(AND(OR(G220="Aprovado",G220="Recusado"),H220&lt;&gt;"",A220&lt;&gt;""),H220-A220,"")</f>
        <v/>
      </c>
      <c r="O220" s="25">
        <f>IF(G220="","",IF(OR(G220="Aprovado",G220="Recusado",G220="Sem retorno"),G220,IF(AND(M220&lt;&gt;"",M220&gt;Config!$B$7),"Parado","Ativo")))</f>
        <v/>
      </c>
      <c r="P220" s="39">
        <f>IF(A220="","",DATE(YEAR(A220),MONTH(A220),1))</f>
        <v/>
      </c>
      <c r="Q220" s="40">
        <f>IF(OR(G220="",O220="Aprovado",O220="Recusado",O220="Sem retorno"),0,IF(O220="Parado",2000,1000)+MIN(N(M220),500)+N(F220)/1000000-ROW()/100000)</f>
        <v>0</v>
      </c>
    </row>
    <row r="221">
      <c r="A221" s="37" t="n"/>
      <c r="B221" s="32" t="n"/>
      <c r="C221" s="35" t="n"/>
      <c r="D221" s="35" t="n"/>
      <c r="E221" s="32" t="n"/>
      <c r="F221" s="38" t="n"/>
      <c r="G221" s="35" t="n"/>
      <c r="H221" s="37" t="n"/>
      <c r="I221" s="35" t="n"/>
      <c r="J221" s="32" t="n"/>
      <c r="K221" s="30">
        <f>IF(G221="","",IFERROR(INDEX(Config!$B$10:$B$14,MATCH(G221,Config!$A$10:$A$14,0)),0))</f>
        <v/>
      </c>
      <c r="L221" s="26">
        <f>IF(OR(G221="",F221=""),"",F221*K221)</f>
        <v/>
      </c>
      <c r="M221" s="29">
        <f>IF(OR(G221="",G221="Aprovado",G221="Recusado",G221="Sem retorno",A221=""),"",Config!$B$5-A221)</f>
        <v/>
      </c>
      <c r="N221" s="29">
        <f>IF(AND(OR(G221="Aprovado",G221="Recusado"),H221&lt;&gt;"",A221&lt;&gt;""),H221-A221,"")</f>
        <v/>
      </c>
      <c r="O221" s="25">
        <f>IF(G221="","",IF(OR(G221="Aprovado",G221="Recusado",G221="Sem retorno"),G221,IF(AND(M221&lt;&gt;"",M221&gt;Config!$B$7),"Parado","Ativo")))</f>
        <v/>
      </c>
      <c r="P221" s="39">
        <f>IF(A221="","",DATE(YEAR(A221),MONTH(A221),1))</f>
        <v/>
      </c>
      <c r="Q221" s="40">
        <f>IF(OR(G221="",O221="Aprovado",O221="Recusado",O221="Sem retorno"),0,IF(O221="Parado",2000,1000)+MIN(N(M221),500)+N(F221)/1000000-ROW()/100000)</f>
        <v>0</v>
      </c>
    </row>
    <row r="222">
      <c r="A222" s="37" t="n"/>
      <c r="B222" s="32" t="n"/>
      <c r="C222" s="35" t="n"/>
      <c r="D222" s="35" t="n"/>
      <c r="E222" s="32" t="n"/>
      <c r="F222" s="38" t="n"/>
      <c r="G222" s="35" t="n"/>
      <c r="H222" s="37" t="n"/>
      <c r="I222" s="35" t="n"/>
      <c r="J222" s="32" t="n"/>
      <c r="K222" s="30">
        <f>IF(G222="","",IFERROR(INDEX(Config!$B$10:$B$14,MATCH(G222,Config!$A$10:$A$14,0)),0))</f>
        <v/>
      </c>
      <c r="L222" s="26">
        <f>IF(OR(G222="",F222=""),"",F222*K222)</f>
        <v/>
      </c>
      <c r="M222" s="29">
        <f>IF(OR(G222="",G222="Aprovado",G222="Recusado",G222="Sem retorno",A222=""),"",Config!$B$5-A222)</f>
        <v/>
      </c>
      <c r="N222" s="29">
        <f>IF(AND(OR(G222="Aprovado",G222="Recusado"),H222&lt;&gt;"",A222&lt;&gt;""),H222-A222,"")</f>
        <v/>
      </c>
      <c r="O222" s="25">
        <f>IF(G222="","",IF(OR(G222="Aprovado",G222="Recusado",G222="Sem retorno"),G222,IF(AND(M222&lt;&gt;"",M222&gt;Config!$B$7),"Parado","Ativo")))</f>
        <v/>
      </c>
      <c r="P222" s="39">
        <f>IF(A222="","",DATE(YEAR(A222),MONTH(A222),1))</f>
        <v/>
      </c>
      <c r="Q222" s="40">
        <f>IF(OR(G222="",O222="Aprovado",O222="Recusado",O222="Sem retorno"),0,IF(O222="Parado",2000,1000)+MIN(N(M222),500)+N(F222)/1000000-ROW()/100000)</f>
        <v>0</v>
      </c>
    </row>
    <row r="223">
      <c r="A223" s="37" t="n"/>
      <c r="B223" s="32" t="n"/>
      <c r="C223" s="35" t="n"/>
      <c r="D223" s="35" t="n"/>
      <c r="E223" s="32" t="n"/>
      <c r="F223" s="38" t="n"/>
      <c r="G223" s="35" t="n"/>
      <c r="H223" s="37" t="n"/>
      <c r="I223" s="35" t="n"/>
      <c r="J223" s="32" t="n"/>
      <c r="K223" s="30">
        <f>IF(G223="","",IFERROR(INDEX(Config!$B$10:$B$14,MATCH(G223,Config!$A$10:$A$14,0)),0))</f>
        <v/>
      </c>
      <c r="L223" s="26">
        <f>IF(OR(G223="",F223=""),"",F223*K223)</f>
        <v/>
      </c>
      <c r="M223" s="29">
        <f>IF(OR(G223="",G223="Aprovado",G223="Recusado",G223="Sem retorno",A223=""),"",Config!$B$5-A223)</f>
        <v/>
      </c>
      <c r="N223" s="29">
        <f>IF(AND(OR(G223="Aprovado",G223="Recusado"),H223&lt;&gt;"",A223&lt;&gt;""),H223-A223,"")</f>
        <v/>
      </c>
      <c r="O223" s="25">
        <f>IF(G223="","",IF(OR(G223="Aprovado",G223="Recusado",G223="Sem retorno"),G223,IF(AND(M223&lt;&gt;"",M223&gt;Config!$B$7),"Parado","Ativo")))</f>
        <v/>
      </c>
      <c r="P223" s="39">
        <f>IF(A223="","",DATE(YEAR(A223),MONTH(A223),1))</f>
        <v/>
      </c>
      <c r="Q223" s="40">
        <f>IF(OR(G223="",O223="Aprovado",O223="Recusado",O223="Sem retorno"),0,IF(O223="Parado",2000,1000)+MIN(N(M223),500)+N(F223)/1000000-ROW()/100000)</f>
        <v>0</v>
      </c>
    </row>
    <row r="224">
      <c r="A224" s="37" t="n"/>
      <c r="B224" s="32" t="n"/>
      <c r="C224" s="35" t="n"/>
      <c r="D224" s="35" t="n"/>
      <c r="E224" s="32" t="n"/>
      <c r="F224" s="38" t="n"/>
      <c r="G224" s="35" t="n"/>
      <c r="H224" s="37" t="n"/>
      <c r="I224" s="35" t="n"/>
      <c r="J224" s="32" t="n"/>
      <c r="K224" s="30">
        <f>IF(G224="","",IFERROR(INDEX(Config!$B$10:$B$14,MATCH(G224,Config!$A$10:$A$14,0)),0))</f>
        <v/>
      </c>
      <c r="L224" s="26">
        <f>IF(OR(G224="",F224=""),"",F224*K224)</f>
        <v/>
      </c>
      <c r="M224" s="29">
        <f>IF(OR(G224="",G224="Aprovado",G224="Recusado",G224="Sem retorno",A224=""),"",Config!$B$5-A224)</f>
        <v/>
      </c>
      <c r="N224" s="29">
        <f>IF(AND(OR(G224="Aprovado",G224="Recusado"),H224&lt;&gt;"",A224&lt;&gt;""),H224-A224,"")</f>
        <v/>
      </c>
      <c r="O224" s="25">
        <f>IF(G224="","",IF(OR(G224="Aprovado",G224="Recusado",G224="Sem retorno"),G224,IF(AND(M224&lt;&gt;"",M224&gt;Config!$B$7),"Parado","Ativo")))</f>
        <v/>
      </c>
      <c r="P224" s="39">
        <f>IF(A224="","",DATE(YEAR(A224),MONTH(A224),1))</f>
        <v/>
      </c>
      <c r="Q224" s="40">
        <f>IF(OR(G224="",O224="Aprovado",O224="Recusado",O224="Sem retorno"),0,IF(O224="Parado",2000,1000)+MIN(N(M224),500)+N(F224)/1000000-ROW()/100000)</f>
        <v>0</v>
      </c>
    </row>
    <row r="225">
      <c r="A225" s="37" t="n"/>
      <c r="B225" s="32" t="n"/>
      <c r="C225" s="35" t="n"/>
      <c r="D225" s="35" t="n"/>
      <c r="E225" s="32" t="n"/>
      <c r="F225" s="38" t="n"/>
      <c r="G225" s="35" t="n"/>
      <c r="H225" s="37" t="n"/>
      <c r="I225" s="35" t="n"/>
      <c r="J225" s="32" t="n"/>
      <c r="K225" s="30">
        <f>IF(G225="","",IFERROR(INDEX(Config!$B$10:$B$14,MATCH(G225,Config!$A$10:$A$14,0)),0))</f>
        <v/>
      </c>
      <c r="L225" s="26">
        <f>IF(OR(G225="",F225=""),"",F225*K225)</f>
        <v/>
      </c>
      <c r="M225" s="29">
        <f>IF(OR(G225="",G225="Aprovado",G225="Recusado",G225="Sem retorno",A225=""),"",Config!$B$5-A225)</f>
        <v/>
      </c>
      <c r="N225" s="29">
        <f>IF(AND(OR(G225="Aprovado",G225="Recusado"),H225&lt;&gt;"",A225&lt;&gt;""),H225-A225,"")</f>
        <v/>
      </c>
      <c r="O225" s="25">
        <f>IF(G225="","",IF(OR(G225="Aprovado",G225="Recusado",G225="Sem retorno"),G225,IF(AND(M225&lt;&gt;"",M225&gt;Config!$B$7),"Parado","Ativo")))</f>
        <v/>
      </c>
      <c r="P225" s="39">
        <f>IF(A225="","",DATE(YEAR(A225),MONTH(A225),1))</f>
        <v/>
      </c>
      <c r="Q225" s="40">
        <f>IF(OR(G225="",O225="Aprovado",O225="Recusado",O225="Sem retorno"),0,IF(O225="Parado",2000,1000)+MIN(N(M225),500)+N(F225)/1000000-ROW()/100000)</f>
        <v>0</v>
      </c>
    </row>
    <row r="226">
      <c r="A226" s="37" t="n"/>
      <c r="B226" s="32" t="n"/>
      <c r="C226" s="35" t="n"/>
      <c r="D226" s="35" t="n"/>
      <c r="E226" s="32" t="n"/>
      <c r="F226" s="38" t="n"/>
      <c r="G226" s="35" t="n"/>
      <c r="H226" s="37" t="n"/>
      <c r="I226" s="35" t="n"/>
      <c r="J226" s="32" t="n"/>
      <c r="K226" s="30">
        <f>IF(G226="","",IFERROR(INDEX(Config!$B$10:$B$14,MATCH(G226,Config!$A$10:$A$14,0)),0))</f>
        <v/>
      </c>
      <c r="L226" s="26">
        <f>IF(OR(G226="",F226=""),"",F226*K226)</f>
        <v/>
      </c>
      <c r="M226" s="29">
        <f>IF(OR(G226="",G226="Aprovado",G226="Recusado",G226="Sem retorno",A226=""),"",Config!$B$5-A226)</f>
        <v/>
      </c>
      <c r="N226" s="29">
        <f>IF(AND(OR(G226="Aprovado",G226="Recusado"),H226&lt;&gt;"",A226&lt;&gt;""),H226-A226,"")</f>
        <v/>
      </c>
      <c r="O226" s="25">
        <f>IF(G226="","",IF(OR(G226="Aprovado",G226="Recusado",G226="Sem retorno"),G226,IF(AND(M226&lt;&gt;"",M226&gt;Config!$B$7),"Parado","Ativo")))</f>
        <v/>
      </c>
      <c r="P226" s="39">
        <f>IF(A226="","",DATE(YEAR(A226),MONTH(A226),1))</f>
        <v/>
      </c>
      <c r="Q226" s="40">
        <f>IF(OR(G226="",O226="Aprovado",O226="Recusado",O226="Sem retorno"),0,IF(O226="Parado",2000,1000)+MIN(N(M226),500)+N(F226)/1000000-ROW()/100000)</f>
        <v>0</v>
      </c>
    </row>
    <row r="227">
      <c r="A227" s="37" t="n"/>
      <c r="B227" s="32" t="n"/>
      <c r="C227" s="35" t="n"/>
      <c r="D227" s="35" t="n"/>
      <c r="E227" s="32" t="n"/>
      <c r="F227" s="38" t="n"/>
      <c r="G227" s="35" t="n"/>
      <c r="H227" s="37" t="n"/>
      <c r="I227" s="35" t="n"/>
      <c r="J227" s="32" t="n"/>
      <c r="K227" s="30">
        <f>IF(G227="","",IFERROR(INDEX(Config!$B$10:$B$14,MATCH(G227,Config!$A$10:$A$14,0)),0))</f>
        <v/>
      </c>
      <c r="L227" s="26">
        <f>IF(OR(G227="",F227=""),"",F227*K227)</f>
        <v/>
      </c>
      <c r="M227" s="29">
        <f>IF(OR(G227="",G227="Aprovado",G227="Recusado",G227="Sem retorno",A227=""),"",Config!$B$5-A227)</f>
        <v/>
      </c>
      <c r="N227" s="29">
        <f>IF(AND(OR(G227="Aprovado",G227="Recusado"),H227&lt;&gt;"",A227&lt;&gt;""),H227-A227,"")</f>
        <v/>
      </c>
      <c r="O227" s="25">
        <f>IF(G227="","",IF(OR(G227="Aprovado",G227="Recusado",G227="Sem retorno"),G227,IF(AND(M227&lt;&gt;"",M227&gt;Config!$B$7),"Parado","Ativo")))</f>
        <v/>
      </c>
      <c r="P227" s="39">
        <f>IF(A227="","",DATE(YEAR(A227),MONTH(A227),1))</f>
        <v/>
      </c>
      <c r="Q227" s="40">
        <f>IF(OR(G227="",O227="Aprovado",O227="Recusado",O227="Sem retorno"),0,IF(O227="Parado",2000,1000)+MIN(N(M227),500)+N(F227)/1000000-ROW()/100000)</f>
        <v>0</v>
      </c>
    </row>
    <row r="228">
      <c r="A228" s="37" t="n"/>
      <c r="B228" s="32" t="n"/>
      <c r="C228" s="35" t="n"/>
      <c r="D228" s="35" t="n"/>
      <c r="E228" s="32" t="n"/>
      <c r="F228" s="38" t="n"/>
      <c r="G228" s="35" t="n"/>
      <c r="H228" s="37" t="n"/>
      <c r="I228" s="35" t="n"/>
      <c r="J228" s="32" t="n"/>
      <c r="K228" s="30">
        <f>IF(G228="","",IFERROR(INDEX(Config!$B$10:$B$14,MATCH(G228,Config!$A$10:$A$14,0)),0))</f>
        <v/>
      </c>
      <c r="L228" s="26">
        <f>IF(OR(G228="",F228=""),"",F228*K228)</f>
        <v/>
      </c>
      <c r="M228" s="29">
        <f>IF(OR(G228="",G228="Aprovado",G228="Recusado",G228="Sem retorno",A228=""),"",Config!$B$5-A228)</f>
        <v/>
      </c>
      <c r="N228" s="29">
        <f>IF(AND(OR(G228="Aprovado",G228="Recusado"),H228&lt;&gt;"",A228&lt;&gt;""),H228-A228,"")</f>
        <v/>
      </c>
      <c r="O228" s="25">
        <f>IF(G228="","",IF(OR(G228="Aprovado",G228="Recusado",G228="Sem retorno"),G228,IF(AND(M228&lt;&gt;"",M228&gt;Config!$B$7),"Parado","Ativo")))</f>
        <v/>
      </c>
      <c r="P228" s="39">
        <f>IF(A228="","",DATE(YEAR(A228),MONTH(A228),1))</f>
        <v/>
      </c>
      <c r="Q228" s="40">
        <f>IF(OR(G228="",O228="Aprovado",O228="Recusado",O228="Sem retorno"),0,IF(O228="Parado",2000,1000)+MIN(N(M228),500)+N(F228)/1000000-ROW()/100000)</f>
        <v>0</v>
      </c>
    </row>
    <row r="229">
      <c r="A229" s="37" t="n"/>
      <c r="B229" s="32" t="n"/>
      <c r="C229" s="35" t="n"/>
      <c r="D229" s="35" t="n"/>
      <c r="E229" s="32" t="n"/>
      <c r="F229" s="38" t="n"/>
      <c r="G229" s="35" t="n"/>
      <c r="H229" s="37" t="n"/>
      <c r="I229" s="35" t="n"/>
      <c r="J229" s="32" t="n"/>
      <c r="K229" s="30">
        <f>IF(G229="","",IFERROR(INDEX(Config!$B$10:$B$14,MATCH(G229,Config!$A$10:$A$14,0)),0))</f>
        <v/>
      </c>
      <c r="L229" s="26">
        <f>IF(OR(G229="",F229=""),"",F229*K229)</f>
        <v/>
      </c>
      <c r="M229" s="29">
        <f>IF(OR(G229="",G229="Aprovado",G229="Recusado",G229="Sem retorno",A229=""),"",Config!$B$5-A229)</f>
        <v/>
      </c>
      <c r="N229" s="29">
        <f>IF(AND(OR(G229="Aprovado",G229="Recusado"),H229&lt;&gt;"",A229&lt;&gt;""),H229-A229,"")</f>
        <v/>
      </c>
      <c r="O229" s="25">
        <f>IF(G229="","",IF(OR(G229="Aprovado",G229="Recusado",G229="Sem retorno"),G229,IF(AND(M229&lt;&gt;"",M229&gt;Config!$B$7),"Parado","Ativo")))</f>
        <v/>
      </c>
      <c r="P229" s="39">
        <f>IF(A229="","",DATE(YEAR(A229),MONTH(A229),1))</f>
        <v/>
      </c>
      <c r="Q229" s="40">
        <f>IF(OR(G229="",O229="Aprovado",O229="Recusado",O229="Sem retorno"),0,IF(O229="Parado",2000,1000)+MIN(N(M229),500)+N(F229)/1000000-ROW()/100000)</f>
        <v>0</v>
      </c>
    </row>
    <row r="230">
      <c r="A230" s="37" t="n"/>
      <c r="B230" s="32" t="n"/>
      <c r="C230" s="35" t="n"/>
      <c r="D230" s="35" t="n"/>
      <c r="E230" s="32" t="n"/>
      <c r="F230" s="38" t="n"/>
      <c r="G230" s="35" t="n"/>
      <c r="H230" s="37" t="n"/>
      <c r="I230" s="35" t="n"/>
      <c r="J230" s="32" t="n"/>
      <c r="K230" s="30">
        <f>IF(G230="","",IFERROR(INDEX(Config!$B$10:$B$14,MATCH(G230,Config!$A$10:$A$14,0)),0))</f>
        <v/>
      </c>
      <c r="L230" s="26">
        <f>IF(OR(G230="",F230=""),"",F230*K230)</f>
        <v/>
      </c>
      <c r="M230" s="29">
        <f>IF(OR(G230="",G230="Aprovado",G230="Recusado",G230="Sem retorno",A230=""),"",Config!$B$5-A230)</f>
        <v/>
      </c>
      <c r="N230" s="29">
        <f>IF(AND(OR(G230="Aprovado",G230="Recusado"),H230&lt;&gt;"",A230&lt;&gt;""),H230-A230,"")</f>
        <v/>
      </c>
      <c r="O230" s="25">
        <f>IF(G230="","",IF(OR(G230="Aprovado",G230="Recusado",G230="Sem retorno"),G230,IF(AND(M230&lt;&gt;"",M230&gt;Config!$B$7),"Parado","Ativo")))</f>
        <v/>
      </c>
      <c r="P230" s="39">
        <f>IF(A230="","",DATE(YEAR(A230),MONTH(A230),1))</f>
        <v/>
      </c>
      <c r="Q230" s="40">
        <f>IF(OR(G230="",O230="Aprovado",O230="Recusado",O230="Sem retorno"),0,IF(O230="Parado",2000,1000)+MIN(N(M230),500)+N(F230)/1000000-ROW()/100000)</f>
        <v>0</v>
      </c>
    </row>
    <row r="231">
      <c r="A231" s="37" t="n"/>
      <c r="B231" s="32" t="n"/>
      <c r="C231" s="35" t="n"/>
      <c r="D231" s="35" t="n"/>
      <c r="E231" s="32" t="n"/>
      <c r="F231" s="38" t="n"/>
      <c r="G231" s="35" t="n"/>
      <c r="H231" s="37" t="n"/>
      <c r="I231" s="35" t="n"/>
      <c r="J231" s="32" t="n"/>
      <c r="K231" s="30">
        <f>IF(G231="","",IFERROR(INDEX(Config!$B$10:$B$14,MATCH(G231,Config!$A$10:$A$14,0)),0))</f>
        <v/>
      </c>
      <c r="L231" s="26">
        <f>IF(OR(G231="",F231=""),"",F231*K231)</f>
        <v/>
      </c>
      <c r="M231" s="29">
        <f>IF(OR(G231="",G231="Aprovado",G231="Recusado",G231="Sem retorno",A231=""),"",Config!$B$5-A231)</f>
        <v/>
      </c>
      <c r="N231" s="29">
        <f>IF(AND(OR(G231="Aprovado",G231="Recusado"),H231&lt;&gt;"",A231&lt;&gt;""),H231-A231,"")</f>
        <v/>
      </c>
      <c r="O231" s="25">
        <f>IF(G231="","",IF(OR(G231="Aprovado",G231="Recusado",G231="Sem retorno"),G231,IF(AND(M231&lt;&gt;"",M231&gt;Config!$B$7),"Parado","Ativo")))</f>
        <v/>
      </c>
      <c r="P231" s="39">
        <f>IF(A231="","",DATE(YEAR(A231),MONTH(A231),1))</f>
        <v/>
      </c>
      <c r="Q231" s="40">
        <f>IF(OR(G231="",O231="Aprovado",O231="Recusado",O231="Sem retorno"),0,IF(O231="Parado",2000,1000)+MIN(N(M231),500)+N(F231)/1000000-ROW()/100000)</f>
        <v>0</v>
      </c>
    </row>
    <row r="232">
      <c r="A232" s="37" t="n"/>
      <c r="B232" s="32" t="n"/>
      <c r="C232" s="35" t="n"/>
      <c r="D232" s="35" t="n"/>
      <c r="E232" s="32" t="n"/>
      <c r="F232" s="38" t="n"/>
      <c r="G232" s="35" t="n"/>
      <c r="H232" s="37" t="n"/>
      <c r="I232" s="35" t="n"/>
      <c r="J232" s="32" t="n"/>
      <c r="K232" s="30">
        <f>IF(G232="","",IFERROR(INDEX(Config!$B$10:$B$14,MATCH(G232,Config!$A$10:$A$14,0)),0))</f>
        <v/>
      </c>
      <c r="L232" s="26">
        <f>IF(OR(G232="",F232=""),"",F232*K232)</f>
        <v/>
      </c>
      <c r="M232" s="29">
        <f>IF(OR(G232="",G232="Aprovado",G232="Recusado",G232="Sem retorno",A232=""),"",Config!$B$5-A232)</f>
        <v/>
      </c>
      <c r="N232" s="29">
        <f>IF(AND(OR(G232="Aprovado",G232="Recusado"),H232&lt;&gt;"",A232&lt;&gt;""),H232-A232,"")</f>
        <v/>
      </c>
      <c r="O232" s="25">
        <f>IF(G232="","",IF(OR(G232="Aprovado",G232="Recusado",G232="Sem retorno"),G232,IF(AND(M232&lt;&gt;"",M232&gt;Config!$B$7),"Parado","Ativo")))</f>
        <v/>
      </c>
      <c r="P232" s="39">
        <f>IF(A232="","",DATE(YEAR(A232),MONTH(A232),1))</f>
        <v/>
      </c>
      <c r="Q232" s="40">
        <f>IF(OR(G232="",O232="Aprovado",O232="Recusado",O232="Sem retorno"),0,IF(O232="Parado",2000,1000)+MIN(N(M232),500)+N(F232)/1000000-ROW()/100000)</f>
        <v>0</v>
      </c>
    </row>
    <row r="233">
      <c r="A233" s="37" t="n"/>
      <c r="B233" s="32" t="n"/>
      <c r="C233" s="35" t="n"/>
      <c r="D233" s="35" t="n"/>
      <c r="E233" s="32" t="n"/>
      <c r="F233" s="38" t="n"/>
      <c r="G233" s="35" t="n"/>
      <c r="H233" s="37" t="n"/>
      <c r="I233" s="35" t="n"/>
      <c r="J233" s="32" t="n"/>
      <c r="K233" s="30">
        <f>IF(G233="","",IFERROR(INDEX(Config!$B$10:$B$14,MATCH(G233,Config!$A$10:$A$14,0)),0))</f>
        <v/>
      </c>
      <c r="L233" s="26">
        <f>IF(OR(G233="",F233=""),"",F233*K233)</f>
        <v/>
      </c>
      <c r="M233" s="29">
        <f>IF(OR(G233="",G233="Aprovado",G233="Recusado",G233="Sem retorno",A233=""),"",Config!$B$5-A233)</f>
        <v/>
      </c>
      <c r="N233" s="29">
        <f>IF(AND(OR(G233="Aprovado",G233="Recusado"),H233&lt;&gt;"",A233&lt;&gt;""),H233-A233,"")</f>
        <v/>
      </c>
      <c r="O233" s="25">
        <f>IF(G233="","",IF(OR(G233="Aprovado",G233="Recusado",G233="Sem retorno"),G233,IF(AND(M233&lt;&gt;"",M233&gt;Config!$B$7),"Parado","Ativo")))</f>
        <v/>
      </c>
      <c r="P233" s="39">
        <f>IF(A233="","",DATE(YEAR(A233),MONTH(A233),1))</f>
        <v/>
      </c>
      <c r="Q233" s="40">
        <f>IF(OR(G233="",O233="Aprovado",O233="Recusado",O233="Sem retorno"),0,IF(O233="Parado",2000,1000)+MIN(N(M233),500)+N(F233)/1000000-ROW()/100000)</f>
        <v>0</v>
      </c>
    </row>
    <row r="234">
      <c r="A234" s="37" t="n"/>
      <c r="B234" s="32" t="n"/>
      <c r="C234" s="35" t="n"/>
      <c r="D234" s="35" t="n"/>
      <c r="E234" s="32" t="n"/>
      <c r="F234" s="38" t="n"/>
      <c r="G234" s="35" t="n"/>
      <c r="H234" s="37" t="n"/>
      <c r="I234" s="35" t="n"/>
      <c r="J234" s="32" t="n"/>
      <c r="K234" s="30">
        <f>IF(G234="","",IFERROR(INDEX(Config!$B$10:$B$14,MATCH(G234,Config!$A$10:$A$14,0)),0))</f>
        <v/>
      </c>
      <c r="L234" s="26">
        <f>IF(OR(G234="",F234=""),"",F234*K234)</f>
        <v/>
      </c>
      <c r="M234" s="29">
        <f>IF(OR(G234="",G234="Aprovado",G234="Recusado",G234="Sem retorno",A234=""),"",Config!$B$5-A234)</f>
        <v/>
      </c>
      <c r="N234" s="29">
        <f>IF(AND(OR(G234="Aprovado",G234="Recusado"),H234&lt;&gt;"",A234&lt;&gt;""),H234-A234,"")</f>
        <v/>
      </c>
      <c r="O234" s="25">
        <f>IF(G234="","",IF(OR(G234="Aprovado",G234="Recusado",G234="Sem retorno"),G234,IF(AND(M234&lt;&gt;"",M234&gt;Config!$B$7),"Parado","Ativo")))</f>
        <v/>
      </c>
      <c r="P234" s="39">
        <f>IF(A234="","",DATE(YEAR(A234),MONTH(A234),1))</f>
        <v/>
      </c>
      <c r="Q234" s="40">
        <f>IF(OR(G234="",O234="Aprovado",O234="Recusado",O234="Sem retorno"),0,IF(O234="Parado",2000,1000)+MIN(N(M234),500)+N(F234)/1000000-ROW()/100000)</f>
        <v>0</v>
      </c>
    </row>
    <row r="235">
      <c r="A235" s="37" t="n"/>
      <c r="B235" s="32" t="n"/>
      <c r="C235" s="35" t="n"/>
      <c r="D235" s="35" t="n"/>
      <c r="E235" s="32" t="n"/>
      <c r="F235" s="38" t="n"/>
      <c r="G235" s="35" t="n"/>
      <c r="H235" s="37" t="n"/>
      <c r="I235" s="35" t="n"/>
      <c r="J235" s="32" t="n"/>
      <c r="K235" s="30">
        <f>IF(G235="","",IFERROR(INDEX(Config!$B$10:$B$14,MATCH(G235,Config!$A$10:$A$14,0)),0))</f>
        <v/>
      </c>
      <c r="L235" s="26">
        <f>IF(OR(G235="",F235=""),"",F235*K235)</f>
        <v/>
      </c>
      <c r="M235" s="29">
        <f>IF(OR(G235="",G235="Aprovado",G235="Recusado",G235="Sem retorno",A235=""),"",Config!$B$5-A235)</f>
        <v/>
      </c>
      <c r="N235" s="29">
        <f>IF(AND(OR(G235="Aprovado",G235="Recusado"),H235&lt;&gt;"",A235&lt;&gt;""),H235-A235,"")</f>
        <v/>
      </c>
      <c r="O235" s="25">
        <f>IF(G235="","",IF(OR(G235="Aprovado",G235="Recusado",G235="Sem retorno"),G235,IF(AND(M235&lt;&gt;"",M235&gt;Config!$B$7),"Parado","Ativo")))</f>
        <v/>
      </c>
      <c r="P235" s="39">
        <f>IF(A235="","",DATE(YEAR(A235),MONTH(A235),1))</f>
        <v/>
      </c>
      <c r="Q235" s="40">
        <f>IF(OR(G235="",O235="Aprovado",O235="Recusado",O235="Sem retorno"),0,IF(O235="Parado",2000,1000)+MIN(N(M235),500)+N(F235)/1000000-ROW()/100000)</f>
        <v>0</v>
      </c>
    </row>
    <row r="236">
      <c r="A236" s="37" t="n"/>
      <c r="B236" s="32" t="n"/>
      <c r="C236" s="35" t="n"/>
      <c r="D236" s="35" t="n"/>
      <c r="E236" s="32" t="n"/>
      <c r="F236" s="38" t="n"/>
      <c r="G236" s="35" t="n"/>
      <c r="H236" s="37" t="n"/>
      <c r="I236" s="35" t="n"/>
      <c r="J236" s="32" t="n"/>
      <c r="K236" s="30">
        <f>IF(G236="","",IFERROR(INDEX(Config!$B$10:$B$14,MATCH(G236,Config!$A$10:$A$14,0)),0))</f>
        <v/>
      </c>
      <c r="L236" s="26">
        <f>IF(OR(G236="",F236=""),"",F236*K236)</f>
        <v/>
      </c>
      <c r="M236" s="29">
        <f>IF(OR(G236="",G236="Aprovado",G236="Recusado",G236="Sem retorno",A236=""),"",Config!$B$5-A236)</f>
        <v/>
      </c>
      <c r="N236" s="29">
        <f>IF(AND(OR(G236="Aprovado",G236="Recusado"),H236&lt;&gt;"",A236&lt;&gt;""),H236-A236,"")</f>
        <v/>
      </c>
      <c r="O236" s="25">
        <f>IF(G236="","",IF(OR(G236="Aprovado",G236="Recusado",G236="Sem retorno"),G236,IF(AND(M236&lt;&gt;"",M236&gt;Config!$B$7),"Parado","Ativo")))</f>
        <v/>
      </c>
      <c r="P236" s="39">
        <f>IF(A236="","",DATE(YEAR(A236),MONTH(A236),1))</f>
        <v/>
      </c>
      <c r="Q236" s="40">
        <f>IF(OR(G236="",O236="Aprovado",O236="Recusado",O236="Sem retorno"),0,IF(O236="Parado",2000,1000)+MIN(N(M236),500)+N(F236)/1000000-ROW()/100000)</f>
        <v>0</v>
      </c>
    </row>
    <row r="237">
      <c r="A237" s="37" t="n"/>
      <c r="B237" s="32" t="n"/>
      <c r="C237" s="35" t="n"/>
      <c r="D237" s="35" t="n"/>
      <c r="E237" s="32" t="n"/>
      <c r="F237" s="38" t="n"/>
      <c r="G237" s="35" t="n"/>
      <c r="H237" s="37" t="n"/>
      <c r="I237" s="35" t="n"/>
      <c r="J237" s="32" t="n"/>
      <c r="K237" s="30">
        <f>IF(G237="","",IFERROR(INDEX(Config!$B$10:$B$14,MATCH(G237,Config!$A$10:$A$14,0)),0))</f>
        <v/>
      </c>
      <c r="L237" s="26">
        <f>IF(OR(G237="",F237=""),"",F237*K237)</f>
        <v/>
      </c>
      <c r="M237" s="29">
        <f>IF(OR(G237="",G237="Aprovado",G237="Recusado",G237="Sem retorno",A237=""),"",Config!$B$5-A237)</f>
        <v/>
      </c>
      <c r="N237" s="29">
        <f>IF(AND(OR(G237="Aprovado",G237="Recusado"),H237&lt;&gt;"",A237&lt;&gt;""),H237-A237,"")</f>
        <v/>
      </c>
      <c r="O237" s="25">
        <f>IF(G237="","",IF(OR(G237="Aprovado",G237="Recusado",G237="Sem retorno"),G237,IF(AND(M237&lt;&gt;"",M237&gt;Config!$B$7),"Parado","Ativo")))</f>
        <v/>
      </c>
      <c r="P237" s="39">
        <f>IF(A237="","",DATE(YEAR(A237),MONTH(A237),1))</f>
        <v/>
      </c>
      <c r="Q237" s="40">
        <f>IF(OR(G237="",O237="Aprovado",O237="Recusado",O237="Sem retorno"),0,IF(O237="Parado",2000,1000)+MIN(N(M237),500)+N(F237)/1000000-ROW()/100000)</f>
        <v>0</v>
      </c>
    </row>
    <row r="238">
      <c r="A238" s="37" t="n"/>
      <c r="B238" s="32" t="n"/>
      <c r="C238" s="35" t="n"/>
      <c r="D238" s="35" t="n"/>
      <c r="E238" s="32" t="n"/>
      <c r="F238" s="38" t="n"/>
      <c r="G238" s="35" t="n"/>
      <c r="H238" s="37" t="n"/>
      <c r="I238" s="35" t="n"/>
      <c r="J238" s="32" t="n"/>
      <c r="K238" s="30">
        <f>IF(G238="","",IFERROR(INDEX(Config!$B$10:$B$14,MATCH(G238,Config!$A$10:$A$14,0)),0))</f>
        <v/>
      </c>
      <c r="L238" s="26">
        <f>IF(OR(G238="",F238=""),"",F238*K238)</f>
        <v/>
      </c>
      <c r="M238" s="29">
        <f>IF(OR(G238="",G238="Aprovado",G238="Recusado",G238="Sem retorno",A238=""),"",Config!$B$5-A238)</f>
        <v/>
      </c>
      <c r="N238" s="29">
        <f>IF(AND(OR(G238="Aprovado",G238="Recusado"),H238&lt;&gt;"",A238&lt;&gt;""),H238-A238,"")</f>
        <v/>
      </c>
      <c r="O238" s="25">
        <f>IF(G238="","",IF(OR(G238="Aprovado",G238="Recusado",G238="Sem retorno"),G238,IF(AND(M238&lt;&gt;"",M238&gt;Config!$B$7),"Parado","Ativo")))</f>
        <v/>
      </c>
      <c r="P238" s="39">
        <f>IF(A238="","",DATE(YEAR(A238),MONTH(A238),1))</f>
        <v/>
      </c>
      <c r="Q238" s="40">
        <f>IF(OR(G238="",O238="Aprovado",O238="Recusado",O238="Sem retorno"),0,IF(O238="Parado",2000,1000)+MIN(N(M238),500)+N(F238)/1000000-ROW()/100000)</f>
        <v>0</v>
      </c>
    </row>
    <row r="239">
      <c r="A239" s="37" t="n"/>
      <c r="B239" s="32" t="n"/>
      <c r="C239" s="35" t="n"/>
      <c r="D239" s="35" t="n"/>
      <c r="E239" s="32" t="n"/>
      <c r="F239" s="38" t="n"/>
      <c r="G239" s="35" t="n"/>
      <c r="H239" s="37" t="n"/>
      <c r="I239" s="35" t="n"/>
      <c r="J239" s="32" t="n"/>
      <c r="K239" s="30">
        <f>IF(G239="","",IFERROR(INDEX(Config!$B$10:$B$14,MATCH(G239,Config!$A$10:$A$14,0)),0))</f>
        <v/>
      </c>
      <c r="L239" s="26">
        <f>IF(OR(G239="",F239=""),"",F239*K239)</f>
        <v/>
      </c>
      <c r="M239" s="29">
        <f>IF(OR(G239="",G239="Aprovado",G239="Recusado",G239="Sem retorno",A239=""),"",Config!$B$5-A239)</f>
        <v/>
      </c>
      <c r="N239" s="29">
        <f>IF(AND(OR(G239="Aprovado",G239="Recusado"),H239&lt;&gt;"",A239&lt;&gt;""),H239-A239,"")</f>
        <v/>
      </c>
      <c r="O239" s="25">
        <f>IF(G239="","",IF(OR(G239="Aprovado",G239="Recusado",G239="Sem retorno"),G239,IF(AND(M239&lt;&gt;"",M239&gt;Config!$B$7),"Parado","Ativo")))</f>
        <v/>
      </c>
      <c r="P239" s="39">
        <f>IF(A239="","",DATE(YEAR(A239),MONTH(A239),1))</f>
        <v/>
      </c>
      <c r="Q239" s="40">
        <f>IF(OR(G239="",O239="Aprovado",O239="Recusado",O239="Sem retorno"),0,IF(O239="Parado",2000,1000)+MIN(N(M239),500)+N(F239)/1000000-ROW()/100000)</f>
        <v>0</v>
      </c>
    </row>
    <row r="240">
      <c r="A240" s="37" t="n"/>
      <c r="B240" s="32" t="n"/>
      <c r="C240" s="35" t="n"/>
      <c r="D240" s="35" t="n"/>
      <c r="E240" s="32" t="n"/>
      <c r="F240" s="38" t="n"/>
      <c r="G240" s="35" t="n"/>
      <c r="H240" s="37" t="n"/>
      <c r="I240" s="35" t="n"/>
      <c r="J240" s="32" t="n"/>
      <c r="K240" s="30">
        <f>IF(G240="","",IFERROR(INDEX(Config!$B$10:$B$14,MATCH(G240,Config!$A$10:$A$14,0)),0))</f>
        <v/>
      </c>
      <c r="L240" s="26">
        <f>IF(OR(G240="",F240=""),"",F240*K240)</f>
        <v/>
      </c>
      <c r="M240" s="29">
        <f>IF(OR(G240="",G240="Aprovado",G240="Recusado",G240="Sem retorno",A240=""),"",Config!$B$5-A240)</f>
        <v/>
      </c>
      <c r="N240" s="29">
        <f>IF(AND(OR(G240="Aprovado",G240="Recusado"),H240&lt;&gt;"",A240&lt;&gt;""),H240-A240,"")</f>
        <v/>
      </c>
      <c r="O240" s="25">
        <f>IF(G240="","",IF(OR(G240="Aprovado",G240="Recusado",G240="Sem retorno"),G240,IF(AND(M240&lt;&gt;"",M240&gt;Config!$B$7),"Parado","Ativo")))</f>
        <v/>
      </c>
      <c r="P240" s="39">
        <f>IF(A240="","",DATE(YEAR(A240),MONTH(A240),1))</f>
        <v/>
      </c>
      <c r="Q240" s="40">
        <f>IF(OR(G240="",O240="Aprovado",O240="Recusado",O240="Sem retorno"),0,IF(O240="Parado",2000,1000)+MIN(N(M240),500)+N(F240)/1000000-ROW()/100000)</f>
        <v>0</v>
      </c>
    </row>
    <row r="241">
      <c r="A241" s="37" t="n"/>
      <c r="B241" s="32" t="n"/>
      <c r="C241" s="35" t="n"/>
      <c r="D241" s="35" t="n"/>
      <c r="E241" s="32" t="n"/>
      <c r="F241" s="38" t="n"/>
      <c r="G241" s="35" t="n"/>
      <c r="H241" s="37" t="n"/>
      <c r="I241" s="35" t="n"/>
      <c r="J241" s="32" t="n"/>
      <c r="K241" s="30">
        <f>IF(G241="","",IFERROR(INDEX(Config!$B$10:$B$14,MATCH(G241,Config!$A$10:$A$14,0)),0))</f>
        <v/>
      </c>
      <c r="L241" s="26">
        <f>IF(OR(G241="",F241=""),"",F241*K241)</f>
        <v/>
      </c>
      <c r="M241" s="29">
        <f>IF(OR(G241="",G241="Aprovado",G241="Recusado",G241="Sem retorno",A241=""),"",Config!$B$5-A241)</f>
        <v/>
      </c>
      <c r="N241" s="29">
        <f>IF(AND(OR(G241="Aprovado",G241="Recusado"),H241&lt;&gt;"",A241&lt;&gt;""),H241-A241,"")</f>
        <v/>
      </c>
      <c r="O241" s="25">
        <f>IF(G241="","",IF(OR(G241="Aprovado",G241="Recusado",G241="Sem retorno"),G241,IF(AND(M241&lt;&gt;"",M241&gt;Config!$B$7),"Parado","Ativo")))</f>
        <v/>
      </c>
      <c r="P241" s="39">
        <f>IF(A241="","",DATE(YEAR(A241),MONTH(A241),1))</f>
        <v/>
      </c>
      <c r="Q241" s="40">
        <f>IF(OR(G241="",O241="Aprovado",O241="Recusado",O241="Sem retorno"),0,IF(O241="Parado",2000,1000)+MIN(N(M241),500)+N(F241)/1000000-ROW()/100000)</f>
        <v>0</v>
      </c>
    </row>
    <row r="242">
      <c r="A242" s="37" t="n"/>
      <c r="B242" s="32" t="n"/>
      <c r="C242" s="35" t="n"/>
      <c r="D242" s="35" t="n"/>
      <c r="E242" s="32" t="n"/>
      <c r="F242" s="38" t="n"/>
      <c r="G242" s="35" t="n"/>
      <c r="H242" s="37" t="n"/>
      <c r="I242" s="35" t="n"/>
      <c r="J242" s="32" t="n"/>
      <c r="K242" s="30">
        <f>IF(G242="","",IFERROR(INDEX(Config!$B$10:$B$14,MATCH(G242,Config!$A$10:$A$14,0)),0))</f>
        <v/>
      </c>
      <c r="L242" s="26">
        <f>IF(OR(G242="",F242=""),"",F242*K242)</f>
        <v/>
      </c>
      <c r="M242" s="29">
        <f>IF(OR(G242="",G242="Aprovado",G242="Recusado",G242="Sem retorno",A242=""),"",Config!$B$5-A242)</f>
        <v/>
      </c>
      <c r="N242" s="29">
        <f>IF(AND(OR(G242="Aprovado",G242="Recusado"),H242&lt;&gt;"",A242&lt;&gt;""),H242-A242,"")</f>
        <v/>
      </c>
      <c r="O242" s="25">
        <f>IF(G242="","",IF(OR(G242="Aprovado",G242="Recusado",G242="Sem retorno"),G242,IF(AND(M242&lt;&gt;"",M242&gt;Config!$B$7),"Parado","Ativo")))</f>
        <v/>
      </c>
      <c r="P242" s="39">
        <f>IF(A242="","",DATE(YEAR(A242),MONTH(A242),1))</f>
        <v/>
      </c>
      <c r="Q242" s="40">
        <f>IF(OR(G242="",O242="Aprovado",O242="Recusado",O242="Sem retorno"),0,IF(O242="Parado",2000,1000)+MIN(N(M242),500)+N(F242)/1000000-ROW()/100000)</f>
        <v>0</v>
      </c>
    </row>
    <row r="243">
      <c r="A243" s="37" t="n"/>
      <c r="B243" s="32" t="n"/>
      <c r="C243" s="35" t="n"/>
      <c r="D243" s="35" t="n"/>
      <c r="E243" s="32" t="n"/>
      <c r="F243" s="38" t="n"/>
      <c r="G243" s="35" t="n"/>
      <c r="H243" s="37" t="n"/>
      <c r="I243" s="35" t="n"/>
      <c r="J243" s="32" t="n"/>
      <c r="K243" s="30">
        <f>IF(G243="","",IFERROR(INDEX(Config!$B$10:$B$14,MATCH(G243,Config!$A$10:$A$14,0)),0))</f>
        <v/>
      </c>
      <c r="L243" s="26">
        <f>IF(OR(G243="",F243=""),"",F243*K243)</f>
        <v/>
      </c>
      <c r="M243" s="29">
        <f>IF(OR(G243="",G243="Aprovado",G243="Recusado",G243="Sem retorno",A243=""),"",Config!$B$5-A243)</f>
        <v/>
      </c>
      <c r="N243" s="29">
        <f>IF(AND(OR(G243="Aprovado",G243="Recusado"),H243&lt;&gt;"",A243&lt;&gt;""),H243-A243,"")</f>
        <v/>
      </c>
      <c r="O243" s="25">
        <f>IF(G243="","",IF(OR(G243="Aprovado",G243="Recusado",G243="Sem retorno"),G243,IF(AND(M243&lt;&gt;"",M243&gt;Config!$B$7),"Parado","Ativo")))</f>
        <v/>
      </c>
      <c r="P243" s="39">
        <f>IF(A243="","",DATE(YEAR(A243),MONTH(A243),1))</f>
        <v/>
      </c>
      <c r="Q243" s="40">
        <f>IF(OR(G243="",O243="Aprovado",O243="Recusado",O243="Sem retorno"),0,IF(O243="Parado",2000,1000)+MIN(N(M243),500)+N(F243)/1000000-ROW()/100000)</f>
        <v>0</v>
      </c>
    </row>
    <row r="244">
      <c r="A244" s="37" t="n"/>
      <c r="B244" s="32" t="n"/>
      <c r="C244" s="35" t="n"/>
      <c r="D244" s="35" t="n"/>
      <c r="E244" s="32" t="n"/>
      <c r="F244" s="38" t="n"/>
      <c r="G244" s="35" t="n"/>
      <c r="H244" s="37" t="n"/>
      <c r="I244" s="35" t="n"/>
      <c r="J244" s="32" t="n"/>
      <c r="K244" s="30">
        <f>IF(G244="","",IFERROR(INDEX(Config!$B$10:$B$14,MATCH(G244,Config!$A$10:$A$14,0)),0))</f>
        <v/>
      </c>
      <c r="L244" s="26">
        <f>IF(OR(G244="",F244=""),"",F244*K244)</f>
        <v/>
      </c>
      <c r="M244" s="29">
        <f>IF(OR(G244="",G244="Aprovado",G244="Recusado",G244="Sem retorno",A244=""),"",Config!$B$5-A244)</f>
        <v/>
      </c>
      <c r="N244" s="29">
        <f>IF(AND(OR(G244="Aprovado",G244="Recusado"),H244&lt;&gt;"",A244&lt;&gt;""),H244-A244,"")</f>
        <v/>
      </c>
      <c r="O244" s="25">
        <f>IF(G244="","",IF(OR(G244="Aprovado",G244="Recusado",G244="Sem retorno"),G244,IF(AND(M244&lt;&gt;"",M244&gt;Config!$B$7),"Parado","Ativo")))</f>
        <v/>
      </c>
      <c r="P244" s="39">
        <f>IF(A244="","",DATE(YEAR(A244),MONTH(A244),1))</f>
        <v/>
      </c>
      <c r="Q244" s="40">
        <f>IF(OR(G244="",O244="Aprovado",O244="Recusado",O244="Sem retorno"),0,IF(O244="Parado",2000,1000)+MIN(N(M244),500)+N(F244)/1000000-ROW()/100000)</f>
        <v>0</v>
      </c>
    </row>
    <row r="245">
      <c r="A245" s="37" t="n"/>
      <c r="B245" s="32" t="n"/>
      <c r="C245" s="35" t="n"/>
      <c r="D245" s="35" t="n"/>
      <c r="E245" s="32" t="n"/>
      <c r="F245" s="38" t="n"/>
      <c r="G245" s="35" t="n"/>
      <c r="H245" s="37" t="n"/>
      <c r="I245" s="35" t="n"/>
      <c r="J245" s="32" t="n"/>
      <c r="K245" s="30">
        <f>IF(G245="","",IFERROR(INDEX(Config!$B$10:$B$14,MATCH(G245,Config!$A$10:$A$14,0)),0))</f>
        <v/>
      </c>
      <c r="L245" s="26">
        <f>IF(OR(G245="",F245=""),"",F245*K245)</f>
        <v/>
      </c>
      <c r="M245" s="29">
        <f>IF(OR(G245="",G245="Aprovado",G245="Recusado",G245="Sem retorno",A245=""),"",Config!$B$5-A245)</f>
        <v/>
      </c>
      <c r="N245" s="29">
        <f>IF(AND(OR(G245="Aprovado",G245="Recusado"),H245&lt;&gt;"",A245&lt;&gt;""),H245-A245,"")</f>
        <v/>
      </c>
      <c r="O245" s="25">
        <f>IF(G245="","",IF(OR(G245="Aprovado",G245="Recusado",G245="Sem retorno"),G245,IF(AND(M245&lt;&gt;"",M245&gt;Config!$B$7),"Parado","Ativo")))</f>
        <v/>
      </c>
      <c r="P245" s="39">
        <f>IF(A245="","",DATE(YEAR(A245),MONTH(A245),1))</f>
        <v/>
      </c>
      <c r="Q245" s="40">
        <f>IF(OR(G245="",O245="Aprovado",O245="Recusado",O245="Sem retorno"),0,IF(O245="Parado",2000,1000)+MIN(N(M245),500)+N(F245)/1000000-ROW()/100000)</f>
        <v>0</v>
      </c>
    </row>
    <row r="246">
      <c r="A246" s="37" t="n"/>
      <c r="B246" s="32" t="n"/>
      <c r="C246" s="35" t="n"/>
      <c r="D246" s="35" t="n"/>
      <c r="E246" s="32" t="n"/>
      <c r="F246" s="38" t="n"/>
      <c r="G246" s="35" t="n"/>
      <c r="H246" s="37" t="n"/>
      <c r="I246" s="35" t="n"/>
      <c r="J246" s="32" t="n"/>
      <c r="K246" s="30">
        <f>IF(G246="","",IFERROR(INDEX(Config!$B$10:$B$14,MATCH(G246,Config!$A$10:$A$14,0)),0))</f>
        <v/>
      </c>
      <c r="L246" s="26">
        <f>IF(OR(G246="",F246=""),"",F246*K246)</f>
        <v/>
      </c>
      <c r="M246" s="29">
        <f>IF(OR(G246="",G246="Aprovado",G246="Recusado",G246="Sem retorno",A246=""),"",Config!$B$5-A246)</f>
        <v/>
      </c>
      <c r="N246" s="29">
        <f>IF(AND(OR(G246="Aprovado",G246="Recusado"),H246&lt;&gt;"",A246&lt;&gt;""),H246-A246,"")</f>
        <v/>
      </c>
      <c r="O246" s="25">
        <f>IF(G246="","",IF(OR(G246="Aprovado",G246="Recusado",G246="Sem retorno"),G246,IF(AND(M246&lt;&gt;"",M246&gt;Config!$B$7),"Parado","Ativo")))</f>
        <v/>
      </c>
      <c r="P246" s="39">
        <f>IF(A246="","",DATE(YEAR(A246),MONTH(A246),1))</f>
        <v/>
      </c>
      <c r="Q246" s="40">
        <f>IF(OR(G246="",O246="Aprovado",O246="Recusado",O246="Sem retorno"),0,IF(O246="Parado",2000,1000)+MIN(N(M246),500)+N(F246)/1000000-ROW()/100000)</f>
        <v>0</v>
      </c>
    </row>
    <row r="247">
      <c r="A247" s="37" t="n"/>
      <c r="B247" s="32" t="n"/>
      <c r="C247" s="35" t="n"/>
      <c r="D247" s="35" t="n"/>
      <c r="E247" s="32" t="n"/>
      <c r="F247" s="38" t="n"/>
      <c r="G247" s="35" t="n"/>
      <c r="H247" s="37" t="n"/>
      <c r="I247" s="35" t="n"/>
      <c r="J247" s="32" t="n"/>
      <c r="K247" s="30">
        <f>IF(G247="","",IFERROR(INDEX(Config!$B$10:$B$14,MATCH(G247,Config!$A$10:$A$14,0)),0))</f>
        <v/>
      </c>
      <c r="L247" s="26">
        <f>IF(OR(G247="",F247=""),"",F247*K247)</f>
        <v/>
      </c>
      <c r="M247" s="29">
        <f>IF(OR(G247="",G247="Aprovado",G247="Recusado",G247="Sem retorno",A247=""),"",Config!$B$5-A247)</f>
        <v/>
      </c>
      <c r="N247" s="29">
        <f>IF(AND(OR(G247="Aprovado",G247="Recusado"),H247&lt;&gt;"",A247&lt;&gt;""),H247-A247,"")</f>
        <v/>
      </c>
      <c r="O247" s="25">
        <f>IF(G247="","",IF(OR(G247="Aprovado",G247="Recusado",G247="Sem retorno"),G247,IF(AND(M247&lt;&gt;"",M247&gt;Config!$B$7),"Parado","Ativo")))</f>
        <v/>
      </c>
      <c r="P247" s="39">
        <f>IF(A247="","",DATE(YEAR(A247),MONTH(A247),1))</f>
        <v/>
      </c>
      <c r="Q247" s="40">
        <f>IF(OR(G247="",O247="Aprovado",O247="Recusado",O247="Sem retorno"),0,IF(O247="Parado",2000,1000)+MIN(N(M247),500)+N(F247)/1000000-ROW()/100000)</f>
        <v>0</v>
      </c>
    </row>
    <row r="248">
      <c r="A248" s="37" t="n"/>
      <c r="B248" s="32" t="n"/>
      <c r="C248" s="35" t="n"/>
      <c r="D248" s="35" t="n"/>
      <c r="E248" s="32" t="n"/>
      <c r="F248" s="38" t="n"/>
      <c r="G248" s="35" t="n"/>
      <c r="H248" s="37" t="n"/>
      <c r="I248" s="35" t="n"/>
      <c r="J248" s="32" t="n"/>
      <c r="K248" s="30">
        <f>IF(G248="","",IFERROR(INDEX(Config!$B$10:$B$14,MATCH(G248,Config!$A$10:$A$14,0)),0))</f>
        <v/>
      </c>
      <c r="L248" s="26">
        <f>IF(OR(G248="",F248=""),"",F248*K248)</f>
        <v/>
      </c>
      <c r="M248" s="29">
        <f>IF(OR(G248="",G248="Aprovado",G248="Recusado",G248="Sem retorno",A248=""),"",Config!$B$5-A248)</f>
        <v/>
      </c>
      <c r="N248" s="29">
        <f>IF(AND(OR(G248="Aprovado",G248="Recusado"),H248&lt;&gt;"",A248&lt;&gt;""),H248-A248,"")</f>
        <v/>
      </c>
      <c r="O248" s="25">
        <f>IF(G248="","",IF(OR(G248="Aprovado",G248="Recusado",G248="Sem retorno"),G248,IF(AND(M248&lt;&gt;"",M248&gt;Config!$B$7),"Parado","Ativo")))</f>
        <v/>
      </c>
      <c r="P248" s="39">
        <f>IF(A248="","",DATE(YEAR(A248),MONTH(A248),1))</f>
        <v/>
      </c>
      <c r="Q248" s="40">
        <f>IF(OR(G248="",O248="Aprovado",O248="Recusado",O248="Sem retorno"),0,IF(O248="Parado",2000,1000)+MIN(N(M248),500)+N(F248)/1000000-ROW()/100000)</f>
        <v>0</v>
      </c>
    </row>
    <row r="249">
      <c r="A249" s="37" t="n"/>
      <c r="B249" s="32" t="n"/>
      <c r="C249" s="35" t="n"/>
      <c r="D249" s="35" t="n"/>
      <c r="E249" s="32" t="n"/>
      <c r="F249" s="38" t="n"/>
      <c r="G249" s="35" t="n"/>
      <c r="H249" s="37" t="n"/>
      <c r="I249" s="35" t="n"/>
      <c r="J249" s="32" t="n"/>
      <c r="K249" s="30">
        <f>IF(G249="","",IFERROR(INDEX(Config!$B$10:$B$14,MATCH(G249,Config!$A$10:$A$14,0)),0))</f>
        <v/>
      </c>
      <c r="L249" s="26">
        <f>IF(OR(G249="",F249=""),"",F249*K249)</f>
        <v/>
      </c>
      <c r="M249" s="29">
        <f>IF(OR(G249="",G249="Aprovado",G249="Recusado",G249="Sem retorno",A249=""),"",Config!$B$5-A249)</f>
        <v/>
      </c>
      <c r="N249" s="29">
        <f>IF(AND(OR(G249="Aprovado",G249="Recusado"),H249&lt;&gt;"",A249&lt;&gt;""),H249-A249,"")</f>
        <v/>
      </c>
      <c r="O249" s="25">
        <f>IF(G249="","",IF(OR(G249="Aprovado",G249="Recusado",G249="Sem retorno"),G249,IF(AND(M249&lt;&gt;"",M249&gt;Config!$B$7),"Parado","Ativo")))</f>
        <v/>
      </c>
      <c r="P249" s="39">
        <f>IF(A249="","",DATE(YEAR(A249),MONTH(A249),1))</f>
        <v/>
      </c>
      <c r="Q249" s="40">
        <f>IF(OR(G249="",O249="Aprovado",O249="Recusado",O249="Sem retorno"),0,IF(O249="Parado",2000,1000)+MIN(N(M249),500)+N(F249)/1000000-ROW()/100000)</f>
        <v>0</v>
      </c>
    </row>
    <row r="250">
      <c r="A250" s="37" t="n"/>
      <c r="B250" s="32" t="n"/>
      <c r="C250" s="35" t="n"/>
      <c r="D250" s="35" t="n"/>
      <c r="E250" s="32" t="n"/>
      <c r="F250" s="38" t="n"/>
      <c r="G250" s="35" t="n"/>
      <c r="H250" s="37" t="n"/>
      <c r="I250" s="35" t="n"/>
      <c r="J250" s="32" t="n"/>
      <c r="K250" s="30">
        <f>IF(G250="","",IFERROR(INDEX(Config!$B$10:$B$14,MATCH(G250,Config!$A$10:$A$14,0)),0))</f>
        <v/>
      </c>
      <c r="L250" s="26">
        <f>IF(OR(G250="",F250=""),"",F250*K250)</f>
        <v/>
      </c>
      <c r="M250" s="29">
        <f>IF(OR(G250="",G250="Aprovado",G250="Recusado",G250="Sem retorno",A250=""),"",Config!$B$5-A250)</f>
        <v/>
      </c>
      <c r="N250" s="29">
        <f>IF(AND(OR(G250="Aprovado",G250="Recusado"),H250&lt;&gt;"",A250&lt;&gt;""),H250-A250,"")</f>
        <v/>
      </c>
      <c r="O250" s="25">
        <f>IF(G250="","",IF(OR(G250="Aprovado",G250="Recusado",G250="Sem retorno"),G250,IF(AND(M250&lt;&gt;"",M250&gt;Config!$B$7),"Parado","Ativo")))</f>
        <v/>
      </c>
      <c r="P250" s="39">
        <f>IF(A250="","",DATE(YEAR(A250),MONTH(A250),1))</f>
        <v/>
      </c>
      <c r="Q250" s="40">
        <f>IF(OR(G250="",O250="Aprovado",O250="Recusado",O250="Sem retorno"),0,IF(O250="Parado",2000,1000)+MIN(N(M250),500)+N(F250)/1000000-ROW()/100000)</f>
        <v>0</v>
      </c>
    </row>
    <row r="251">
      <c r="A251" s="37" t="n"/>
      <c r="B251" s="32" t="n"/>
      <c r="C251" s="35" t="n"/>
      <c r="D251" s="35" t="n"/>
      <c r="E251" s="32" t="n"/>
      <c r="F251" s="38" t="n"/>
      <c r="G251" s="35" t="n"/>
      <c r="H251" s="37" t="n"/>
      <c r="I251" s="35" t="n"/>
      <c r="J251" s="32" t="n"/>
      <c r="K251" s="30">
        <f>IF(G251="","",IFERROR(INDEX(Config!$B$10:$B$14,MATCH(G251,Config!$A$10:$A$14,0)),0))</f>
        <v/>
      </c>
      <c r="L251" s="26">
        <f>IF(OR(G251="",F251=""),"",F251*K251)</f>
        <v/>
      </c>
      <c r="M251" s="29">
        <f>IF(OR(G251="",G251="Aprovado",G251="Recusado",G251="Sem retorno",A251=""),"",Config!$B$5-A251)</f>
        <v/>
      </c>
      <c r="N251" s="29">
        <f>IF(AND(OR(G251="Aprovado",G251="Recusado"),H251&lt;&gt;"",A251&lt;&gt;""),H251-A251,"")</f>
        <v/>
      </c>
      <c r="O251" s="25">
        <f>IF(G251="","",IF(OR(G251="Aprovado",G251="Recusado",G251="Sem retorno"),G251,IF(AND(M251&lt;&gt;"",M251&gt;Config!$B$7),"Parado","Ativo")))</f>
        <v/>
      </c>
      <c r="P251" s="39">
        <f>IF(A251="","",DATE(YEAR(A251),MONTH(A251),1))</f>
        <v/>
      </c>
      <c r="Q251" s="40">
        <f>IF(OR(G251="",O251="Aprovado",O251="Recusado",O251="Sem retorno"),0,IF(O251="Parado",2000,1000)+MIN(N(M251),500)+N(F251)/1000000-ROW()/100000)</f>
        <v>0</v>
      </c>
    </row>
    <row r="252">
      <c r="A252" s="37" t="n"/>
      <c r="B252" s="32" t="n"/>
      <c r="C252" s="35" t="n"/>
      <c r="D252" s="35" t="n"/>
      <c r="E252" s="32" t="n"/>
      <c r="F252" s="38" t="n"/>
      <c r="G252" s="35" t="n"/>
      <c r="H252" s="37" t="n"/>
      <c r="I252" s="35" t="n"/>
      <c r="J252" s="32" t="n"/>
      <c r="K252" s="30">
        <f>IF(G252="","",IFERROR(INDEX(Config!$B$10:$B$14,MATCH(G252,Config!$A$10:$A$14,0)),0))</f>
        <v/>
      </c>
      <c r="L252" s="26">
        <f>IF(OR(G252="",F252=""),"",F252*K252)</f>
        <v/>
      </c>
      <c r="M252" s="29">
        <f>IF(OR(G252="",G252="Aprovado",G252="Recusado",G252="Sem retorno",A252=""),"",Config!$B$5-A252)</f>
        <v/>
      </c>
      <c r="N252" s="29">
        <f>IF(AND(OR(G252="Aprovado",G252="Recusado"),H252&lt;&gt;"",A252&lt;&gt;""),H252-A252,"")</f>
        <v/>
      </c>
      <c r="O252" s="25">
        <f>IF(G252="","",IF(OR(G252="Aprovado",G252="Recusado",G252="Sem retorno"),G252,IF(AND(M252&lt;&gt;"",M252&gt;Config!$B$7),"Parado","Ativo")))</f>
        <v/>
      </c>
      <c r="P252" s="39">
        <f>IF(A252="","",DATE(YEAR(A252),MONTH(A252),1))</f>
        <v/>
      </c>
      <c r="Q252" s="40">
        <f>IF(OR(G252="",O252="Aprovado",O252="Recusado",O252="Sem retorno"),0,IF(O252="Parado",2000,1000)+MIN(N(M252),500)+N(F252)/1000000-ROW()/100000)</f>
        <v>0</v>
      </c>
    </row>
    <row r="253">
      <c r="A253" s="37" t="n"/>
      <c r="B253" s="32" t="n"/>
      <c r="C253" s="35" t="n"/>
      <c r="D253" s="35" t="n"/>
      <c r="E253" s="32" t="n"/>
      <c r="F253" s="38" t="n"/>
      <c r="G253" s="35" t="n"/>
      <c r="H253" s="37" t="n"/>
      <c r="I253" s="35" t="n"/>
      <c r="J253" s="32" t="n"/>
      <c r="K253" s="30">
        <f>IF(G253="","",IFERROR(INDEX(Config!$B$10:$B$14,MATCH(G253,Config!$A$10:$A$14,0)),0))</f>
        <v/>
      </c>
      <c r="L253" s="26">
        <f>IF(OR(G253="",F253=""),"",F253*K253)</f>
        <v/>
      </c>
      <c r="M253" s="29">
        <f>IF(OR(G253="",G253="Aprovado",G253="Recusado",G253="Sem retorno",A253=""),"",Config!$B$5-A253)</f>
        <v/>
      </c>
      <c r="N253" s="29">
        <f>IF(AND(OR(G253="Aprovado",G253="Recusado"),H253&lt;&gt;"",A253&lt;&gt;""),H253-A253,"")</f>
        <v/>
      </c>
      <c r="O253" s="25">
        <f>IF(G253="","",IF(OR(G253="Aprovado",G253="Recusado",G253="Sem retorno"),G253,IF(AND(M253&lt;&gt;"",M253&gt;Config!$B$7),"Parado","Ativo")))</f>
        <v/>
      </c>
      <c r="P253" s="39">
        <f>IF(A253="","",DATE(YEAR(A253),MONTH(A253),1))</f>
        <v/>
      </c>
      <c r="Q253" s="40">
        <f>IF(OR(G253="",O253="Aprovado",O253="Recusado",O253="Sem retorno"),0,IF(O253="Parado",2000,1000)+MIN(N(M253),500)+N(F253)/1000000-ROW()/100000)</f>
        <v>0</v>
      </c>
    </row>
    <row r="254">
      <c r="A254" s="37" t="n"/>
      <c r="B254" s="32" t="n"/>
      <c r="C254" s="35" t="n"/>
      <c r="D254" s="35" t="n"/>
      <c r="E254" s="32" t="n"/>
      <c r="F254" s="38" t="n"/>
      <c r="G254" s="35" t="n"/>
      <c r="H254" s="37" t="n"/>
      <c r="I254" s="35" t="n"/>
      <c r="J254" s="32" t="n"/>
      <c r="K254" s="30">
        <f>IF(G254="","",IFERROR(INDEX(Config!$B$10:$B$14,MATCH(G254,Config!$A$10:$A$14,0)),0))</f>
        <v/>
      </c>
      <c r="L254" s="26">
        <f>IF(OR(G254="",F254=""),"",F254*K254)</f>
        <v/>
      </c>
      <c r="M254" s="29">
        <f>IF(OR(G254="",G254="Aprovado",G254="Recusado",G254="Sem retorno",A254=""),"",Config!$B$5-A254)</f>
        <v/>
      </c>
      <c r="N254" s="29">
        <f>IF(AND(OR(G254="Aprovado",G254="Recusado"),H254&lt;&gt;"",A254&lt;&gt;""),H254-A254,"")</f>
        <v/>
      </c>
      <c r="O254" s="25">
        <f>IF(G254="","",IF(OR(G254="Aprovado",G254="Recusado",G254="Sem retorno"),G254,IF(AND(M254&lt;&gt;"",M254&gt;Config!$B$7),"Parado","Ativo")))</f>
        <v/>
      </c>
      <c r="P254" s="39">
        <f>IF(A254="","",DATE(YEAR(A254),MONTH(A254),1))</f>
        <v/>
      </c>
      <c r="Q254" s="40">
        <f>IF(OR(G254="",O254="Aprovado",O254="Recusado",O254="Sem retorno"),0,IF(O254="Parado",2000,1000)+MIN(N(M254),500)+N(F254)/1000000-ROW()/100000)</f>
        <v>0</v>
      </c>
    </row>
    <row r="255">
      <c r="A255" s="37" t="n"/>
      <c r="B255" s="32" t="n"/>
      <c r="C255" s="35" t="n"/>
      <c r="D255" s="35" t="n"/>
      <c r="E255" s="32" t="n"/>
      <c r="F255" s="38" t="n"/>
      <c r="G255" s="35" t="n"/>
      <c r="H255" s="37" t="n"/>
      <c r="I255" s="35" t="n"/>
      <c r="J255" s="32" t="n"/>
      <c r="K255" s="30">
        <f>IF(G255="","",IFERROR(INDEX(Config!$B$10:$B$14,MATCH(G255,Config!$A$10:$A$14,0)),0))</f>
        <v/>
      </c>
      <c r="L255" s="26">
        <f>IF(OR(G255="",F255=""),"",F255*K255)</f>
        <v/>
      </c>
      <c r="M255" s="29">
        <f>IF(OR(G255="",G255="Aprovado",G255="Recusado",G255="Sem retorno",A255=""),"",Config!$B$5-A255)</f>
        <v/>
      </c>
      <c r="N255" s="29">
        <f>IF(AND(OR(G255="Aprovado",G255="Recusado"),H255&lt;&gt;"",A255&lt;&gt;""),H255-A255,"")</f>
        <v/>
      </c>
      <c r="O255" s="25">
        <f>IF(G255="","",IF(OR(G255="Aprovado",G255="Recusado",G255="Sem retorno"),G255,IF(AND(M255&lt;&gt;"",M255&gt;Config!$B$7),"Parado","Ativo")))</f>
        <v/>
      </c>
      <c r="P255" s="39">
        <f>IF(A255="","",DATE(YEAR(A255),MONTH(A255),1))</f>
        <v/>
      </c>
      <c r="Q255" s="40">
        <f>IF(OR(G255="",O255="Aprovado",O255="Recusado",O255="Sem retorno"),0,IF(O255="Parado",2000,1000)+MIN(N(M255),500)+N(F255)/1000000-ROW()/100000)</f>
        <v>0</v>
      </c>
    </row>
    <row r="256">
      <c r="A256" s="37" t="n"/>
      <c r="B256" s="32" t="n"/>
      <c r="C256" s="35" t="n"/>
      <c r="D256" s="35" t="n"/>
      <c r="E256" s="32" t="n"/>
      <c r="F256" s="38" t="n"/>
      <c r="G256" s="35" t="n"/>
      <c r="H256" s="37" t="n"/>
      <c r="I256" s="35" t="n"/>
      <c r="J256" s="32" t="n"/>
      <c r="K256" s="30">
        <f>IF(G256="","",IFERROR(INDEX(Config!$B$10:$B$14,MATCH(G256,Config!$A$10:$A$14,0)),0))</f>
        <v/>
      </c>
      <c r="L256" s="26">
        <f>IF(OR(G256="",F256=""),"",F256*K256)</f>
        <v/>
      </c>
      <c r="M256" s="29">
        <f>IF(OR(G256="",G256="Aprovado",G256="Recusado",G256="Sem retorno",A256=""),"",Config!$B$5-A256)</f>
        <v/>
      </c>
      <c r="N256" s="29">
        <f>IF(AND(OR(G256="Aprovado",G256="Recusado"),H256&lt;&gt;"",A256&lt;&gt;""),H256-A256,"")</f>
        <v/>
      </c>
      <c r="O256" s="25">
        <f>IF(G256="","",IF(OR(G256="Aprovado",G256="Recusado",G256="Sem retorno"),G256,IF(AND(M256&lt;&gt;"",M256&gt;Config!$B$7),"Parado","Ativo")))</f>
        <v/>
      </c>
      <c r="P256" s="39">
        <f>IF(A256="","",DATE(YEAR(A256),MONTH(A256),1))</f>
        <v/>
      </c>
      <c r="Q256" s="40">
        <f>IF(OR(G256="",O256="Aprovado",O256="Recusado",O256="Sem retorno"),0,IF(O256="Parado",2000,1000)+MIN(N(M256),500)+N(F256)/1000000-ROW()/100000)</f>
        <v>0</v>
      </c>
    </row>
    <row r="257">
      <c r="A257" s="37" t="n"/>
      <c r="B257" s="32" t="n"/>
      <c r="C257" s="35" t="n"/>
      <c r="D257" s="35" t="n"/>
      <c r="E257" s="32" t="n"/>
      <c r="F257" s="38" t="n"/>
      <c r="G257" s="35" t="n"/>
      <c r="H257" s="37" t="n"/>
      <c r="I257" s="35" t="n"/>
      <c r="J257" s="32" t="n"/>
      <c r="K257" s="30">
        <f>IF(G257="","",IFERROR(INDEX(Config!$B$10:$B$14,MATCH(G257,Config!$A$10:$A$14,0)),0))</f>
        <v/>
      </c>
      <c r="L257" s="26">
        <f>IF(OR(G257="",F257=""),"",F257*K257)</f>
        <v/>
      </c>
      <c r="M257" s="29">
        <f>IF(OR(G257="",G257="Aprovado",G257="Recusado",G257="Sem retorno",A257=""),"",Config!$B$5-A257)</f>
        <v/>
      </c>
      <c r="N257" s="29">
        <f>IF(AND(OR(G257="Aprovado",G257="Recusado"),H257&lt;&gt;"",A257&lt;&gt;""),H257-A257,"")</f>
        <v/>
      </c>
      <c r="O257" s="25">
        <f>IF(G257="","",IF(OR(G257="Aprovado",G257="Recusado",G257="Sem retorno"),G257,IF(AND(M257&lt;&gt;"",M257&gt;Config!$B$7),"Parado","Ativo")))</f>
        <v/>
      </c>
      <c r="P257" s="39">
        <f>IF(A257="","",DATE(YEAR(A257),MONTH(A257),1))</f>
        <v/>
      </c>
      <c r="Q257" s="40">
        <f>IF(OR(G257="",O257="Aprovado",O257="Recusado",O257="Sem retorno"),0,IF(O257="Parado",2000,1000)+MIN(N(M257),500)+N(F257)/1000000-ROW()/100000)</f>
        <v>0</v>
      </c>
    </row>
    <row r="258">
      <c r="A258" s="37" t="n"/>
      <c r="B258" s="32" t="n"/>
      <c r="C258" s="35" t="n"/>
      <c r="D258" s="35" t="n"/>
      <c r="E258" s="32" t="n"/>
      <c r="F258" s="38" t="n"/>
      <c r="G258" s="35" t="n"/>
      <c r="H258" s="37" t="n"/>
      <c r="I258" s="35" t="n"/>
      <c r="J258" s="32" t="n"/>
      <c r="K258" s="30">
        <f>IF(G258="","",IFERROR(INDEX(Config!$B$10:$B$14,MATCH(G258,Config!$A$10:$A$14,0)),0))</f>
        <v/>
      </c>
      <c r="L258" s="26">
        <f>IF(OR(G258="",F258=""),"",F258*K258)</f>
        <v/>
      </c>
      <c r="M258" s="29">
        <f>IF(OR(G258="",G258="Aprovado",G258="Recusado",G258="Sem retorno",A258=""),"",Config!$B$5-A258)</f>
        <v/>
      </c>
      <c r="N258" s="29">
        <f>IF(AND(OR(G258="Aprovado",G258="Recusado"),H258&lt;&gt;"",A258&lt;&gt;""),H258-A258,"")</f>
        <v/>
      </c>
      <c r="O258" s="25">
        <f>IF(G258="","",IF(OR(G258="Aprovado",G258="Recusado",G258="Sem retorno"),G258,IF(AND(M258&lt;&gt;"",M258&gt;Config!$B$7),"Parado","Ativo")))</f>
        <v/>
      </c>
      <c r="P258" s="39">
        <f>IF(A258="","",DATE(YEAR(A258),MONTH(A258),1))</f>
        <v/>
      </c>
      <c r="Q258" s="40">
        <f>IF(OR(G258="",O258="Aprovado",O258="Recusado",O258="Sem retorno"),0,IF(O258="Parado",2000,1000)+MIN(N(M258),500)+N(F258)/1000000-ROW()/100000)</f>
        <v>0</v>
      </c>
    </row>
    <row r="259">
      <c r="A259" s="37" t="n"/>
      <c r="B259" s="32" t="n"/>
      <c r="C259" s="35" t="n"/>
      <c r="D259" s="35" t="n"/>
      <c r="E259" s="32" t="n"/>
      <c r="F259" s="38" t="n"/>
      <c r="G259" s="35" t="n"/>
      <c r="H259" s="37" t="n"/>
      <c r="I259" s="35" t="n"/>
      <c r="J259" s="32" t="n"/>
      <c r="K259" s="30">
        <f>IF(G259="","",IFERROR(INDEX(Config!$B$10:$B$14,MATCH(G259,Config!$A$10:$A$14,0)),0))</f>
        <v/>
      </c>
      <c r="L259" s="26">
        <f>IF(OR(G259="",F259=""),"",F259*K259)</f>
        <v/>
      </c>
      <c r="M259" s="29">
        <f>IF(OR(G259="",G259="Aprovado",G259="Recusado",G259="Sem retorno",A259=""),"",Config!$B$5-A259)</f>
        <v/>
      </c>
      <c r="N259" s="29">
        <f>IF(AND(OR(G259="Aprovado",G259="Recusado"),H259&lt;&gt;"",A259&lt;&gt;""),H259-A259,"")</f>
        <v/>
      </c>
      <c r="O259" s="25">
        <f>IF(G259="","",IF(OR(G259="Aprovado",G259="Recusado",G259="Sem retorno"),G259,IF(AND(M259&lt;&gt;"",M259&gt;Config!$B$7),"Parado","Ativo")))</f>
        <v/>
      </c>
      <c r="P259" s="39">
        <f>IF(A259="","",DATE(YEAR(A259),MONTH(A259),1))</f>
        <v/>
      </c>
      <c r="Q259" s="40">
        <f>IF(OR(G259="",O259="Aprovado",O259="Recusado",O259="Sem retorno"),0,IF(O259="Parado",2000,1000)+MIN(N(M259),500)+N(F259)/1000000-ROW()/100000)</f>
        <v>0</v>
      </c>
    </row>
    <row r="260">
      <c r="A260" s="37" t="n"/>
      <c r="B260" s="32" t="n"/>
      <c r="C260" s="35" t="n"/>
      <c r="D260" s="35" t="n"/>
      <c r="E260" s="32" t="n"/>
      <c r="F260" s="38" t="n"/>
      <c r="G260" s="35" t="n"/>
      <c r="H260" s="37" t="n"/>
      <c r="I260" s="35" t="n"/>
      <c r="J260" s="32" t="n"/>
      <c r="K260" s="30">
        <f>IF(G260="","",IFERROR(INDEX(Config!$B$10:$B$14,MATCH(G260,Config!$A$10:$A$14,0)),0))</f>
        <v/>
      </c>
      <c r="L260" s="26">
        <f>IF(OR(G260="",F260=""),"",F260*K260)</f>
        <v/>
      </c>
      <c r="M260" s="29">
        <f>IF(OR(G260="",G260="Aprovado",G260="Recusado",G260="Sem retorno",A260=""),"",Config!$B$5-A260)</f>
        <v/>
      </c>
      <c r="N260" s="29">
        <f>IF(AND(OR(G260="Aprovado",G260="Recusado"),H260&lt;&gt;"",A260&lt;&gt;""),H260-A260,"")</f>
        <v/>
      </c>
      <c r="O260" s="25">
        <f>IF(G260="","",IF(OR(G260="Aprovado",G260="Recusado",G260="Sem retorno"),G260,IF(AND(M260&lt;&gt;"",M260&gt;Config!$B$7),"Parado","Ativo")))</f>
        <v/>
      </c>
      <c r="P260" s="39">
        <f>IF(A260="","",DATE(YEAR(A260),MONTH(A260),1))</f>
        <v/>
      </c>
      <c r="Q260" s="40">
        <f>IF(OR(G260="",O260="Aprovado",O260="Recusado",O260="Sem retorno"),0,IF(O260="Parado",2000,1000)+MIN(N(M260),500)+N(F260)/1000000-ROW()/100000)</f>
        <v>0</v>
      </c>
    </row>
    <row r="261">
      <c r="A261" s="37" t="n"/>
      <c r="B261" s="32" t="n"/>
      <c r="C261" s="35" t="n"/>
      <c r="D261" s="35" t="n"/>
      <c r="E261" s="32" t="n"/>
      <c r="F261" s="38" t="n"/>
      <c r="G261" s="35" t="n"/>
      <c r="H261" s="37" t="n"/>
      <c r="I261" s="35" t="n"/>
      <c r="J261" s="32" t="n"/>
      <c r="K261" s="30">
        <f>IF(G261="","",IFERROR(INDEX(Config!$B$10:$B$14,MATCH(G261,Config!$A$10:$A$14,0)),0))</f>
        <v/>
      </c>
      <c r="L261" s="26">
        <f>IF(OR(G261="",F261=""),"",F261*K261)</f>
        <v/>
      </c>
      <c r="M261" s="29">
        <f>IF(OR(G261="",G261="Aprovado",G261="Recusado",G261="Sem retorno",A261=""),"",Config!$B$5-A261)</f>
        <v/>
      </c>
      <c r="N261" s="29">
        <f>IF(AND(OR(G261="Aprovado",G261="Recusado"),H261&lt;&gt;"",A261&lt;&gt;""),H261-A261,"")</f>
        <v/>
      </c>
      <c r="O261" s="25">
        <f>IF(G261="","",IF(OR(G261="Aprovado",G261="Recusado",G261="Sem retorno"),G261,IF(AND(M261&lt;&gt;"",M261&gt;Config!$B$7),"Parado","Ativo")))</f>
        <v/>
      </c>
      <c r="P261" s="39">
        <f>IF(A261="","",DATE(YEAR(A261),MONTH(A261),1))</f>
        <v/>
      </c>
      <c r="Q261" s="40">
        <f>IF(OR(G261="",O261="Aprovado",O261="Recusado",O261="Sem retorno"),0,IF(O261="Parado",2000,1000)+MIN(N(M261),500)+N(F261)/1000000-ROW()/100000)</f>
        <v>0</v>
      </c>
    </row>
    <row r="262">
      <c r="A262" s="37" t="n"/>
      <c r="B262" s="32" t="n"/>
      <c r="C262" s="35" t="n"/>
      <c r="D262" s="35" t="n"/>
      <c r="E262" s="32" t="n"/>
      <c r="F262" s="38" t="n"/>
      <c r="G262" s="35" t="n"/>
      <c r="H262" s="37" t="n"/>
      <c r="I262" s="35" t="n"/>
      <c r="J262" s="32" t="n"/>
      <c r="K262" s="30">
        <f>IF(G262="","",IFERROR(INDEX(Config!$B$10:$B$14,MATCH(G262,Config!$A$10:$A$14,0)),0))</f>
        <v/>
      </c>
      <c r="L262" s="26">
        <f>IF(OR(G262="",F262=""),"",F262*K262)</f>
        <v/>
      </c>
      <c r="M262" s="29">
        <f>IF(OR(G262="",G262="Aprovado",G262="Recusado",G262="Sem retorno",A262=""),"",Config!$B$5-A262)</f>
        <v/>
      </c>
      <c r="N262" s="29">
        <f>IF(AND(OR(G262="Aprovado",G262="Recusado"),H262&lt;&gt;"",A262&lt;&gt;""),H262-A262,"")</f>
        <v/>
      </c>
      <c r="O262" s="25">
        <f>IF(G262="","",IF(OR(G262="Aprovado",G262="Recusado",G262="Sem retorno"),G262,IF(AND(M262&lt;&gt;"",M262&gt;Config!$B$7),"Parado","Ativo")))</f>
        <v/>
      </c>
      <c r="P262" s="39">
        <f>IF(A262="","",DATE(YEAR(A262),MONTH(A262),1))</f>
        <v/>
      </c>
      <c r="Q262" s="40">
        <f>IF(OR(G262="",O262="Aprovado",O262="Recusado",O262="Sem retorno"),0,IF(O262="Parado",2000,1000)+MIN(N(M262),500)+N(F262)/1000000-ROW()/100000)</f>
        <v>0</v>
      </c>
    </row>
    <row r="263">
      <c r="A263" s="37" t="n"/>
      <c r="B263" s="32" t="n"/>
      <c r="C263" s="35" t="n"/>
      <c r="D263" s="35" t="n"/>
      <c r="E263" s="32" t="n"/>
      <c r="F263" s="38" t="n"/>
      <c r="G263" s="35" t="n"/>
      <c r="H263" s="37" t="n"/>
      <c r="I263" s="35" t="n"/>
      <c r="J263" s="32" t="n"/>
      <c r="K263" s="30">
        <f>IF(G263="","",IFERROR(INDEX(Config!$B$10:$B$14,MATCH(G263,Config!$A$10:$A$14,0)),0))</f>
        <v/>
      </c>
      <c r="L263" s="26">
        <f>IF(OR(G263="",F263=""),"",F263*K263)</f>
        <v/>
      </c>
      <c r="M263" s="29">
        <f>IF(OR(G263="",G263="Aprovado",G263="Recusado",G263="Sem retorno",A263=""),"",Config!$B$5-A263)</f>
        <v/>
      </c>
      <c r="N263" s="29">
        <f>IF(AND(OR(G263="Aprovado",G263="Recusado"),H263&lt;&gt;"",A263&lt;&gt;""),H263-A263,"")</f>
        <v/>
      </c>
      <c r="O263" s="25">
        <f>IF(G263="","",IF(OR(G263="Aprovado",G263="Recusado",G263="Sem retorno"),G263,IF(AND(M263&lt;&gt;"",M263&gt;Config!$B$7),"Parado","Ativo")))</f>
        <v/>
      </c>
      <c r="P263" s="39">
        <f>IF(A263="","",DATE(YEAR(A263),MONTH(A263),1))</f>
        <v/>
      </c>
      <c r="Q263" s="40">
        <f>IF(OR(G263="",O263="Aprovado",O263="Recusado",O263="Sem retorno"),0,IF(O263="Parado",2000,1000)+MIN(N(M263),500)+N(F263)/1000000-ROW()/100000)</f>
        <v>0</v>
      </c>
    </row>
    <row r="264">
      <c r="A264" s="37" t="n"/>
      <c r="B264" s="32" t="n"/>
      <c r="C264" s="35" t="n"/>
      <c r="D264" s="35" t="n"/>
      <c r="E264" s="32" t="n"/>
      <c r="F264" s="38" t="n"/>
      <c r="G264" s="35" t="n"/>
      <c r="H264" s="37" t="n"/>
      <c r="I264" s="35" t="n"/>
      <c r="J264" s="32" t="n"/>
      <c r="K264" s="30">
        <f>IF(G264="","",IFERROR(INDEX(Config!$B$10:$B$14,MATCH(G264,Config!$A$10:$A$14,0)),0))</f>
        <v/>
      </c>
      <c r="L264" s="26">
        <f>IF(OR(G264="",F264=""),"",F264*K264)</f>
        <v/>
      </c>
      <c r="M264" s="29">
        <f>IF(OR(G264="",G264="Aprovado",G264="Recusado",G264="Sem retorno",A264=""),"",Config!$B$5-A264)</f>
        <v/>
      </c>
      <c r="N264" s="29">
        <f>IF(AND(OR(G264="Aprovado",G264="Recusado"),H264&lt;&gt;"",A264&lt;&gt;""),H264-A264,"")</f>
        <v/>
      </c>
      <c r="O264" s="25">
        <f>IF(G264="","",IF(OR(G264="Aprovado",G264="Recusado",G264="Sem retorno"),G264,IF(AND(M264&lt;&gt;"",M264&gt;Config!$B$7),"Parado","Ativo")))</f>
        <v/>
      </c>
      <c r="P264" s="39">
        <f>IF(A264="","",DATE(YEAR(A264),MONTH(A264),1))</f>
        <v/>
      </c>
      <c r="Q264" s="40">
        <f>IF(OR(G264="",O264="Aprovado",O264="Recusado",O264="Sem retorno"),0,IF(O264="Parado",2000,1000)+MIN(N(M264),500)+N(F264)/1000000-ROW()/100000)</f>
        <v>0</v>
      </c>
    </row>
    <row r="265">
      <c r="A265" s="37" t="n"/>
      <c r="B265" s="32" t="n"/>
      <c r="C265" s="35" t="n"/>
      <c r="D265" s="35" t="n"/>
      <c r="E265" s="32" t="n"/>
      <c r="F265" s="38" t="n"/>
      <c r="G265" s="35" t="n"/>
      <c r="H265" s="37" t="n"/>
      <c r="I265" s="35" t="n"/>
      <c r="J265" s="32" t="n"/>
      <c r="K265" s="30">
        <f>IF(G265="","",IFERROR(INDEX(Config!$B$10:$B$14,MATCH(G265,Config!$A$10:$A$14,0)),0))</f>
        <v/>
      </c>
      <c r="L265" s="26">
        <f>IF(OR(G265="",F265=""),"",F265*K265)</f>
        <v/>
      </c>
      <c r="M265" s="29">
        <f>IF(OR(G265="",G265="Aprovado",G265="Recusado",G265="Sem retorno",A265=""),"",Config!$B$5-A265)</f>
        <v/>
      </c>
      <c r="N265" s="29">
        <f>IF(AND(OR(G265="Aprovado",G265="Recusado"),H265&lt;&gt;"",A265&lt;&gt;""),H265-A265,"")</f>
        <v/>
      </c>
      <c r="O265" s="25">
        <f>IF(G265="","",IF(OR(G265="Aprovado",G265="Recusado",G265="Sem retorno"),G265,IF(AND(M265&lt;&gt;"",M265&gt;Config!$B$7),"Parado","Ativo")))</f>
        <v/>
      </c>
      <c r="P265" s="39">
        <f>IF(A265="","",DATE(YEAR(A265),MONTH(A265),1))</f>
        <v/>
      </c>
      <c r="Q265" s="40">
        <f>IF(OR(G265="",O265="Aprovado",O265="Recusado",O265="Sem retorno"),0,IF(O265="Parado",2000,1000)+MIN(N(M265),500)+N(F265)/1000000-ROW()/100000)</f>
        <v>0</v>
      </c>
    </row>
    <row r="266">
      <c r="A266" s="37" t="n"/>
      <c r="B266" s="32" t="n"/>
      <c r="C266" s="35" t="n"/>
      <c r="D266" s="35" t="n"/>
      <c r="E266" s="32" t="n"/>
      <c r="F266" s="38" t="n"/>
      <c r="G266" s="35" t="n"/>
      <c r="H266" s="37" t="n"/>
      <c r="I266" s="35" t="n"/>
      <c r="J266" s="32" t="n"/>
      <c r="K266" s="30">
        <f>IF(G266="","",IFERROR(INDEX(Config!$B$10:$B$14,MATCH(G266,Config!$A$10:$A$14,0)),0))</f>
        <v/>
      </c>
      <c r="L266" s="26">
        <f>IF(OR(G266="",F266=""),"",F266*K266)</f>
        <v/>
      </c>
      <c r="M266" s="29">
        <f>IF(OR(G266="",G266="Aprovado",G266="Recusado",G266="Sem retorno",A266=""),"",Config!$B$5-A266)</f>
        <v/>
      </c>
      <c r="N266" s="29">
        <f>IF(AND(OR(G266="Aprovado",G266="Recusado"),H266&lt;&gt;"",A266&lt;&gt;""),H266-A266,"")</f>
        <v/>
      </c>
      <c r="O266" s="25">
        <f>IF(G266="","",IF(OR(G266="Aprovado",G266="Recusado",G266="Sem retorno"),G266,IF(AND(M266&lt;&gt;"",M266&gt;Config!$B$7),"Parado","Ativo")))</f>
        <v/>
      </c>
      <c r="P266" s="39">
        <f>IF(A266="","",DATE(YEAR(A266),MONTH(A266),1))</f>
        <v/>
      </c>
      <c r="Q266" s="40">
        <f>IF(OR(G266="",O266="Aprovado",O266="Recusado",O266="Sem retorno"),0,IF(O266="Parado",2000,1000)+MIN(N(M266),500)+N(F266)/1000000-ROW()/100000)</f>
        <v>0</v>
      </c>
    </row>
    <row r="267">
      <c r="A267" s="37" t="n"/>
      <c r="B267" s="32" t="n"/>
      <c r="C267" s="35" t="n"/>
      <c r="D267" s="35" t="n"/>
      <c r="E267" s="32" t="n"/>
      <c r="F267" s="38" t="n"/>
      <c r="G267" s="35" t="n"/>
      <c r="H267" s="37" t="n"/>
      <c r="I267" s="35" t="n"/>
      <c r="J267" s="32" t="n"/>
      <c r="K267" s="30">
        <f>IF(G267="","",IFERROR(INDEX(Config!$B$10:$B$14,MATCH(G267,Config!$A$10:$A$14,0)),0))</f>
        <v/>
      </c>
      <c r="L267" s="26">
        <f>IF(OR(G267="",F267=""),"",F267*K267)</f>
        <v/>
      </c>
      <c r="M267" s="29">
        <f>IF(OR(G267="",G267="Aprovado",G267="Recusado",G267="Sem retorno",A267=""),"",Config!$B$5-A267)</f>
        <v/>
      </c>
      <c r="N267" s="29">
        <f>IF(AND(OR(G267="Aprovado",G267="Recusado"),H267&lt;&gt;"",A267&lt;&gt;""),H267-A267,"")</f>
        <v/>
      </c>
      <c r="O267" s="25">
        <f>IF(G267="","",IF(OR(G267="Aprovado",G267="Recusado",G267="Sem retorno"),G267,IF(AND(M267&lt;&gt;"",M267&gt;Config!$B$7),"Parado","Ativo")))</f>
        <v/>
      </c>
      <c r="P267" s="39">
        <f>IF(A267="","",DATE(YEAR(A267),MONTH(A267),1))</f>
        <v/>
      </c>
      <c r="Q267" s="40">
        <f>IF(OR(G267="",O267="Aprovado",O267="Recusado",O267="Sem retorno"),0,IF(O267="Parado",2000,1000)+MIN(N(M267),500)+N(F267)/1000000-ROW()/100000)</f>
        <v>0</v>
      </c>
    </row>
    <row r="268">
      <c r="A268" s="37" t="n"/>
      <c r="B268" s="32" t="n"/>
      <c r="C268" s="35" t="n"/>
      <c r="D268" s="35" t="n"/>
      <c r="E268" s="32" t="n"/>
      <c r="F268" s="38" t="n"/>
      <c r="G268" s="35" t="n"/>
      <c r="H268" s="37" t="n"/>
      <c r="I268" s="35" t="n"/>
      <c r="J268" s="32" t="n"/>
      <c r="K268" s="30">
        <f>IF(G268="","",IFERROR(INDEX(Config!$B$10:$B$14,MATCH(G268,Config!$A$10:$A$14,0)),0))</f>
        <v/>
      </c>
      <c r="L268" s="26">
        <f>IF(OR(G268="",F268=""),"",F268*K268)</f>
        <v/>
      </c>
      <c r="M268" s="29">
        <f>IF(OR(G268="",G268="Aprovado",G268="Recusado",G268="Sem retorno",A268=""),"",Config!$B$5-A268)</f>
        <v/>
      </c>
      <c r="N268" s="29">
        <f>IF(AND(OR(G268="Aprovado",G268="Recusado"),H268&lt;&gt;"",A268&lt;&gt;""),H268-A268,"")</f>
        <v/>
      </c>
      <c r="O268" s="25">
        <f>IF(G268="","",IF(OR(G268="Aprovado",G268="Recusado",G268="Sem retorno"),G268,IF(AND(M268&lt;&gt;"",M268&gt;Config!$B$7),"Parado","Ativo")))</f>
        <v/>
      </c>
      <c r="P268" s="39">
        <f>IF(A268="","",DATE(YEAR(A268),MONTH(A268),1))</f>
        <v/>
      </c>
      <c r="Q268" s="40">
        <f>IF(OR(G268="",O268="Aprovado",O268="Recusado",O268="Sem retorno"),0,IF(O268="Parado",2000,1000)+MIN(N(M268),500)+N(F268)/1000000-ROW()/100000)</f>
        <v>0</v>
      </c>
    </row>
    <row r="269">
      <c r="A269" s="37" t="n"/>
      <c r="B269" s="32" t="n"/>
      <c r="C269" s="35" t="n"/>
      <c r="D269" s="35" t="n"/>
      <c r="E269" s="32" t="n"/>
      <c r="F269" s="38" t="n"/>
      <c r="G269" s="35" t="n"/>
      <c r="H269" s="37" t="n"/>
      <c r="I269" s="35" t="n"/>
      <c r="J269" s="32" t="n"/>
      <c r="K269" s="30">
        <f>IF(G269="","",IFERROR(INDEX(Config!$B$10:$B$14,MATCH(G269,Config!$A$10:$A$14,0)),0))</f>
        <v/>
      </c>
      <c r="L269" s="26">
        <f>IF(OR(G269="",F269=""),"",F269*K269)</f>
        <v/>
      </c>
      <c r="M269" s="29">
        <f>IF(OR(G269="",G269="Aprovado",G269="Recusado",G269="Sem retorno",A269=""),"",Config!$B$5-A269)</f>
        <v/>
      </c>
      <c r="N269" s="29">
        <f>IF(AND(OR(G269="Aprovado",G269="Recusado"),H269&lt;&gt;"",A269&lt;&gt;""),H269-A269,"")</f>
        <v/>
      </c>
      <c r="O269" s="25">
        <f>IF(G269="","",IF(OR(G269="Aprovado",G269="Recusado",G269="Sem retorno"),G269,IF(AND(M269&lt;&gt;"",M269&gt;Config!$B$7),"Parado","Ativo")))</f>
        <v/>
      </c>
      <c r="P269" s="39">
        <f>IF(A269="","",DATE(YEAR(A269),MONTH(A269),1))</f>
        <v/>
      </c>
      <c r="Q269" s="40">
        <f>IF(OR(G269="",O269="Aprovado",O269="Recusado",O269="Sem retorno"),0,IF(O269="Parado",2000,1000)+MIN(N(M269),500)+N(F269)/1000000-ROW()/100000)</f>
        <v>0</v>
      </c>
    </row>
    <row r="270">
      <c r="A270" s="37" t="n"/>
      <c r="B270" s="32" t="n"/>
      <c r="C270" s="35" t="n"/>
      <c r="D270" s="35" t="n"/>
      <c r="E270" s="32" t="n"/>
      <c r="F270" s="38" t="n"/>
      <c r="G270" s="35" t="n"/>
      <c r="H270" s="37" t="n"/>
      <c r="I270" s="35" t="n"/>
      <c r="J270" s="32" t="n"/>
      <c r="K270" s="30">
        <f>IF(G270="","",IFERROR(INDEX(Config!$B$10:$B$14,MATCH(G270,Config!$A$10:$A$14,0)),0))</f>
        <v/>
      </c>
      <c r="L270" s="26">
        <f>IF(OR(G270="",F270=""),"",F270*K270)</f>
        <v/>
      </c>
      <c r="M270" s="29">
        <f>IF(OR(G270="",G270="Aprovado",G270="Recusado",G270="Sem retorno",A270=""),"",Config!$B$5-A270)</f>
        <v/>
      </c>
      <c r="N270" s="29">
        <f>IF(AND(OR(G270="Aprovado",G270="Recusado"),H270&lt;&gt;"",A270&lt;&gt;""),H270-A270,"")</f>
        <v/>
      </c>
      <c r="O270" s="25">
        <f>IF(G270="","",IF(OR(G270="Aprovado",G270="Recusado",G270="Sem retorno"),G270,IF(AND(M270&lt;&gt;"",M270&gt;Config!$B$7),"Parado","Ativo")))</f>
        <v/>
      </c>
      <c r="P270" s="39">
        <f>IF(A270="","",DATE(YEAR(A270),MONTH(A270),1))</f>
        <v/>
      </c>
      <c r="Q270" s="40">
        <f>IF(OR(G270="",O270="Aprovado",O270="Recusado",O270="Sem retorno"),0,IF(O270="Parado",2000,1000)+MIN(N(M270),500)+N(F270)/1000000-ROW()/100000)</f>
        <v>0</v>
      </c>
    </row>
    <row r="271">
      <c r="A271" s="37" t="n"/>
      <c r="B271" s="32" t="n"/>
      <c r="C271" s="35" t="n"/>
      <c r="D271" s="35" t="n"/>
      <c r="E271" s="32" t="n"/>
      <c r="F271" s="38" t="n"/>
      <c r="G271" s="35" t="n"/>
      <c r="H271" s="37" t="n"/>
      <c r="I271" s="35" t="n"/>
      <c r="J271" s="32" t="n"/>
      <c r="K271" s="30">
        <f>IF(G271="","",IFERROR(INDEX(Config!$B$10:$B$14,MATCH(G271,Config!$A$10:$A$14,0)),0))</f>
        <v/>
      </c>
      <c r="L271" s="26">
        <f>IF(OR(G271="",F271=""),"",F271*K271)</f>
        <v/>
      </c>
      <c r="M271" s="29">
        <f>IF(OR(G271="",G271="Aprovado",G271="Recusado",G271="Sem retorno",A271=""),"",Config!$B$5-A271)</f>
        <v/>
      </c>
      <c r="N271" s="29">
        <f>IF(AND(OR(G271="Aprovado",G271="Recusado"),H271&lt;&gt;"",A271&lt;&gt;""),H271-A271,"")</f>
        <v/>
      </c>
      <c r="O271" s="25">
        <f>IF(G271="","",IF(OR(G271="Aprovado",G271="Recusado",G271="Sem retorno"),G271,IF(AND(M271&lt;&gt;"",M271&gt;Config!$B$7),"Parado","Ativo")))</f>
        <v/>
      </c>
      <c r="P271" s="39">
        <f>IF(A271="","",DATE(YEAR(A271),MONTH(A271),1))</f>
        <v/>
      </c>
      <c r="Q271" s="40">
        <f>IF(OR(G271="",O271="Aprovado",O271="Recusado",O271="Sem retorno"),0,IF(O271="Parado",2000,1000)+MIN(N(M271),500)+N(F271)/1000000-ROW()/100000)</f>
        <v>0</v>
      </c>
    </row>
    <row r="272">
      <c r="A272" s="37" t="n"/>
      <c r="B272" s="32" t="n"/>
      <c r="C272" s="35" t="n"/>
      <c r="D272" s="35" t="n"/>
      <c r="E272" s="32" t="n"/>
      <c r="F272" s="38" t="n"/>
      <c r="G272" s="35" t="n"/>
      <c r="H272" s="37" t="n"/>
      <c r="I272" s="35" t="n"/>
      <c r="J272" s="32" t="n"/>
      <c r="K272" s="30">
        <f>IF(G272="","",IFERROR(INDEX(Config!$B$10:$B$14,MATCH(G272,Config!$A$10:$A$14,0)),0))</f>
        <v/>
      </c>
      <c r="L272" s="26">
        <f>IF(OR(G272="",F272=""),"",F272*K272)</f>
        <v/>
      </c>
      <c r="M272" s="29">
        <f>IF(OR(G272="",G272="Aprovado",G272="Recusado",G272="Sem retorno",A272=""),"",Config!$B$5-A272)</f>
        <v/>
      </c>
      <c r="N272" s="29">
        <f>IF(AND(OR(G272="Aprovado",G272="Recusado"),H272&lt;&gt;"",A272&lt;&gt;""),H272-A272,"")</f>
        <v/>
      </c>
      <c r="O272" s="25">
        <f>IF(G272="","",IF(OR(G272="Aprovado",G272="Recusado",G272="Sem retorno"),G272,IF(AND(M272&lt;&gt;"",M272&gt;Config!$B$7),"Parado","Ativo")))</f>
        <v/>
      </c>
      <c r="P272" s="39">
        <f>IF(A272="","",DATE(YEAR(A272),MONTH(A272),1))</f>
        <v/>
      </c>
      <c r="Q272" s="40">
        <f>IF(OR(G272="",O272="Aprovado",O272="Recusado",O272="Sem retorno"),0,IF(O272="Parado",2000,1000)+MIN(N(M272),500)+N(F272)/1000000-ROW()/100000)</f>
        <v>0</v>
      </c>
    </row>
    <row r="273">
      <c r="A273" s="37" t="n"/>
      <c r="B273" s="32" t="n"/>
      <c r="C273" s="35" t="n"/>
      <c r="D273" s="35" t="n"/>
      <c r="E273" s="32" t="n"/>
      <c r="F273" s="38" t="n"/>
      <c r="G273" s="35" t="n"/>
      <c r="H273" s="37" t="n"/>
      <c r="I273" s="35" t="n"/>
      <c r="J273" s="32" t="n"/>
      <c r="K273" s="30">
        <f>IF(G273="","",IFERROR(INDEX(Config!$B$10:$B$14,MATCH(G273,Config!$A$10:$A$14,0)),0))</f>
        <v/>
      </c>
      <c r="L273" s="26">
        <f>IF(OR(G273="",F273=""),"",F273*K273)</f>
        <v/>
      </c>
      <c r="M273" s="29">
        <f>IF(OR(G273="",G273="Aprovado",G273="Recusado",G273="Sem retorno",A273=""),"",Config!$B$5-A273)</f>
        <v/>
      </c>
      <c r="N273" s="29">
        <f>IF(AND(OR(G273="Aprovado",G273="Recusado"),H273&lt;&gt;"",A273&lt;&gt;""),H273-A273,"")</f>
        <v/>
      </c>
      <c r="O273" s="25">
        <f>IF(G273="","",IF(OR(G273="Aprovado",G273="Recusado",G273="Sem retorno"),G273,IF(AND(M273&lt;&gt;"",M273&gt;Config!$B$7),"Parado","Ativo")))</f>
        <v/>
      </c>
      <c r="P273" s="39">
        <f>IF(A273="","",DATE(YEAR(A273),MONTH(A273),1))</f>
        <v/>
      </c>
      <c r="Q273" s="40">
        <f>IF(OR(G273="",O273="Aprovado",O273="Recusado",O273="Sem retorno"),0,IF(O273="Parado",2000,1000)+MIN(N(M273),500)+N(F273)/1000000-ROW()/100000)</f>
        <v>0</v>
      </c>
    </row>
    <row r="274">
      <c r="A274" s="37" t="n"/>
      <c r="B274" s="32" t="n"/>
      <c r="C274" s="35" t="n"/>
      <c r="D274" s="35" t="n"/>
      <c r="E274" s="32" t="n"/>
      <c r="F274" s="38" t="n"/>
      <c r="G274" s="35" t="n"/>
      <c r="H274" s="37" t="n"/>
      <c r="I274" s="35" t="n"/>
      <c r="J274" s="32" t="n"/>
      <c r="K274" s="30">
        <f>IF(G274="","",IFERROR(INDEX(Config!$B$10:$B$14,MATCH(G274,Config!$A$10:$A$14,0)),0))</f>
        <v/>
      </c>
      <c r="L274" s="26">
        <f>IF(OR(G274="",F274=""),"",F274*K274)</f>
        <v/>
      </c>
      <c r="M274" s="29">
        <f>IF(OR(G274="",G274="Aprovado",G274="Recusado",G274="Sem retorno",A274=""),"",Config!$B$5-A274)</f>
        <v/>
      </c>
      <c r="N274" s="29">
        <f>IF(AND(OR(G274="Aprovado",G274="Recusado"),H274&lt;&gt;"",A274&lt;&gt;""),H274-A274,"")</f>
        <v/>
      </c>
      <c r="O274" s="25">
        <f>IF(G274="","",IF(OR(G274="Aprovado",G274="Recusado",G274="Sem retorno"),G274,IF(AND(M274&lt;&gt;"",M274&gt;Config!$B$7),"Parado","Ativo")))</f>
        <v/>
      </c>
      <c r="P274" s="39">
        <f>IF(A274="","",DATE(YEAR(A274),MONTH(A274),1))</f>
        <v/>
      </c>
      <c r="Q274" s="40">
        <f>IF(OR(G274="",O274="Aprovado",O274="Recusado",O274="Sem retorno"),0,IF(O274="Parado",2000,1000)+MIN(N(M274),500)+N(F274)/1000000-ROW()/100000)</f>
        <v>0</v>
      </c>
    </row>
    <row r="275">
      <c r="A275" s="37" t="n"/>
      <c r="B275" s="32" t="n"/>
      <c r="C275" s="35" t="n"/>
      <c r="D275" s="35" t="n"/>
      <c r="E275" s="32" t="n"/>
      <c r="F275" s="38" t="n"/>
      <c r="G275" s="35" t="n"/>
      <c r="H275" s="37" t="n"/>
      <c r="I275" s="35" t="n"/>
      <c r="J275" s="32" t="n"/>
      <c r="K275" s="30">
        <f>IF(G275="","",IFERROR(INDEX(Config!$B$10:$B$14,MATCH(G275,Config!$A$10:$A$14,0)),0))</f>
        <v/>
      </c>
      <c r="L275" s="26">
        <f>IF(OR(G275="",F275=""),"",F275*K275)</f>
        <v/>
      </c>
      <c r="M275" s="29">
        <f>IF(OR(G275="",G275="Aprovado",G275="Recusado",G275="Sem retorno",A275=""),"",Config!$B$5-A275)</f>
        <v/>
      </c>
      <c r="N275" s="29">
        <f>IF(AND(OR(G275="Aprovado",G275="Recusado"),H275&lt;&gt;"",A275&lt;&gt;""),H275-A275,"")</f>
        <v/>
      </c>
      <c r="O275" s="25">
        <f>IF(G275="","",IF(OR(G275="Aprovado",G275="Recusado",G275="Sem retorno"),G275,IF(AND(M275&lt;&gt;"",M275&gt;Config!$B$7),"Parado","Ativo")))</f>
        <v/>
      </c>
      <c r="P275" s="39">
        <f>IF(A275="","",DATE(YEAR(A275),MONTH(A275),1))</f>
        <v/>
      </c>
      <c r="Q275" s="40">
        <f>IF(OR(G275="",O275="Aprovado",O275="Recusado",O275="Sem retorno"),0,IF(O275="Parado",2000,1000)+MIN(N(M275),500)+N(F275)/1000000-ROW()/100000)</f>
        <v>0</v>
      </c>
    </row>
    <row r="276">
      <c r="A276" s="37" t="n"/>
      <c r="B276" s="32" t="n"/>
      <c r="C276" s="35" t="n"/>
      <c r="D276" s="35" t="n"/>
      <c r="E276" s="32" t="n"/>
      <c r="F276" s="38" t="n"/>
      <c r="G276" s="35" t="n"/>
      <c r="H276" s="37" t="n"/>
      <c r="I276" s="35" t="n"/>
      <c r="J276" s="32" t="n"/>
      <c r="K276" s="30">
        <f>IF(G276="","",IFERROR(INDEX(Config!$B$10:$B$14,MATCH(G276,Config!$A$10:$A$14,0)),0))</f>
        <v/>
      </c>
      <c r="L276" s="26">
        <f>IF(OR(G276="",F276=""),"",F276*K276)</f>
        <v/>
      </c>
      <c r="M276" s="29">
        <f>IF(OR(G276="",G276="Aprovado",G276="Recusado",G276="Sem retorno",A276=""),"",Config!$B$5-A276)</f>
        <v/>
      </c>
      <c r="N276" s="29">
        <f>IF(AND(OR(G276="Aprovado",G276="Recusado"),H276&lt;&gt;"",A276&lt;&gt;""),H276-A276,"")</f>
        <v/>
      </c>
      <c r="O276" s="25">
        <f>IF(G276="","",IF(OR(G276="Aprovado",G276="Recusado",G276="Sem retorno"),G276,IF(AND(M276&lt;&gt;"",M276&gt;Config!$B$7),"Parado","Ativo")))</f>
        <v/>
      </c>
      <c r="P276" s="39">
        <f>IF(A276="","",DATE(YEAR(A276),MONTH(A276),1))</f>
        <v/>
      </c>
      <c r="Q276" s="40">
        <f>IF(OR(G276="",O276="Aprovado",O276="Recusado",O276="Sem retorno"),0,IF(O276="Parado",2000,1000)+MIN(N(M276),500)+N(F276)/1000000-ROW()/100000)</f>
        <v>0</v>
      </c>
    </row>
    <row r="277">
      <c r="A277" s="37" t="n"/>
      <c r="B277" s="32" t="n"/>
      <c r="C277" s="35" t="n"/>
      <c r="D277" s="35" t="n"/>
      <c r="E277" s="32" t="n"/>
      <c r="F277" s="38" t="n"/>
      <c r="G277" s="35" t="n"/>
      <c r="H277" s="37" t="n"/>
      <c r="I277" s="35" t="n"/>
      <c r="J277" s="32" t="n"/>
      <c r="K277" s="30">
        <f>IF(G277="","",IFERROR(INDEX(Config!$B$10:$B$14,MATCH(G277,Config!$A$10:$A$14,0)),0))</f>
        <v/>
      </c>
      <c r="L277" s="26">
        <f>IF(OR(G277="",F277=""),"",F277*K277)</f>
        <v/>
      </c>
      <c r="M277" s="29">
        <f>IF(OR(G277="",G277="Aprovado",G277="Recusado",G277="Sem retorno",A277=""),"",Config!$B$5-A277)</f>
        <v/>
      </c>
      <c r="N277" s="29">
        <f>IF(AND(OR(G277="Aprovado",G277="Recusado"),H277&lt;&gt;"",A277&lt;&gt;""),H277-A277,"")</f>
        <v/>
      </c>
      <c r="O277" s="25">
        <f>IF(G277="","",IF(OR(G277="Aprovado",G277="Recusado",G277="Sem retorno"),G277,IF(AND(M277&lt;&gt;"",M277&gt;Config!$B$7),"Parado","Ativo")))</f>
        <v/>
      </c>
      <c r="P277" s="39">
        <f>IF(A277="","",DATE(YEAR(A277),MONTH(A277),1))</f>
        <v/>
      </c>
      <c r="Q277" s="40">
        <f>IF(OR(G277="",O277="Aprovado",O277="Recusado",O277="Sem retorno"),0,IF(O277="Parado",2000,1000)+MIN(N(M277),500)+N(F277)/1000000-ROW()/100000)</f>
        <v>0</v>
      </c>
    </row>
    <row r="278">
      <c r="A278" s="37" t="n"/>
      <c r="B278" s="32" t="n"/>
      <c r="C278" s="35" t="n"/>
      <c r="D278" s="35" t="n"/>
      <c r="E278" s="32" t="n"/>
      <c r="F278" s="38" t="n"/>
      <c r="G278" s="35" t="n"/>
      <c r="H278" s="37" t="n"/>
      <c r="I278" s="35" t="n"/>
      <c r="J278" s="32" t="n"/>
      <c r="K278" s="30">
        <f>IF(G278="","",IFERROR(INDEX(Config!$B$10:$B$14,MATCH(G278,Config!$A$10:$A$14,0)),0))</f>
        <v/>
      </c>
      <c r="L278" s="26">
        <f>IF(OR(G278="",F278=""),"",F278*K278)</f>
        <v/>
      </c>
      <c r="M278" s="29">
        <f>IF(OR(G278="",G278="Aprovado",G278="Recusado",G278="Sem retorno",A278=""),"",Config!$B$5-A278)</f>
        <v/>
      </c>
      <c r="N278" s="29">
        <f>IF(AND(OR(G278="Aprovado",G278="Recusado"),H278&lt;&gt;"",A278&lt;&gt;""),H278-A278,"")</f>
        <v/>
      </c>
      <c r="O278" s="25">
        <f>IF(G278="","",IF(OR(G278="Aprovado",G278="Recusado",G278="Sem retorno"),G278,IF(AND(M278&lt;&gt;"",M278&gt;Config!$B$7),"Parado","Ativo")))</f>
        <v/>
      </c>
      <c r="P278" s="39">
        <f>IF(A278="","",DATE(YEAR(A278),MONTH(A278),1))</f>
        <v/>
      </c>
      <c r="Q278" s="40">
        <f>IF(OR(G278="",O278="Aprovado",O278="Recusado",O278="Sem retorno"),0,IF(O278="Parado",2000,1000)+MIN(N(M278),500)+N(F278)/1000000-ROW()/100000)</f>
        <v>0</v>
      </c>
    </row>
    <row r="279">
      <c r="A279" s="37" t="n"/>
      <c r="B279" s="32" t="n"/>
      <c r="C279" s="35" t="n"/>
      <c r="D279" s="35" t="n"/>
      <c r="E279" s="32" t="n"/>
      <c r="F279" s="38" t="n"/>
      <c r="G279" s="35" t="n"/>
      <c r="H279" s="37" t="n"/>
      <c r="I279" s="35" t="n"/>
      <c r="J279" s="32" t="n"/>
      <c r="K279" s="30">
        <f>IF(G279="","",IFERROR(INDEX(Config!$B$10:$B$14,MATCH(G279,Config!$A$10:$A$14,0)),0))</f>
        <v/>
      </c>
      <c r="L279" s="26">
        <f>IF(OR(G279="",F279=""),"",F279*K279)</f>
        <v/>
      </c>
      <c r="M279" s="29">
        <f>IF(OR(G279="",G279="Aprovado",G279="Recusado",G279="Sem retorno",A279=""),"",Config!$B$5-A279)</f>
        <v/>
      </c>
      <c r="N279" s="29">
        <f>IF(AND(OR(G279="Aprovado",G279="Recusado"),H279&lt;&gt;"",A279&lt;&gt;""),H279-A279,"")</f>
        <v/>
      </c>
      <c r="O279" s="25">
        <f>IF(G279="","",IF(OR(G279="Aprovado",G279="Recusado",G279="Sem retorno"),G279,IF(AND(M279&lt;&gt;"",M279&gt;Config!$B$7),"Parado","Ativo")))</f>
        <v/>
      </c>
      <c r="P279" s="39">
        <f>IF(A279="","",DATE(YEAR(A279),MONTH(A279),1))</f>
        <v/>
      </c>
      <c r="Q279" s="40">
        <f>IF(OR(G279="",O279="Aprovado",O279="Recusado",O279="Sem retorno"),0,IF(O279="Parado",2000,1000)+MIN(N(M279),500)+N(F279)/1000000-ROW()/100000)</f>
        <v>0</v>
      </c>
    </row>
    <row r="280">
      <c r="A280" s="37" t="n"/>
      <c r="B280" s="32" t="n"/>
      <c r="C280" s="35" t="n"/>
      <c r="D280" s="35" t="n"/>
      <c r="E280" s="32" t="n"/>
      <c r="F280" s="38" t="n"/>
      <c r="G280" s="35" t="n"/>
      <c r="H280" s="37" t="n"/>
      <c r="I280" s="35" t="n"/>
      <c r="J280" s="32" t="n"/>
      <c r="K280" s="30">
        <f>IF(G280="","",IFERROR(INDEX(Config!$B$10:$B$14,MATCH(G280,Config!$A$10:$A$14,0)),0))</f>
        <v/>
      </c>
      <c r="L280" s="26">
        <f>IF(OR(G280="",F280=""),"",F280*K280)</f>
        <v/>
      </c>
      <c r="M280" s="29">
        <f>IF(OR(G280="",G280="Aprovado",G280="Recusado",G280="Sem retorno",A280=""),"",Config!$B$5-A280)</f>
        <v/>
      </c>
      <c r="N280" s="29">
        <f>IF(AND(OR(G280="Aprovado",G280="Recusado"),H280&lt;&gt;"",A280&lt;&gt;""),H280-A280,"")</f>
        <v/>
      </c>
      <c r="O280" s="25">
        <f>IF(G280="","",IF(OR(G280="Aprovado",G280="Recusado",G280="Sem retorno"),G280,IF(AND(M280&lt;&gt;"",M280&gt;Config!$B$7),"Parado","Ativo")))</f>
        <v/>
      </c>
      <c r="P280" s="39">
        <f>IF(A280="","",DATE(YEAR(A280),MONTH(A280),1))</f>
        <v/>
      </c>
      <c r="Q280" s="40">
        <f>IF(OR(G280="",O280="Aprovado",O280="Recusado",O280="Sem retorno"),0,IF(O280="Parado",2000,1000)+MIN(N(M280),500)+N(F280)/1000000-ROW()/100000)</f>
        <v>0</v>
      </c>
    </row>
    <row r="281">
      <c r="A281" s="37" t="n"/>
      <c r="B281" s="32" t="n"/>
      <c r="C281" s="35" t="n"/>
      <c r="D281" s="35" t="n"/>
      <c r="E281" s="32" t="n"/>
      <c r="F281" s="38" t="n"/>
      <c r="G281" s="35" t="n"/>
      <c r="H281" s="37" t="n"/>
      <c r="I281" s="35" t="n"/>
      <c r="J281" s="32" t="n"/>
      <c r="K281" s="30">
        <f>IF(G281="","",IFERROR(INDEX(Config!$B$10:$B$14,MATCH(G281,Config!$A$10:$A$14,0)),0))</f>
        <v/>
      </c>
      <c r="L281" s="26">
        <f>IF(OR(G281="",F281=""),"",F281*K281)</f>
        <v/>
      </c>
      <c r="M281" s="29">
        <f>IF(OR(G281="",G281="Aprovado",G281="Recusado",G281="Sem retorno",A281=""),"",Config!$B$5-A281)</f>
        <v/>
      </c>
      <c r="N281" s="29">
        <f>IF(AND(OR(G281="Aprovado",G281="Recusado"),H281&lt;&gt;"",A281&lt;&gt;""),H281-A281,"")</f>
        <v/>
      </c>
      <c r="O281" s="25">
        <f>IF(G281="","",IF(OR(G281="Aprovado",G281="Recusado",G281="Sem retorno"),G281,IF(AND(M281&lt;&gt;"",M281&gt;Config!$B$7),"Parado","Ativo")))</f>
        <v/>
      </c>
      <c r="P281" s="39">
        <f>IF(A281="","",DATE(YEAR(A281),MONTH(A281),1))</f>
        <v/>
      </c>
      <c r="Q281" s="40">
        <f>IF(OR(G281="",O281="Aprovado",O281="Recusado",O281="Sem retorno"),0,IF(O281="Parado",2000,1000)+MIN(N(M281),500)+N(F281)/1000000-ROW()/100000)</f>
        <v>0</v>
      </c>
    </row>
    <row r="282">
      <c r="A282" s="37" t="n"/>
      <c r="B282" s="32" t="n"/>
      <c r="C282" s="35" t="n"/>
      <c r="D282" s="35" t="n"/>
      <c r="E282" s="32" t="n"/>
      <c r="F282" s="38" t="n"/>
      <c r="G282" s="35" t="n"/>
      <c r="H282" s="37" t="n"/>
      <c r="I282" s="35" t="n"/>
      <c r="J282" s="32" t="n"/>
      <c r="K282" s="30">
        <f>IF(G282="","",IFERROR(INDEX(Config!$B$10:$B$14,MATCH(G282,Config!$A$10:$A$14,0)),0))</f>
        <v/>
      </c>
      <c r="L282" s="26">
        <f>IF(OR(G282="",F282=""),"",F282*K282)</f>
        <v/>
      </c>
      <c r="M282" s="29">
        <f>IF(OR(G282="",G282="Aprovado",G282="Recusado",G282="Sem retorno",A282=""),"",Config!$B$5-A282)</f>
        <v/>
      </c>
      <c r="N282" s="29">
        <f>IF(AND(OR(G282="Aprovado",G282="Recusado"),H282&lt;&gt;"",A282&lt;&gt;""),H282-A282,"")</f>
        <v/>
      </c>
      <c r="O282" s="25">
        <f>IF(G282="","",IF(OR(G282="Aprovado",G282="Recusado",G282="Sem retorno"),G282,IF(AND(M282&lt;&gt;"",M282&gt;Config!$B$7),"Parado","Ativo")))</f>
        <v/>
      </c>
      <c r="P282" s="39">
        <f>IF(A282="","",DATE(YEAR(A282),MONTH(A282),1))</f>
        <v/>
      </c>
      <c r="Q282" s="40">
        <f>IF(OR(G282="",O282="Aprovado",O282="Recusado",O282="Sem retorno"),0,IF(O282="Parado",2000,1000)+MIN(N(M282),500)+N(F282)/1000000-ROW()/100000)</f>
        <v>0</v>
      </c>
    </row>
    <row r="283">
      <c r="A283" s="37" t="n"/>
      <c r="B283" s="32" t="n"/>
      <c r="C283" s="35" t="n"/>
      <c r="D283" s="35" t="n"/>
      <c r="E283" s="32" t="n"/>
      <c r="F283" s="38" t="n"/>
      <c r="G283" s="35" t="n"/>
      <c r="H283" s="37" t="n"/>
      <c r="I283" s="35" t="n"/>
      <c r="J283" s="32" t="n"/>
      <c r="K283" s="30">
        <f>IF(G283="","",IFERROR(INDEX(Config!$B$10:$B$14,MATCH(G283,Config!$A$10:$A$14,0)),0))</f>
        <v/>
      </c>
      <c r="L283" s="26">
        <f>IF(OR(G283="",F283=""),"",F283*K283)</f>
        <v/>
      </c>
      <c r="M283" s="29">
        <f>IF(OR(G283="",G283="Aprovado",G283="Recusado",G283="Sem retorno",A283=""),"",Config!$B$5-A283)</f>
        <v/>
      </c>
      <c r="N283" s="29">
        <f>IF(AND(OR(G283="Aprovado",G283="Recusado"),H283&lt;&gt;"",A283&lt;&gt;""),H283-A283,"")</f>
        <v/>
      </c>
      <c r="O283" s="25">
        <f>IF(G283="","",IF(OR(G283="Aprovado",G283="Recusado",G283="Sem retorno"),G283,IF(AND(M283&lt;&gt;"",M283&gt;Config!$B$7),"Parado","Ativo")))</f>
        <v/>
      </c>
      <c r="P283" s="39">
        <f>IF(A283="","",DATE(YEAR(A283),MONTH(A283),1))</f>
        <v/>
      </c>
      <c r="Q283" s="40">
        <f>IF(OR(G283="",O283="Aprovado",O283="Recusado",O283="Sem retorno"),0,IF(O283="Parado",2000,1000)+MIN(N(M283),500)+N(F283)/1000000-ROW()/100000)</f>
        <v>0</v>
      </c>
    </row>
    <row r="284">
      <c r="A284" s="37" t="n"/>
      <c r="B284" s="32" t="n"/>
      <c r="C284" s="35" t="n"/>
      <c r="D284" s="35" t="n"/>
      <c r="E284" s="32" t="n"/>
      <c r="F284" s="38" t="n"/>
      <c r="G284" s="35" t="n"/>
      <c r="H284" s="37" t="n"/>
      <c r="I284" s="35" t="n"/>
      <c r="J284" s="32" t="n"/>
      <c r="K284" s="30">
        <f>IF(G284="","",IFERROR(INDEX(Config!$B$10:$B$14,MATCH(G284,Config!$A$10:$A$14,0)),0))</f>
        <v/>
      </c>
      <c r="L284" s="26">
        <f>IF(OR(G284="",F284=""),"",F284*K284)</f>
        <v/>
      </c>
      <c r="M284" s="29">
        <f>IF(OR(G284="",G284="Aprovado",G284="Recusado",G284="Sem retorno",A284=""),"",Config!$B$5-A284)</f>
        <v/>
      </c>
      <c r="N284" s="29">
        <f>IF(AND(OR(G284="Aprovado",G284="Recusado"),H284&lt;&gt;"",A284&lt;&gt;""),H284-A284,"")</f>
        <v/>
      </c>
      <c r="O284" s="25">
        <f>IF(G284="","",IF(OR(G284="Aprovado",G284="Recusado",G284="Sem retorno"),G284,IF(AND(M284&lt;&gt;"",M284&gt;Config!$B$7),"Parado","Ativo")))</f>
        <v/>
      </c>
      <c r="P284" s="39">
        <f>IF(A284="","",DATE(YEAR(A284),MONTH(A284),1))</f>
        <v/>
      </c>
      <c r="Q284" s="40">
        <f>IF(OR(G284="",O284="Aprovado",O284="Recusado",O284="Sem retorno"),0,IF(O284="Parado",2000,1000)+MIN(N(M284),500)+N(F284)/1000000-ROW()/100000)</f>
        <v>0</v>
      </c>
    </row>
    <row r="285">
      <c r="A285" s="37" t="n"/>
      <c r="B285" s="32" t="n"/>
      <c r="C285" s="35" t="n"/>
      <c r="D285" s="35" t="n"/>
      <c r="E285" s="32" t="n"/>
      <c r="F285" s="38" t="n"/>
      <c r="G285" s="35" t="n"/>
      <c r="H285" s="37" t="n"/>
      <c r="I285" s="35" t="n"/>
      <c r="J285" s="32" t="n"/>
      <c r="K285" s="30">
        <f>IF(G285="","",IFERROR(INDEX(Config!$B$10:$B$14,MATCH(G285,Config!$A$10:$A$14,0)),0))</f>
        <v/>
      </c>
      <c r="L285" s="26">
        <f>IF(OR(G285="",F285=""),"",F285*K285)</f>
        <v/>
      </c>
      <c r="M285" s="29">
        <f>IF(OR(G285="",G285="Aprovado",G285="Recusado",G285="Sem retorno",A285=""),"",Config!$B$5-A285)</f>
        <v/>
      </c>
      <c r="N285" s="29">
        <f>IF(AND(OR(G285="Aprovado",G285="Recusado"),H285&lt;&gt;"",A285&lt;&gt;""),H285-A285,"")</f>
        <v/>
      </c>
      <c r="O285" s="25">
        <f>IF(G285="","",IF(OR(G285="Aprovado",G285="Recusado",G285="Sem retorno"),G285,IF(AND(M285&lt;&gt;"",M285&gt;Config!$B$7),"Parado","Ativo")))</f>
        <v/>
      </c>
      <c r="P285" s="39">
        <f>IF(A285="","",DATE(YEAR(A285),MONTH(A285),1))</f>
        <v/>
      </c>
      <c r="Q285" s="40">
        <f>IF(OR(G285="",O285="Aprovado",O285="Recusado",O285="Sem retorno"),0,IF(O285="Parado",2000,1000)+MIN(N(M285),500)+N(F285)/1000000-ROW()/100000)</f>
        <v>0</v>
      </c>
    </row>
    <row r="286">
      <c r="A286" s="37" t="n"/>
      <c r="B286" s="32" t="n"/>
      <c r="C286" s="35" t="n"/>
      <c r="D286" s="35" t="n"/>
      <c r="E286" s="32" t="n"/>
      <c r="F286" s="38" t="n"/>
      <c r="G286" s="35" t="n"/>
      <c r="H286" s="37" t="n"/>
      <c r="I286" s="35" t="n"/>
      <c r="J286" s="32" t="n"/>
      <c r="K286" s="30">
        <f>IF(G286="","",IFERROR(INDEX(Config!$B$10:$B$14,MATCH(G286,Config!$A$10:$A$14,0)),0))</f>
        <v/>
      </c>
      <c r="L286" s="26">
        <f>IF(OR(G286="",F286=""),"",F286*K286)</f>
        <v/>
      </c>
      <c r="M286" s="29">
        <f>IF(OR(G286="",G286="Aprovado",G286="Recusado",G286="Sem retorno",A286=""),"",Config!$B$5-A286)</f>
        <v/>
      </c>
      <c r="N286" s="29">
        <f>IF(AND(OR(G286="Aprovado",G286="Recusado"),H286&lt;&gt;"",A286&lt;&gt;""),H286-A286,"")</f>
        <v/>
      </c>
      <c r="O286" s="25">
        <f>IF(G286="","",IF(OR(G286="Aprovado",G286="Recusado",G286="Sem retorno"),G286,IF(AND(M286&lt;&gt;"",M286&gt;Config!$B$7),"Parado","Ativo")))</f>
        <v/>
      </c>
      <c r="P286" s="39">
        <f>IF(A286="","",DATE(YEAR(A286),MONTH(A286),1))</f>
        <v/>
      </c>
      <c r="Q286" s="40">
        <f>IF(OR(G286="",O286="Aprovado",O286="Recusado",O286="Sem retorno"),0,IF(O286="Parado",2000,1000)+MIN(N(M286),500)+N(F286)/1000000-ROW()/100000)</f>
        <v>0</v>
      </c>
    </row>
    <row r="287">
      <c r="A287" s="37" t="n"/>
      <c r="B287" s="32" t="n"/>
      <c r="C287" s="35" t="n"/>
      <c r="D287" s="35" t="n"/>
      <c r="E287" s="32" t="n"/>
      <c r="F287" s="38" t="n"/>
      <c r="G287" s="35" t="n"/>
      <c r="H287" s="37" t="n"/>
      <c r="I287" s="35" t="n"/>
      <c r="J287" s="32" t="n"/>
      <c r="K287" s="30">
        <f>IF(G287="","",IFERROR(INDEX(Config!$B$10:$B$14,MATCH(G287,Config!$A$10:$A$14,0)),0))</f>
        <v/>
      </c>
      <c r="L287" s="26">
        <f>IF(OR(G287="",F287=""),"",F287*K287)</f>
        <v/>
      </c>
      <c r="M287" s="29">
        <f>IF(OR(G287="",G287="Aprovado",G287="Recusado",G287="Sem retorno",A287=""),"",Config!$B$5-A287)</f>
        <v/>
      </c>
      <c r="N287" s="29">
        <f>IF(AND(OR(G287="Aprovado",G287="Recusado"),H287&lt;&gt;"",A287&lt;&gt;""),H287-A287,"")</f>
        <v/>
      </c>
      <c r="O287" s="25">
        <f>IF(G287="","",IF(OR(G287="Aprovado",G287="Recusado",G287="Sem retorno"),G287,IF(AND(M287&lt;&gt;"",M287&gt;Config!$B$7),"Parado","Ativo")))</f>
        <v/>
      </c>
      <c r="P287" s="39">
        <f>IF(A287="","",DATE(YEAR(A287),MONTH(A287),1))</f>
        <v/>
      </c>
      <c r="Q287" s="40">
        <f>IF(OR(G287="",O287="Aprovado",O287="Recusado",O287="Sem retorno"),0,IF(O287="Parado",2000,1000)+MIN(N(M287),500)+N(F287)/1000000-ROW()/100000)</f>
        <v>0</v>
      </c>
    </row>
    <row r="288">
      <c r="A288" s="37" t="n"/>
      <c r="B288" s="32" t="n"/>
      <c r="C288" s="35" t="n"/>
      <c r="D288" s="35" t="n"/>
      <c r="E288" s="32" t="n"/>
      <c r="F288" s="38" t="n"/>
      <c r="G288" s="35" t="n"/>
      <c r="H288" s="37" t="n"/>
      <c r="I288" s="35" t="n"/>
      <c r="J288" s="32" t="n"/>
      <c r="K288" s="30">
        <f>IF(G288="","",IFERROR(INDEX(Config!$B$10:$B$14,MATCH(G288,Config!$A$10:$A$14,0)),0))</f>
        <v/>
      </c>
      <c r="L288" s="26">
        <f>IF(OR(G288="",F288=""),"",F288*K288)</f>
        <v/>
      </c>
      <c r="M288" s="29">
        <f>IF(OR(G288="",G288="Aprovado",G288="Recusado",G288="Sem retorno",A288=""),"",Config!$B$5-A288)</f>
        <v/>
      </c>
      <c r="N288" s="29">
        <f>IF(AND(OR(G288="Aprovado",G288="Recusado"),H288&lt;&gt;"",A288&lt;&gt;""),H288-A288,"")</f>
        <v/>
      </c>
      <c r="O288" s="25">
        <f>IF(G288="","",IF(OR(G288="Aprovado",G288="Recusado",G288="Sem retorno"),G288,IF(AND(M288&lt;&gt;"",M288&gt;Config!$B$7),"Parado","Ativo")))</f>
        <v/>
      </c>
      <c r="P288" s="39">
        <f>IF(A288="","",DATE(YEAR(A288),MONTH(A288),1))</f>
        <v/>
      </c>
      <c r="Q288" s="40">
        <f>IF(OR(G288="",O288="Aprovado",O288="Recusado",O288="Sem retorno"),0,IF(O288="Parado",2000,1000)+MIN(N(M288),500)+N(F288)/1000000-ROW()/100000)</f>
        <v>0</v>
      </c>
    </row>
    <row r="289">
      <c r="A289" s="37" t="n"/>
      <c r="B289" s="32" t="n"/>
      <c r="C289" s="35" t="n"/>
      <c r="D289" s="35" t="n"/>
      <c r="E289" s="32" t="n"/>
      <c r="F289" s="38" t="n"/>
      <c r="G289" s="35" t="n"/>
      <c r="H289" s="37" t="n"/>
      <c r="I289" s="35" t="n"/>
      <c r="J289" s="32" t="n"/>
      <c r="K289" s="30">
        <f>IF(G289="","",IFERROR(INDEX(Config!$B$10:$B$14,MATCH(G289,Config!$A$10:$A$14,0)),0))</f>
        <v/>
      </c>
      <c r="L289" s="26">
        <f>IF(OR(G289="",F289=""),"",F289*K289)</f>
        <v/>
      </c>
      <c r="M289" s="29">
        <f>IF(OR(G289="",G289="Aprovado",G289="Recusado",G289="Sem retorno",A289=""),"",Config!$B$5-A289)</f>
        <v/>
      </c>
      <c r="N289" s="29">
        <f>IF(AND(OR(G289="Aprovado",G289="Recusado"),H289&lt;&gt;"",A289&lt;&gt;""),H289-A289,"")</f>
        <v/>
      </c>
      <c r="O289" s="25">
        <f>IF(G289="","",IF(OR(G289="Aprovado",G289="Recusado",G289="Sem retorno"),G289,IF(AND(M289&lt;&gt;"",M289&gt;Config!$B$7),"Parado","Ativo")))</f>
        <v/>
      </c>
      <c r="P289" s="39">
        <f>IF(A289="","",DATE(YEAR(A289),MONTH(A289),1))</f>
        <v/>
      </c>
      <c r="Q289" s="40">
        <f>IF(OR(G289="",O289="Aprovado",O289="Recusado",O289="Sem retorno"),0,IF(O289="Parado",2000,1000)+MIN(N(M289),500)+N(F289)/1000000-ROW()/100000)</f>
        <v>0</v>
      </c>
    </row>
    <row r="290">
      <c r="A290" s="37" t="n"/>
      <c r="B290" s="32" t="n"/>
      <c r="C290" s="35" t="n"/>
      <c r="D290" s="35" t="n"/>
      <c r="E290" s="32" t="n"/>
      <c r="F290" s="38" t="n"/>
      <c r="G290" s="35" t="n"/>
      <c r="H290" s="37" t="n"/>
      <c r="I290" s="35" t="n"/>
      <c r="J290" s="32" t="n"/>
      <c r="K290" s="30">
        <f>IF(G290="","",IFERROR(INDEX(Config!$B$10:$B$14,MATCH(G290,Config!$A$10:$A$14,0)),0))</f>
        <v/>
      </c>
      <c r="L290" s="26">
        <f>IF(OR(G290="",F290=""),"",F290*K290)</f>
        <v/>
      </c>
      <c r="M290" s="29">
        <f>IF(OR(G290="",G290="Aprovado",G290="Recusado",G290="Sem retorno",A290=""),"",Config!$B$5-A290)</f>
        <v/>
      </c>
      <c r="N290" s="29">
        <f>IF(AND(OR(G290="Aprovado",G290="Recusado"),H290&lt;&gt;"",A290&lt;&gt;""),H290-A290,"")</f>
        <v/>
      </c>
      <c r="O290" s="25">
        <f>IF(G290="","",IF(OR(G290="Aprovado",G290="Recusado",G290="Sem retorno"),G290,IF(AND(M290&lt;&gt;"",M290&gt;Config!$B$7),"Parado","Ativo")))</f>
        <v/>
      </c>
      <c r="P290" s="39">
        <f>IF(A290="","",DATE(YEAR(A290),MONTH(A290),1))</f>
        <v/>
      </c>
      <c r="Q290" s="40">
        <f>IF(OR(G290="",O290="Aprovado",O290="Recusado",O290="Sem retorno"),0,IF(O290="Parado",2000,1000)+MIN(N(M290),500)+N(F290)/1000000-ROW()/100000)</f>
        <v>0</v>
      </c>
    </row>
    <row r="291">
      <c r="A291" s="37" t="n"/>
      <c r="B291" s="32" t="n"/>
      <c r="C291" s="35" t="n"/>
      <c r="D291" s="35" t="n"/>
      <c r="E291" s="32" t="n"/>
      <c r="F291" s="38" t="n"/>
      <c r="G291" s="35" t="n"/>
      <c r="H291" s="37" t="n"/>
      <c r="I291" s="35" t="n"/>
      <c r="J291" s="32" t="n"/>
      <c r="K291" s="30">
        <f>IF(G291="","",IFERROR(INDEX(Config!$B$10:$B$14,MATCH(G291,Config!$A$10:$A$14,0)),0))</f>
        <v/>
      </c>
      <c r="L291" s="26">
        <f>IF(OR(G291="",F291=""),"",F291*K291)</f>
        <v/>
      </c>
      <c r="M291" s="29">
        <f>IF(OR(G291="",G291="Aprovado",G291="Recusado",G291="Sem retorno",A291=""),"",Config!$B$5-A291)</f>
        <v/>
      </c>
      <c r="N291" s="29">
        <f>IF(AND(OR(G291="Aprovado",G291="Recusado"),H291&lt;&gt;"",A291&lt;&gt;""),H291-A291,"")</f>
        <v/>
      </c>
      <c r="O291" s="25">
        <f>IF(G291="","",IF(OR(G291="Aprovado",G291="Recusado",G291="Sem retorno"),G291,IF(AND(M291&lt;&gt;"",M291&gt;Config!$B$7),"Parado","Ativo")))</f>
        <v/>
      </c>
      <c r="P291" s="39">
        <f>IF(A291="","",DATE(YEAR(A291),MONTH(A291),1))</f>
        <v/>
      </c>
      <c r="Q291" s="40">
        <f>IF(OR(G291="",O291="Aprovado",O291="Recusado",O291="Sem retorno"),0,IF(O291="Parado",2000,1000)+MIN(N(M291),500)+N(F291)/1000000-ROW()/100000)</f>
        <v>0</v>
      </c>
    </row>
    <row r="292">
      <c r="A292" s="37" t="n"/>
      <c r="B292" s="32" t="n"/>
      <c r="C292" s="35" t="n"/>
      <c r="D292" s="35" t="n"/>
      <c r="E292" s="32" t="n"/>
      <c r="F292" s="38" t="n"/>
      <c r="G292" s="35" t="n"/>
      <c r="H292" s="37" t="n"/>
      <c r="I292" s="35" t="n"/>
      <c r="J292" s="32" t="n"/>
      <c r="K292" s="30">
        <f>IF(G292="","",IFERROR(INDEX(Config!$B$10:$B$14,MATCH(G292,Config!$A$10:$A$14,0)),0))</f>
        <v/>
      </c>
      <c r="L292" s="26">
        <f>IF(OR(G292="",F292=""),"",F292*K292)</f>
        <v/>
      </c>
      <c r="M292" s="29">
        <f>IF(OR(G292="",G292="Aprovado",G292="Recusado",G292="Sem retorno",A292=""),"",Config!$B$5-A292)</f>
        <v/>
      </c>
      <c r="N292" s="29">
        <f>IF(AND(OR(G292="Aprovado",G292="Recusado"),H292&lt;&gt;"",A292&lt;&gt;""),H292-A292,"")</f>
        <v/>
      </c>
      <c r="O292" s="25">
        <f>IF(G292="","",IF(OR(G292="Aprovado",G292="Recusado",G292="Sem retorno"),G292,IF(AND(M292&lt;&gt;"",M292&gt;Config!$B$7),"Parado","Ativo")))</f>
        <v/>
      </c>
      <c r="P292" s="39">
        <f>IF(A292="","",DATE(YEAR(A292),MONTH(A292),1))</f>
        <v/>
      </c>
      <c r="Q292" s="40">
        <f>IF(OR(G292="",O292="Aprovado",O292="Recusado",O292="Sem retorno"),0,IF(O292="Parado",2000,1000)+MIN(N(M292),500)+N(F292)/1000000-ROW()/100000)</f>
        <v>0</v>
      </c>
    </row>
    <row r="293">
      <c r="A293" s="37" t="n"/>
      <c r="B293" s="32" t="n"/>
      <c r="C293" s="35" t="n"/>
      <c r="D293" s="35" t="n"/>
      <c r="E293" s="32" t="n"/>
      <c r="F293" s="38" t="n"/>
      <c r="G293" s="35" t="n"/>
      <c r="H293" s="37" t="n"/>
      <c r="I293" s="35" t="n"/>
      <c r="J293" s="32" t="n"/>
      <c r="K293" s="30">
        <f>IF(G293="","",IFERROR(INDEX(Config!$B$10:$B$14,MATCH(G293,Config!$A$10:$A$14,0)),0))</f>
        <v/>
      </c>
      <c r="L293" s="26">
        <f>IF(OR(G293="",F293=""),"",F293*K293)</f>
        <v/>
      </c>
      <c r="M293" s="29">
        <f>IF(OR(G293="",G293="Aprovado",G293="Recusado",G293="Sem retorno",A293=""),"",Config!$B$5-A293)</f>
        <v/>
      </c>
      <c r="N293" s="29">
        <f>IF(AND(OR(G293="Aprovado",G293="Recusado"),H293&lt;&gt;"",A293&lt;&gt;""),H293-A293,"")</f>
        <v/>
      </c>
      <c r="O293" s="25">
        <f>IF(G293="","",IF(OR(G293="Aprovado",G293="Recusado",G293="Sem retorno"),G293,IF(AND(M293&lt;&gt;"",M293&gt;Config!$B$7),"Parado","Ativo")))</f>
        <v/>
      </c>
      <c r="P293" s="39">
        <f>IF(A293="","",DATE(YEAR(A293),MONTH(A293),1))</f>
        <v/>
      </c>
      <c r="Q293" s="40">
        <f>IF(OR(G293="",O293="Aprovado",O293="Recusado",O293="Sem retorno"),0,IF(O293="Parado",2000,1000)+MIN(N(M293),500)+N(F293)/1000000-ROW()/100000)</f>
        <v>0</v>
      </c>
    </row>
    <row r="294">
      <c r="A294" s="37" t="n"/>
      <c r="B294" s="32" t="n"/>
      <c r="C294" s="35" t="n"/>
      <c r="D294" s="35" t="n"/>
      <c r="E294" s="32" t="n"/>
      <c r="F294" s="38" t="n"/>
      <c r="G294" s="35" t="n"/>
      <c r="H294" s="37" t="n"/>
      <c r="I294" s="35" t="n"/>
      <c r="J294" s="32" t="n"/>
      <c r="K294" s="30">
        <f>IF(G294="","",IFERROR(INDEX(Config!$B$10:$B$14,MATCH(G294,Config!$A$10:$A$14,0)),0))</f>
        <v/>
      </c>
      <c r="L294" s="26">
        <f>IF(OR(G294="",F294=""),"",F294*K294)</f>
        <v/>
      </c>
      <c r="M294" s="29">
        <f>IF(OR(G294="",G294="Aprovado",G294="Recusado",G294="Sem retorno",A294=""),"",Config!$B$5-A294)</f>
        <v/>
      </c>
      <c r="N294" s="29">
        <f>IF(AND(OR(G294="Aprovado",G294="Recusado"),H294&lt;&gt;"",A294&lt;&gt;""),H294-A294,"")</f>
        <v/>
      </c>
      <c r="O294" s="25">
        <f>IF(G294="","",IF(OR(G294="Aprovado",G294="Recusado",G294="Sem retorno"),G294,IF(AND(M294&lt;&gt;"",M294&gt;Config!$B$7),"Parado","Ativo")))</f>
        <v/>
      </c>
      <c r="P294" s="39">
        <f>IF(A294="","",DATE(YEAR(A294),MONTH(A294),1))</f>
        <v/>
      </c>
      <c r="Q294" s="40">
        <f>IF(OR(G294="",O294="Aprovado",O294="Recusado",O294="Sem retorno"),0,IF(O294="Parado",2000,1000)+MIN(N(M294),500)+N(F294)/1000000-ROW()/100000)</f>
        <v>0</v>
      </c>
    </row>
    <row r="295">
      <c r="A295" s="37" t="n"/>
      <c r="B295" s="32" t="n"/>
      <c r="C295" s="35" t="n"/>
      <c r="D295" s="35" t="n"/>
      <c r="E295" s="32" t="n"/>
      <c r="F295" s="38" t="n"/>
      <c r="G295" s="35" t="n"/>
      <c r="H295" s="37" t="n"/>
      <c r="I295" s="35" t="n"/>
      <c r="J295" s="32" t="n"/>
      <c r="K295" s="30">
        <f>IF(G295="","",IFERROR(INDEX(Config!$B$10:$B$14,MATCH(G295,Config!$A$10:$A$14,0)),0))</f>
        <v/>
      </c>
      <c r="L295" s="26">
        <f>IF(OR(G295="",F295=""),"",F295*K295)</f>
        <v/>
      </c>
      <c r="M295" s="29">
        <f>IF(OR(G295="",G295="Aprovado",G295="Recusado",G295="Sem retorno",A295=""),"",Config!$B$5-A295)</f>
        <v/>
      </c>
      <c r="N295" s="29">
        <f>IF(AND(OR(G295="Aprovado",G295="Recusado"),H295&lt;&gt;"",A295&lt;&gt;""),H295-A295,"")</f>
        <v/>
      </c>
      <c r="O295" s="25">
        <f>IF(G295="","",IF(OR(G295="Aprovado",G295="Recusado",G295="Sem retorno"),G295,IF(AND(M295&lt;&gt;"",M295&gt;Config!$B$7),"Parado","Ativo")))</f>
        <v/>
      </c>
      <c r="P295" s="39">
        <f>IF(A295="","",DATE(YEAR(A295),MONTH(A295),1))</f>
        <v/>
      </c>
      <c r="Q295" s="40">
        <f>IF(OR(G295="",O295="Aprovado",O295="Recusado",O295="Sem retorno"),0,IF(O295="Parado",2000,1000)+MIN(N(M295),500)+N(F295)/1000000-ROW()/100000)</f>
        <v>0</v>
      </c>
    </row>
    <row r="296">
      <c r="A296" s="37" t="n"/>
      <c r="B296" s="32" t="n"/>
      <c r="C296" s="35" t="n"/>
      <c r="D296" s="35" t="n"/>
      <c r="E296" s="32" t="n"/>
      <c r="F296" s="38" t="n"/>
      <c r="G296" s="35" t="n"/>
      <c r="H296" s="37" t="n"/>
      <c r="I296" s="35" t="n"/>
      <c r="J296" s="32" t="n"/>
      <c r="K296" s="30">
        <f>IF(G296="","",IFERROR(INDEX(Config!$B$10:$B$14,MATCH(G296,Config!$A$10:$A$14,0)),0))</f>
        <v/>
      </c>
      <c r="L296" s="26">
        <f>IF(OR(G296="",F296=""),"",F296*K296)</f>
        <v/>
      </c>
      <c r="M296" s="29">
        <f>IF(OR(G296="",G296="Aprovado",G296="Recusado",G296="Sem retorno",A296=""),"",Config!$B$5-A296)</f>
        <v/>
      </c>
      <c r="N296" s="29">
        <f>IF(AND(OR(G296="Aprovado",G296="Recusado"),H296&lt;&gt;"",A296&lt;&gt;""),H296-A296,"")</f>
        <v/>
      </c>
      <c r="O296" s="25">
        <f>IF(G296="","",IF(OR(G296="Aprovado",G296="Recusado",G296="Sem retorno"),G296,IF(AND(M296&lt;&gt;"",M296&gt;Config!$B$7),"Parado","Ativo")))</f>
        <v/>
      </c>
      <c r="P296" s="39">
        <f>IF(A296="","",DATE(YEAR(A296),MONTH(A296),1))</f>
        <v/>
      </c>
      <c r="Q296" s="40">
        <f>IF(OR(G296="",O296="Aprovado",O296="Recusado",O296="Sem retorno"),0,IF(O296="Parado",2000,1000)+MIN(N(M296),500)+N(F296)/1000000-ROW()/100000)</f>
        <v>0</v>
      </c>
    </row>
    <row r="297">
      <c r="A297" s="37" t="n"/>
      <c r="B297" s="32" t="n"/>
      <c r="C297" s="35" t="n"/>
      <c r="D297" s="35" t="n"/>
      <c r="E297" s="32" t="n"/>
      <c r="F297" s="38" t="n"/>
      <c r="G297" s="35" t="n"/>
      <c r="H297" s="37" t="n"/>
      <c r="I297" s="35" t="n"/>
      <c r="J297" s="32" t="n"/>
      <c r="K297" s="30">
        <f>IF(G297="","",IFERROR(INDEX(Config!$B$10:$B$14,MATCH(G297,Config!$A$10:$A$14,0)),0))</f>
        <v/>
      </c>
      <c r="L297" s="26">
        <f>IF(OR(G297="",F297=""),"",F297*K297)</f>
        <v/>
      </c>
      <c r="M297" s="29">
        <f>IF(OR(G297="",G297="Aprovado",G297="Recusado",G297="Sem retorno",A297=""),"",Config!$B$5-A297)</f>
        <v/>
      </c>
      <c r="N297" s="29">
        <f>IF(AND(OR(G297="Aprovado",G297="Recusado"),H297&lt;&gt;"",A297&lt;&gt;""),H297-A297,"")</f>
        <v/>
      </c>
      <c r="O297" s="25">
        <f>IF(G297="","",IF(OR(G297="Aprovado",G297="Recusado",G297="Sem retorno"),G297,IF(AND(M297&lt;&gt;"",M297&gt;Config!$B$7),"Parado","Ativo")))</f>
        <v/>
      </c>
      <c r="P297" s="39">
        <f>IF(A297="","",DATE(YEAR(A297),MONTH(A297),1))</f>
        <v/>
      </c>
      <c r="Q297" s="40">
        <f>IF(OR(G297="",O297="Aprovado",O297="Recusado",O297="Sem retorno"),0,IF(O297="Parado",2000,1000)+MIN(N(M297),500)+N(F297)/1000000-ROW()/100000)</f>
        <v>0</v>
      </c>
    </row>
    <row r="298">
      <c r="A298" s="37" t="n"/>
      <c r="B298" s="32" t="n"/>
      <c r="C298" s="35" t="n"/>
      <c r="D298" s="35" t="n"/>
      <c r="E298" s="32" t="n"/>
      <c r="F298" s="38" t="n"/>
      <c r="G298" s="35" t="n"/>
      <c r="H298" s="37" t="n"/>
      <c r="I298" s="35" t="n"/>
      <c r="J298" s="32" t="n"/>
      <c r="K298" s="30">
        <f>IF(G298="","",IFERROR(INDEX(Config!$B$10:$B$14,MATCH(G298,Config!$A$10:$A$14,0)),0))</f>
        <v/>
      </c>
      <c r="L298" s="26">
        <f>IF(OR(G298="",F298=""),"",F298*K298)</f>
        <v/>
      </c>
      <c r="M298" s="29">
        <f>IF(OR(G298="",G298="Aprovado",G298="Recusado",G298="Sem retorno",A298=""),"",Config!$B$5-A298)</f>
        <v/>
      </c>
      <c r="N298" s="29">
        <f>IF(AND(OR(G298="Aprovado",G298="Recusado"),H298&lt;&gt;"",A298&lt;&gt;""),H298-A298,"")</f>
        <v/>
      </c>
      <c r="O298" s="25">
        <f>IF(G298="","",IF(OR(G298="Aprovado",G298="Recusado",G298="Sem retorno"),G298,IF(AND(M298&lt;&gt;"",M298&gt;Config!$B$7),"Parado","Ativo")))</f>
        <v/>
      </c>
      <c r="P298" s="39">
        <f>IF(A298="","",DATE(YEAR(A298),MONTH(A298),1))</f>
        <v/>
      </c>
      <c r="Q298" s="40">
        <f>IF(OR(G298="",O298="Aprovado",O298="Recusado",O298="Sem retorno"),0,IF(O298="Parado",2000,1000)+MIN(N(M298),500)+N(F298)/1000000-ROW()/100000)</f>
        <v>0</v>
      </c>
    </row>
    <row r="299">
      <c r="A299" s="37" t="n"/>
      <c r="B299" s="32" t="n"/>
      <c r="C299" s="35" t="n"/>
      <c r="D299" s="35" t="n"/>
      <c r="E299" s="32" t="n"/>
      <c r="F299" s="38" t="n"/>
      <c r="G299" s="35" t="n"/>
      <c r="H299" s="37" t="n"/>
      <c r="I299" s="35" t="n"/>
      <c r="J299" s="32" t="n"/>
      <c r="K299" s="30">
        <f>IF(G299="","",IFERROR(INDEX(Config!$B$10:$B$14,MATCH(G299,Config!$A$10:$A$14,0)),0))</f>
        <v/>
      </c>
      <c r="L299" s="26">
        <f>IF(OR(G299="",F299=""),"",F299*K299)</f>
        <v/>
      </c>
      <c r="M299" s="29">
        <f>IF(OR(G299="",G299="Aprovado",G299="Recusado",G299="Sem retorno",A299=""),"",Config!$B$5-A299)</f>
        <v/>
      </c>
      <c r="N299" s="29">
        <f>IF(AND(OR(G299="Aprovado",G299="Recusado"),H299&lt;&gt;"",A299&lt;&gt;""),H299-A299,"")</f>
        <v/>
      </c>
      <c r="O299" s="25">
        <f>IF(G299="","",IF(OR(G299="Aprovado",G299="Recusado",G299="Sem retorno"),G299,IF(AND(M299&lt;&gt;"",M299&gt;Config!$B$7),"Parado","Ativo")))</f>
        <v/>
      </c>
      <c r="P299" s="39">
        <f>IF(A299="","",DATE(YEAR(A299),MONTH(A299),1))</f>
        <v/>
      </c>
      <c r="Q299" s="40">
        <f>IF(OR(G299="",O299="Aprovado",O299="Recusado",O299="Sem retorno"),0,IF(O299="Parado",2000,1000)+MIN(N(M299),500)+N(F299)/1000000-ROW()/100000)</f>
        <v>0</v>
      </c>
    </row>
    <row r="300">
      <c r="A300" s="37" t="n"/>
      <c r="B300" s="32" t="n"/>
      <c r="C300" s="35" t="n"/>
      <c r="D300" s="35" t="n"/>
      <c r="E300" s="32" t="n"/>
      <c r="F300" s="38" t="n"/>
      <c r="G300" s="35" t="n"/>
      <c r="H300" s="37" t="n"/>
      <c r="I300" s="35" t="n"/>
      <c r="J300" s="32" t="n"/>
      <c r="K300" s="30">
        <f>IF(G300="","",IFERROR(INDEX(Config!$B$10:$B$14,MATCH(G300,Config!$A$10:$A$14,0)),0))</f>
        <v/>
      </c>
      <c r="L300" s="26">
        <f>IF(OR(G300="",F300=""),"",F300*K300)</f>
        <v/>
      </c>
      <c r="M300" s="29">
        <f>IF(OR(G300="",G300="Aprovado",G300="Recusado",G300="Sem retorno",A300=""),"",Config!$B$5-A300)</f>
        <v/>
      </c>
      <c r="N300" s="29">
        <f>IF(AND(OR(G300="Aprovado",G300="Recusado"),H300&lt;&gt;"",A300&lt;&gt;""),H300-A300,"")</f>
        <v/>
      </c>
      <c r="O300" s="25">
        <f>IF(G300="","",IF(OR(G300="Aprovado",G300="Recusado",G300="Sem retorno"),G300,IF(AND(M300&lt;&gt;"",M300&gt;Config!$B$7),"Parado","Ativo")))</f>
        <v/>
      </c>
      <c r="P300" s="39">
        <f>IF(A300="","",DATE(YEAR(A300),MONTH(A300),1))</f>
        <v/>
      </c>
      <c r="Q300" s="40">
        <f>IF(OR(G300="",O300="Aprovado",O300="Recusado",O300="Sem retorno"),0,IF(O300="Parado",2000,1000)+MIN(N(M300),500)+N(F300)/1000000-ROW()/100000)</f>
        <v>0</v>
      </c>
    </row>
    <row r="301">
      <c r="A301" s="37" t="n"/>
      <c r="B301" s="32" t="n"/>
      <c r="C301" s="35" t="n"/>
      <c r="D301" s="35" t="n"/>
      <c r="E301" s="32" t="n"/>
      <c r="F301" s="38" t="n"/>
      <c r="G301" s="35" t="n"/>
      <c r="H301" s="37" t="n"/>
      <c r="I301" s="35" t="n"/>
      <c r="J301" s="32" t="n"/>
      <c r="K301" s="30">
        <f>IF(G301="","",IFERROR(INDEX(Config!$B$10:$B$14,MATCH(G301,Config!$A$10:$A$14,0)),0))</f>
        <v/>
      </c>
      <c r="L301" s="26">
        <f>IF(OR(G301="",F301=""),"",F301*K301)</f>
        <v/>
      </c>
      <c r="M301" s="29">
        <f>IF(OR(G301="",G301="Aprovado",G301="Recusado",G301="Sem retorno",A301=""),"",Config!$B$5-A301)</f>
        <v/>
      </c>
      <c r="N301" s="29">
        <f>IF(AND(OR(G301="Aprovado",G301="Recusado"),H301&lt;&gt;"",A301&lt;&gt;""),H301-A301,"")</f>
        <v/>
      </c>
      <c r="O301" s="25">
        <f>IF(G301="","",IF(OR(G301="Aprovado",G301="Recusado",G301="Sem retorno"),G301,IF(AND(M301&lt;&gt;"",M301&gt;Config!$B$7),"Parado","Ativo")))</f>
        <v/>
      </c>
      <c r="P301" s="39">
        <f>IF(A301="","",DATE(YEAR(A301),MONTH(A301),1))</f>
        <v/>
      </c>
      <c r="Q301" s="40">
        <f>IF(OR(G301="",O301="Aprovado",O301="Recusado",O301="Sem retorno"),0,IF(O301="Parado",2000,1000)+MIN(N(M301),500)+N(F301)/1000000-ROW()/100000)</f>
        <v>0</v>
      </c>
    </row>
    <row r="302">
      <c r="A302" s="37" t="n"/>
      <c r="B302" s="32" t="n"/>
      <c r="C302" s="35" t="n"/>
      <c r="D302" s="35" t="n"/>
      <c r="E302" s="32" t="n"/>
      <c r="F302" s="38" t="n"/>
      <c r="G302" s="35" t="n"/>
      <c r="H302" s="37" t="n"/>
      <c r="I302" s="35" t="n"/>
      <c r="J302" s="32" t="n"/>
      <c r="K302" s="30">
        <f>IF(G302="","",IFERROR(INDEX(Config!$B$10:$B$14,MATCH(G302,Config!$A$10:$A$14,0)),0))</f>
        <v/>
      </c>
      <c r="L302" s="26">
        <f>IF(OR(G302="",F302=""),"",F302*K302)</f>
        <v/>
      </c>
      <c r="M302" s="29">
        <f>IF(OR(G302="",G302="Aprovado",G302="Recusado",G302="Sem retorno",A302=""),"",Config!$B$5-A302)</f>
        <v/>
      </c>
      <c r="N302" s="29">
        <f>IF(AND(OR(G302="Aprovado",G302="Recusado"),H302&lt;&gt;"",A302&lt;&gt;""),H302-A302,"")</f>
        <v/>
      </c>
      <c r="O302" s="25">
        <f>IF(G302="","",IF(OR(G302="Aprovado",G302="Recusado",G302="Sem retorno"),G302,IF(AND(M302&lt;&gt;"",M302&gt;Config!$B$7),"Parado","Ativo")))</f>
        <v/>
      </c>
      <c r="P302" s="39">
        <f>IF(A302="","",DATE(YEAR(A302),MONTH(A302),1))</f>
        <v/>
      </c>
      <c r="Q302" s="40">
        <f>IF(OR(G302="",O302="Aprovado",O302="Recusado",O302="Sem retorno"),0,IF(O302="Parado",2000,1000)+MIN(N(M302),500)+N(F302)/1000000-ROW()/100000)</f>
        <v>0</v>
      </c>
    </row>
    <row r="303">
      <c r="A303" s="37" t="n"/>
      <c r="B303" s="32" t="n"/>
      <c r="C303" s="35" t="n"/>
      <c r="D303" s="35" t="n"/>
      <c r="E303" s="32" t="n"/>
      <c r="F303" s="38" t="n"/>
      <c r="G303" s="35" t="n"/>
      <c r="H303" s="37" t="n"/>
      <c r="I303" s="35" t="n"/>
      <c r="J303" s="32" t="n"/>
      <c r="K303" s="30">
        <f>IF(G303="","",IFERROR(INDEX(Config!$B$10:$B$14,MATCH(G303,Config!$A$10:$A$14,0)),0))</f>
        <v/>
      </c>
      <c r="L303" s="26">
        <f>IF(OR(G303="",F303=""),"",F303*K303)</f>
        <v/>
      </c>
      <c r="M303" s="29">
        <f>IF(OR(G303="",G303="Aprovado",G303="Recusado",G303="Sem retorno",A303=""),"",Config!$B$5-A303)</f>
        <v/>
      </c>
      <c r="N303" s="29">
        <f>IF(AND(OR(G303="Aprovado",G303="Recusado"),H303&lt;&gt;"",A303&lt;&gt;""),H303-A303,"")</f>
        <v/>
      </c>
      <c r="O303" s="25">
        <f>IF(G303="","",IF(OR(G303="Aprovado",G303="Recusado",G303="Sem retorno"),G303,IF(AND(M303&lt;&gt;"",M303&gt;Config!$B$7),"Parado","Ativo")))</f>
        <v/>
      </c>
      <c r="P303" s="39">
        <f>IF(A303="","",DATE(YEAR(A303),MONTH(A303),1))</f>
        <v/>
      </c>
      <c r="Q303" s="40">
        <f>IF(OR(G303="",O303="Aprovado",O303="Recusado",O303="Sem retorno"),0,IF(O303="Parado",2000,1000)+MIN(N(M303),500)+N(F303)/1000000-ROW()/100000)</f>
        <v>0</v>
      </c>
    </row>
    <row r="304">
      <c r="A304" s="37" t="n"/>
      <c r="B304" s="32" t="n"/>
      <c r="C304" s="35" t="n"/>
      <c r="D304" s="35" t="n"/>
      <c r="E304" s="32" t="n"/>
      <c r="F304" s="38" t="n"/>
      <c r="G304" s="35" t="n"/>
      <c r="H304" s="37" t="n"/>
      <c r="I304" s="35" t="n"/>
      <c r="J304" s="32" t="n"/>
      <c r="K304" s="30">
        <f>IF(G304="","",IFERROR(INDEX(Config!$B$10:$B$14,MATCH(G304,Config!$A$10:$A$14,0)),0))</f>
        <v/>
      </c>
      <c r="L304" s="26">
        <f>IF(OR(G304="",F304=""),"",F304*K304)</f>
        <v/>
      </c>
      <c r="M304" s="29">
        <f>IF(OR(G304="",G304="Aprovado",G304="Recusado",G304="Sem retorno",A304=""),"",Config!$B$5-A304)</f>
        <v/>
      </c>
      <c r="N304" s="29">
        <f>IF(AND(OR(G304="Aprovado",G304="Recusado"),H304&lt;&gt;"",A304&lt;&gt;""),H304-A304,"")</f>
        <v/>
      </c>
      <c r="O304" s="25">
        <f>IF(G304="","",IF(OR(G304="Aprovado",G304="Recusado",G304="Sem retorno"),G304,IF(AND(M304&lt;&gt;"",M304&gt;Config!$B$7),"Parado","Ativo")))</f>
        <v/>
      </c>
      <c r="P304" s="39">
        <f>IF(A304="","",DATE(YEAR(A304),MONTH(A304),1))</f>
        <v/>
      </c>
      <c r="Q304" s="40">
        <f>IF(OR(G304="",O304="Aprovado",O304="Recusado",O304="Sem retorno"),0,IF(O304="Parado",2000,1000)+MIN(N(M304),500)+N(F304)/1000000-ROW()/100000)</f>
        <v>0</v>
      </c>
    </row>
    <row r="306">
      <c r="A306" s="19" t="inlineStr">
        <is>
          <t>Amarelo: parado há mais dias que o limite da Config. Verde: aprovado. Cinza: recusado ou sem retorno. Motivo em vermelho: recusado sem motivo (preencha, é o que ensina). Datas de orçamentos ainda abertos no exemplo são relativas a hoje.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P304"/>
  <mergeCells count="2">
    <mergeCell ref="A1:P1"/>
    <mergeCell ref="A2:P2"/>
  </mergeCells>
  <conditionalFormatting sqref="A5:O304">
    <cfRule type="expression" priority="1" dxfId="0">
      <formula>$O5="Parado"</formula>
    </cfRule>
    <cfRule type="expression" priority="2" dxfId="1">
      <formula>$O5="Aprovado"</formula>
    </cfRule>
    <cfRule type="expression" priority="3" dxfId="2">
      <formula>OR($O5="Recusado",$O5="Sem retorno")</formula>
    </cfRule>
  </conditionalFormatting>
  <conditionalFormatting sqref="I5:I304">
    <cfRule type="expression" priority="4" dxfId="3">
      <formula>AND($G5="Recusado",$I5="")</formula>
    </cfRule>
  </conditionalFormatting>
  <dataValidations count="8">
    <dataValidation sqref="C5:C304" showDropDown="0" showInputMessage="0" showErrorMessage="1" allowBlank="1" type="list">
      <formula1>=OFFSET(Config!$E$18,0,0,MAX(1,COUNTA(Config!$E$18:$E$27)),1)</formula1>
    </dataValidation>
    <dataValidation sqref="D5:D304" showDropDown="0" showInputMessage="0" showErrorMessage="1" allowBlank="1" type="list">
      <formula1>=OFFSET(Config!$A$18,0,0,MAX(1,COUNTA(Config!$A$18:$A$27)),1)</formula1>
    </dataValidation>
    <dataValidation sqref="E5:E304" showDropDown="0" showInputMessage="0" showErrorMessage="0" allowBlank="1" type="list">
      <formula1>=OFFSET(Config!$G$18,0,0,MAX(1,COUNTA(Config!$G$18:$G$27)),1)</formula1>
    </dataValidation>
    <dataValidation sqref="G5:G304" showDropDown="0" showInputMessage="0" showErrorMessage="1" allowBlank="1" type="list">
      <formula1>=Config!$A$10:$A$14</formula1>
    </dataValidation>
    <dataValidation sqref="I5:I304" showDropDown="0" showInputMessage="0" showErrorMessage="0" allowBlank="1" type="list">
      <formula1>=OFFSET(Config!$C$18,0,0,MAX(1,COUNTA(Config!$C$18:$C$27)),1)</formula1>
    </dataValidation>
    <dataValidation sqref="A5:A304" showDropDown="0" showInputMessage="0" showErrorMessage="0" allowBlank="1" type="date" operator="greaterThan">
      <formula1>1</formula1>
    </dataValidation>
    <dataValidation sqref="F5:F304" showDropDown="0" showInputMessage="0" showErrorMessage="0" allowBlank="1" type="decimal" operator="greaterThanOrEqual">
      <formula1>0</formula1>
    </dataValidation>
    <dataValidation sqref="H5:H304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Orçamentos apresentados × aprovados · Kit de Gestão para Médicos</dc:title>
  <dcterms:created xmlns:dcterms="http://purl.org/dc/terms/" xmlns:xsi="http://www.w3.org/2001/XMLSchema-instance" xsi:type="dcterms:W3CDTF">2026-09-14T21:29:16Z</dcterms:created>
  <dcterms:modified xmlns:dcterms="http://purl.org/dc/terms/" xmlns:xsi="http://www.w3.org/2001/XMLSchema-instance" xsi:type="dcterms:W3CDTF">2026-09-14T21:29:16Z</dcterms:modified>
</cp:coreProperties>
</file>