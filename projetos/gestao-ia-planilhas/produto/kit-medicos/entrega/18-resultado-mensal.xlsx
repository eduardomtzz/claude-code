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sultado" sheetId="4" state="visible" r:id="rId4"/>
    <sheet xmlns:r="http://schemas.openxmlformats.org/officeDocument/2006/relationships" name="Previ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R$&quot; #,##0;[Red]-&quot;R$&quot; #,##0"/>
    <numFmt numFmtId="166" formatCode="+0.0%;-0.0%;0.0%"/>
    <numFmt numFmtId="167" formatCode="+0.0&quot; p.p.&quot;;-0.0&quot; p.p.&quot;;0.0&quot; p.p.&quot;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11"/>
    </font>
    <font>
      <name val="Arial"/>
      <color rgb="003B1F5E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1" fillId="5" borderId="0" applyAlignment="1" pivotButton="0" quotePrefix="0" xfId="0">
      <alignment horizontal="center"/>
    </xf>
    <xf numFmtId="164" fontId="1" fillId="6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pivotButton="0" quotePrefix="0" xfId="0"/>
    <xf numFmtId="165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0" borderId="1" pivotButton="0" quotePrefix="0" xfId="0"/>
    <xf numFmtId="164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164" fontId="4" fillId="2" borderId="1" applyProtection="1" pivotButton="0" quotePrefix="0" xfId="0">
      <protection locked="0" hidden="0"/>
    </xf>
    <xf numFmtId="0" fontId="7" fillId="4" borderId="0" pivotButton="0" quotePrefix="0" xfId="0"/>
    <xf numFmtId="165" fontId="4" fillId="2" borderId="1" applyAlignment="1" applyProtection="1" pivotButton="0" quotePrefix="0" xfId="0">
      <alignment horizontal="center"/>
      <protection locked="0" hidden="0"/>
    </xf>
    <xf numFmtId="165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Arial"/>
        <b val="1"/>
        <color rgb="007A1F1F"/>
        <sz val="16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'Resultado'!A12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solidFill>
                <a:srgbClr val="3B1F5E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'Resultado'!$B$12:$M$12</f>
            </numRef>
          </val>
        </ser>
        <ser>
          <idx val="1"/>
          <order val="1"/>
          <tx>
            <strRef>
              <f>'Resultado'!A34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solidFill>
                <a:srgbClr val="7A5AA8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'Resultado'!$B$34:$M$34</f>
            </numRef>
          </val>
        </ser>
        <ser>
          <idx val="2"/>
          <order val="2"/>
          <tx>
            <strRef>
              <f>'Resultado'!A35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solidFill>
                <a:srgbClr val="FFC83D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'Resultado'!$B$35:$M$35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Resultado Mensal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Uma DRE simplificada da clínica: receita por categoria (as mesmas do caixa), custos fixos, despesas variáveis (materiais, taxas de cartão, repasse à parceira, manutenção), pró-labore fixo, impostos provisionados como % da receita, resultado e margem, mês a mês. Compara o mês com o anterior e com o que você previu.</t>
        </is>
      </c>
    </row>
    <row r="5" ht="46" customHeight="1">
      <c r="A5" s="3" t="inlineStr">
        <is>
          <t>Passo 1</t>
        </is>
      </c>
      <c r="B5" s="4" t="inlineStr">
        <is>
          <t>Em Config, informe o ano, o mês de análise (o último mês fechado) e a % de impostos a provisionar (peça ao contador a alíquota efetiva).</t>
        </is>
      </c>
    </row>
    <row r="6" ht="46" customHeight="1">
      <c r="A6" s="3" t="inlineStr">
        <is>
          <t>Passo 2</t>
        </is>
      </c>
      <c r="B6" s="4" t="inlineStr">
        <is>
          <t>Em Resultado, preencha por mês o que entrou em cada categoria e o que saiu em cada linha de custo fixo, despesa variável e pró-labore. Os totais por categoria estão no Painel da planilha 09 · Caixa da clínica ("De onde veio" e "Para onde foi o dinheiro").</t>
        </is>
      </c>
    </row>
    <row r="7" ht="46" customHeight="1">
      <c r="A7" s="3" t="inlineStr">
        <is>
          <t>Passo 3</t>
        </is>
      </c>
      <c r="B7" s="4" t="inlineStr">
        <is>
          <t>Em Previsto, escreva o que espera de receita, custos fixos, despesas variáveis e pró-labore para cada mês. Pode ser o mesmo valor o ano inteiro.</t>
        </is>
      </c>
    </row>
    <row r="8" ht="46" customHeight="1">
      <c r="A8" s="3" t="inlineStr">
        <is>
          <t>Passo 4</t>
        </is>
      </c>
      <c r="B8" s="4" t="inlineStr">
        <is>
          <t>Abra Painel: receita, saídas, resultado e margem do mês, comparação com o mês anterior e com o previsto (variação da margem em p.p.), receita por categoria e o gráfico do ano.</t>
        </is>
      </c>
    </row>
    <row r="9" ht="46" customHeight="1">
      <c r="A9" s="3" t="inlineStr">
        <is>
          <t>Fim do mês</t>
        </is>
      </c>
      <c r="B9" s="4" t="inlineStr">
        <is>
          <t>Depois de fechar o caixa, lance o mês aqui e troque o mês em Config. Leva 10 minutos. No exemplo, o mês analisado é agosto de 2026 (setembro ainda está em andamento).</t>
        </is>
      </c>
    </row>
    <row r="10" ht="46" customHeight="1">
      <c r="A10" s="3" t="inlineStr">
        <is>
          <t>Com a IA</t>
        </is>
      </c>
      <c r="B10" s="4" t="inlineStr">
        <is>
          <t>Copie a tabela do Painel para o prompt "Painel 01 · Explicar o mês ao sócio", "Caixa 02 · Comparar dois meses do resultado" ou "Caixa 04 · Preparar a reunião mensal com o contador" da biblioteca do kit. A planilha 20 · Resumo do mês já escreve o texto-base.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 Agenda futura e vencimentos em aberto do exemplo são relativos a hoje.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3" customWidth="1" min="5" max="5"/>
    <col width="14" customWidth="1" min="6" max="6"/>
    <col width="13" customWidth="1" min="7" max="7"/>
    <col width="18" customWidth="1" min="8" max="8"/>
  </cols>
  <sheetData>
    <row r="1">
      <c r="A1" s="5" t="str">
        <f>Config!B4&amp;" · Resultado mensal · "&amp;Config!B6&amp;" de "&amp;Config!B5</f>
        <v>Clínica Vida Plena (exemplo fictício) · Resultado mensal · Agosto de 2026</v>
      </c>
    </row>
    <row r="2">
      <c r="A2" s="6" t="inlineStr">
        <is>
          <t>Nada para digitar aqui. Escolha o mês em Config; os números vêm de Resultado e de Previsto.</t>
        </is>
      </c>
    </row>
    <row r="3"/>
    <row r="4">
      <c r="A4" s="7" t="inlineStr">
        <is>
          <t>Receita do mês</t>
        </is>
      </c>
      <c r="B4" s="8" t="n"/>
      <c r="C4" s="7" t="inlineStr">
        <is>
          <t>Saídas do mês</t>
        </is>
      </c>
      <c r="D4" s="8" t="n"/>
      <c r="E4" s="9" t="inlineStr">
        <is>
          <t>Resultado</t>
        </is>
      </c>
      <c r="F4" s="10" t="n"/>
      <c r="G4" s="11" t="inlineStr">
        <is>
          <t>Margem</t>
        </is>
      </c>
      <c r="H4" s="12" t="n"/>
    </row>
    <row r="5" ht="30" customHeight="1">
      <c r="A5" s="13">
        <f>IF(INDEX(Resultado!$B$12:$M$12,Config!$B$8)="","—",INDEX(Resultado!$B$12:$M$12,Config!$B$8))</f>
        <v>50336</v>
      </c>
      <c r="B5" s="8" t="n"/>
      <c r="C5" s="13">
        <f>IF(INDEX(Resultado!$B$34:$M$34,Config!$B$8)="","—",INDEX(Resultado!$B$34:$M$34,Config!$B$8))</f>
        <v>40696.12</v>
      </c>
      <c r="D5" s="8" t="n"/>
      <c r="E5" s="14">
        <f>IF(INDEX(Resultado!$B$35:$M$35,Config!$B$8)="","—",INDEX(Resultado!$B$35:$M$35,Config!$B$8))</f>
        <v>9639.88000000001</v>
      </c>
      <c r="F5" s="10" t="n"/>
      <c r="G5" s="15">
        <f>IF(INDEX(Resultado!$B$36:$M$36,Config!$B$8)="","—",INDEX(Resultado!$B$36:$M$36,Config!$B$8))</f>
        <v>0.191510648442467</v>
      </c>
      <c r="H5" s="12" t="n"/>
    </row>
    <row r="6"/>
    <row r="7">
      <c r="A7" s="16" t="inlineStr">
        <is>
          <t>Comparação com o mês anterior e com o previsto</t>
        </is>
      </c>
    </row>
    <row r="8" ht="26" customHeight="1">
      <c r="A8" s="17" t="inlineStr">
        <is>
          <t>Linha</t>
        </is>
      </c>
      <c r="B8" s="18" t="n"/>
      <c r="C8" s="17" t="inlineStr">
        <is>
          <t>Mês</t>
        </is>
      </c>
      <c r="D8" s="17" t="inlineStr">
        <is>
          <t>Mês anterior</t>
        </is>
      </c>
      <c r="E8" s="17" t="inlineStr">
        <is>
          <t>Variação</t>
        </is>
      </c>
      <c r="F8" s="17" t="inlineStr">
        <is>
          <t>Previsto</t>
        </is>
      </c>
      <c r="G8" s="17" t="inlineStr">
        <is>
          <t>Vs. previsto</t>
        </is>
      </c>
      <c r="H8" s="17" t="inlineStr">
        <is>
          <t>Situação</t>
        </is>
      </c>
    </row>
    <row r="9">
      <c r="A9" s="19" t="inlineStr">
        <is>
          <t>Receita total</t>
        </is>
      </c>
      <c r="B9" s="18" t="n"/>
      <c r="C9" s="20">
        <f>IF(INDEX(Resultado!$B$12:$M$12,Config!$B$8)="","—",INDEX(Resultado!$B$12:$M$12,Config!$B$8))</f>
        <v>50336</v>
      </c>
      <c r="D9" s="20">
        <f>IF(Config!$B$8&lt;=1,"—",IF(INDEX(Resultado!$B$12:$M$12,Config!$B$8-1)="","—",INDEX(Resultado!$B$12:$M$12,Config!$B$8-1)))</f>
        <v>53101</v>
      </c>
      <c r="E9" s="21">
        <f>IF(OR(C9="—",D9="—",D9=0),"—",(C9-D9)/ABS(D9))</f>
        <v>-0.0520705824749063</v>
      </c>
      <c r="F9" s="20">
        <f>IF(INDEX(Previsto!$B$5:$M$5,Config!$B$8)="","—",INDEX(Previsto!$B$5:$M$5,Config!$B$8))</f>
        <v>46000</v>
      </c>
      <c r="G9" s="21">
        <f>IF(OR(C9="—",F9="—",F9=0),"—",(C9-F9)/ABS(F9))</f>
        <v>0.0942608695652174</v>
      </c>
      <c r="H9" s="22" t="str">
        <f>IF(OR(C9="—",F9="—"),"—",IF(C9&gt;=F9,"Dentro do previsto",IF(C9&gt;=F9*0.95,"Perto","Fora do previsto")))</f>
        <v>Dentro do previsto</v>
      </c>
    </row>
    <row r="10">
      <c r="A10" s="23" t="inlineStr">
        <is>
          <t>Custos fixos</t>
        </is>
      </c>
      <c r="B10" s="18" t="n"/>
      <c r="C10" s="20">
        <f>IF(INDEX(Resultado!$B$22:$M$22,Config!$B$8)="","—",INDEX(Resultado!$B$22:$M$22,Config!$B$8))</f>
        <v>10000</v>
      </c>
      <c r="D10" s="20">
        <f>IF(Config!$B$8&lt;=1,"—",IF(INDEX(Resultado!$B$22:$M$22,Config!$B$8-1)="","—",INDEX(Resultado!$B$22:$M$22,Config!$B$8-1)))</f>
        <v>10000</v>
      </c>
      <c r="E10" s="21">
        <f>IF(OR(C10="—",D10="—",D10=0),"—",(C10-D10)/ABS(D10))</f>
        <v>0</v>
      </c>
      <c r="F10" s="20">
        <f>IF(INDEX(Previsto!$B$6:$M$6,Config!$B$8)="","—",INDEX(Previsto!$B$6:$M$6,Config!$B$8))</f>
        <v>10000</v>
      </c>
      <c r="G10" s="21">
        <f>IF(OR(C10="—",F10="—",F10=0),"—",(C10-F10)/ABS(F10))</f>
        <v>0</v>
      </c>
      <c r="H10" s="22" t="str">
        <f>IF(OR(C10="—",F10="—"),"—",IF(C10&lt;=F10,"Dentro do previsto",IF(C10&lt;=F10*1.05,"Perto","Fora do previsto")))</f>
        <v>Dentro do previsto</v>
      </c>
    </row>
    <row r="11">
      <c r="A11" s="23" t="inlineStr">
        <is>
          <t>Despesas variáveis</t>
        </is>
      </c>
      <c r="B11" s="18" t="n"/>
      <c r="C11" s="20">
        <f>IF(INDEX(Resultado!$B$28:$M$28,Config!$B$8)="","—",INDEX(Resultado!$B$28:$M$28,Config!$B$8))</f>
        <v>7159.12</v>
      </c>
      <c r="D11" s="20">
        <f>IF(Config!$B$8&lt;=1,"—",IF(INDEX(Resultado!$B$28:$M$28,Config!$B$8-1)="","—",INDEX(Resultado!$B$28:$M$28,Config!$B$8-1)))</f>
        <v>6661.77</v>
      </c>
      <c r="E11" s="21">
        <f>IF(OR(C11="—",D11="—",D11=0),"—",(C11-D11)/ABS(D11))</f>
        <v>0.0746573358131547</v>
      </c>
      <c r="F11" s="20">
        <f>IF(INDEX(Previsto!$B$7:$M$7,Config!$B$8)="","—",INDEX(Previsto!$B$7:$M$7,Config!$B$8))</f>
        <v>6000</v>
      </c>
      <c r="G11" s="21">
        <f>IF(OR(C11="—",F11="—",F11=0),"—",(C11-F11)/ABS(F11))</f>
        <v>0.193186666666667</v>
      </c>
      <c r="H11" s="22" t="str">
        <f>IF(OR(C11="—",F11="—"),"—",IF(C11&lt;=F11,"Dentro do previsto",IF(C11&lt;=F11*1.05,"Perto","Fora do previsto")))</f>
        <v>Fora do previsto</v>
      </c>
    </row>
    <row r="12">
      <c r="A12" s="23" t="inlineStr">
        <is>
          <t>Pró-labore</t>
        </is>
      </c>
      <c r="B12" s="18" t="n"/>
      <c r="C12" s="20">
        <f>IF(INDEX(Resultado!$B$32:$M$32,Config!$B$8)="","—",INDEX(Resultado!$B$32:$M$32,Config!$B$8))</f>
        <v>18000</v>
      </c>
      <c r="D12" s="20">
        <f>IF(Config!$B$8&lt;=1,"—",IF(INDEX(Resultado!$B$32:$M$32,Config!$B$8-1)="","—",INDEX(Resultado!$B$32:$M$32,Config!$B$8-1)))</f>
        <v>18000</v>
      </c>
      <c r="E12" s="21">
        <f>IF(OR(C12="—",D12="—",D12=0),"—",(C12-D12)/ABS(D12))</f>
        <v>0</v>
      </c>
      <c r="F12" s="20">
        <f>IF(INDEX(Previsto!$B$8:$M$8,Config!$B$8)="","—",INDEX(Previsto!$B$8:$M$8,Config!$B$8))</f>
        <v>18000</v>
      </c>
      <c r="G12" s="21">
        <f>IF(OR(C12="—",F12="—",F12=0),"—",(C12-F12)/ABS(F12))</f>
        <v>0</v>
      </c>
      <c r="H12" s="22" t="inlineStr">
        <is>
          <t>Informativo</t>
        </is>
      </c>
    </row>
    <row r="13">
      <c r="A13" s="23" t="inlineStr">
        <is>
          <t>Impostos provisionados</t>
        </is>
      </c>
      <c r="B13" s="18" t="n"/>
      <c r="C13" s="20">
        <f>IF(INDEX(Resultado!$B$33:$M$33,Config!$B$8)="","—",INDEX(Resultado!$B$33:$M$33,Config!$B$8))</f>
        <v>5537</v>
      </c>
      <c r="D13" s="20">
        <f>IF(Config!$B$8&lt;=1,"—",IF(INDEX(Resultado!$B$33:$M$33,Config!$B$8-1)="","—",INDEX(Resultado!$B$33:$M$33,Config!$B$8-1)))</f>
        <v>5841</v>
      </c>
      <c r="E13" s="21">
        <f>IF(OR(C13="—",D13="—",D13=0),"—",(C13-D13)/ABS(D13))</f>
        <v>-0.0520458825543571</v>
      </c>
      <c r="F13" s="20">
        <f>IF(INDEX(Previsto!$B$9:$M$9,Config!$B$8)="","—",INDEX(Previsto!$B$9:$M$9,Config!$B$8))</f>
        <v>5060</v>
      </c>
      <c r="G13" s="21">
        <f>IF(OR(C13="—",F13="—",F13=0),"—",(C13-F13)/ABS(F13))</f>
        <v>0.0942687747035573</v>
      </c>
      <c r="H13" s="22" t="inlineStr">
        <is>
          <t>Informativo</t>
        </is>
      </c>
    </row>
    <row r="14">
      <c r="A14" s="19" t="inlineStr">
        <is>
          <t>Total de saídas</t>
        </is>
      </c>
      <c r="B14" s="18" t="n"/>
      <c r="C14" s="20">
        <f>IF(INDEX(Resultado!$B$34:$M$34,Config!$B$8)="","—",INDEX(Resultado!$B$34:$M$34,Config!$B$8))</f>
        <v>40696.12</v>
      </c>
      <c r="D14" s="20">
        <f>IF(Config!$B$8&lt;=1,"—",IF(INDEX(Resultado!$B$34:$M$34,Config!$B$8-1)="","—",INDEX(Resultado!$B$34:$M$34,Config!$B$8-1)))</f>
        <v>40502.77</v>
      </c>
      <c r="E14" s="21">
        <f>IF(OR(C14="—",D14="—",D14=0),"—",(C14-D14)/ABS(D14))</f>
        <v>0.00477374757331391</v>
      </c>
      <c r="F14" s="20">
        <f>IF(INDEX(Previsto!$B$10:$M$10,Config!$B$8)="","—",INDEX(Previsto!$B$10:$M$10,Config!$B$8))</f>
        <v>39060</v>
      </c>
      <c r="G14" s="21">
        <f>IF(OR(C14="—",F14="—",F14=0),"—",(C14-F14)/ABS(F14))</f>
        <v>0.0418873527905785</v>
      </c>
      <c r="H14" s="22" t="str">
        <f>IF(OR(C14="—",F14="—"),"—",IF(C14&lt;=F14,"Dentro do previsto",IF(C14&lt;=F14*1.05,"Perto","Fora do previsto")))</f>
        <v>Perto</v>
      </c>
    </row>
    <row r="15">
      <c r="A15" s="19" t="inlineStr">
        <is>
          <t>Resultado do mês</t>
        </is>
      </c>
      <c r="B15" s="18" t="n"/>
      <c r="C15" s="20">
        <f>IF(INDEX(Resultado!$B$35:$M$35,Config!$B$8)="","—",INDEX(Resultado!$B$35:$M$35,Config!$B$8))</f>
        <v>9639.88000000001</v>
      </c>
      <c r="D15" s="20">
        <f>IF(Config!$B$8&lt;=1,"—",IF(INDEX(Resultado!$B$35:$M$35,Config!$B$8-1)="","—",INDEX(Resultado!$B$35:$M$35,Config!$B$8-1)))</f>
        <v>12598.23</v>
      </c>
      <c r="E15" s="21">
        <f>IF(OR(C15="—",D15="—",D15=0),"—",(C15-D15)/ABS(D15))</f>
        <v>-0.234822669533735</v>
      </c>
      <c r="F15" s="20">
        <f>IF(INDEX(Previsto!$B$11:$M$11,Config!$B$8)="","—",INDEX(Previsto!$B$11:$M$11,Config!$B$8))</f>
        <v>6940</v>
      </c>
      <c r="G15" s="21">
        <f>IF(OR(C15="—",F15="—",F15=0),"—",(C15-F15)/ABS(F15))</f>
        <v>0.389031700288185</v>
      </c>
      <c r="H15" s="22" t="str">
        <f>IF(OR(C15="—",F15="—"),"—",IF(C15&gt;=F15,"Dentro do previsto",IF(C15&gt;=F15*0.95,"Perto","Fora do previsto")))</f>
        <v>Dentro do previsto</v>
      </c>
    </row>
    <row r="16">
      <c r="A16" s="23" t="inlineStr">
        <is>
          <t>Margem</t>
        </is>
      </c>
      <c r="B16" s="18" t="n"/>
      <c r="C16" s="24">
        <f>IF(INDEX(Resultado!$B$36:$M$36,Config!$B$8)="","—",INDEX(Resultado!$B$36:$M$36,Config!$B$8))</f>
        <v>0.191510648442467</v>
      </c>
      <c r="D16" s="24">
        <f>IF(Config!$B$8&lt;=1,"—",IF(INDEX(Resultado!$B$36:$M$36,Config!$B$8-1)="","—",INDEX(Resultado!$B$36:$M$36,Config!$B$8-1)))</f>
        <v>0.237250334268658</v>
      </c>
      <c r="E16" s="25">
        <f>IF(OR(C16="—",D16="—"),"—",(C16-D16)*100)</f>
        <v>-4.57396858261911</v>
      </c>
      <c r="F16" s="24">
        <f>IF(INDEX(Previsto!$B$12:$M$12,Config!$B$8)="","—",INDEX(Previsto!$B$12:$M$12,Config!$B$8))</f>
        <v>0.150869565217391</v>
      </c>
      <c r="G16" s="25">
        <f>IF(OR(C16="—",F16="—"),"—",(C16-F16)*100)</f>
        <v>4.06410832250754</v>
      </c>
      <c r="H16" s="22" t="str">
        <f>IF(OR(C16="—",F16="—"),"—",IF(C16&gt;=F16,"Dentro do previsto",IF(C16&gt;=F16*0.95,"Perto","Fora do previsto")))</f>
        <v>Dentro do previsto</v>
      </c>
    </row>
    <row r="17"/>
    <row r="18">
      <c r="A18" s="16" t="inlineStr">
        <is>
          <t>Receita do mês por categoria</t>
        </is>
      </c>
    </row>
    <row r="19" ht="26" customHeight="1">
      <c r="A19" s="17" t="inlineStr">
        <is>
          <t>Categoria</t>
        </is>
      </c>
      <c r="B19" s="18" t="n"/>
      <c r="C19" s="17" t="inlineStr">
        <is>
          <t>Mês</t>
        </is>
      </c>
      <c r="D19" s="17" t="inlineStr">
        <is>
          <t>Mês anterior</t>
        </is>
      </c>
      <c r="E19" s="17" t="inlineStr">
        <is>
          <t>Variação</t>
        </is>
      </c>
      <c r="F19" s="17" t="inlineStr">
        <is>
          <t>% da receita</t>
        </is>
      </c>
    </row>
    <row r="20">
      <c r="A20" s="23" t="inlineStr">
        <is>
          <t>Particular à vista</t>
        </is>
      </c>
      <c r="B20" s="18" t="n"/>
      <c r="C20" s="20">
        <f>IF(INDEX(Resultado!$B$6:$M$6,Config!$B$8)="","—",INDEX(Resultado!$B$6:$M$6,Config!$B$8))</f>
        <v>33860</v>
      </c>
      <c r="D20" s="20">
        <f>IF(Config!$B$8&lt;=1,"—",IF(INDEX(Resultado!$B$6:$M$6,Config!$B$8-1)="","—",INDEX(Resultado!$B$6:$M$6,Config!$B$8-1)))</f>
        <v>36540</v>
      </c>
      <c r="E20" s="21">
        <f>IF(OR(C20="—",D20="—",D20=0),"—",(C20-D20)/ABS(D20))</f>
        <v>-0.073344280240832</v>
      </c>
      <c r="F20" s="26">
        <f>IF(OR(C20="—",C9="—",C9=0),"—",C20/C9)</f>
        <v>0.672679593134139</v>
      </c>
    </row>
    <row r="21">
      <c r="A21" s="23" t="inlineStr">
        <is>
          <t>Particular a prazo</t>
        </is>
      </c>
      <c r="B21" s="18" t="n"/>
      <c r="C21" s="20">
        <f>IF(INDEX(Resultado!$B$7:$M$7,Config!$B$8)="","—",INDEX(Resultado!$B$7:$M$7,Config!$B$8))</f>
        <v>5315</v>
      </c>
      <c r="D21" s="20">
        <f>IF(Config!$B$8&lt;=1,"—",IF(INDEX(Resultado!$B$7:$M$7,Config!$B$8-1)="","—",INDEX(Resultado!$B$7:$M$7,Config!$B$8-1)))</f>
        <v>6760</v>
      </c>
      <c r="E21" s="21">
        <f>IF(OR(C21="—",D21="—",D21=0),"—",(C21-D21)/ABS(D21))</f>
        <v>-0.213757396449704</v>
      </c>
      <c r="F21" s="26">
        <f>IF(OR(C21="—",C9="—",C9=0),"—",C21/C9)</f>
        <v>0.105590432294978</v>
      </c>
    </row>
    <row r="22">
      <c r="A22" s="23" t="inlineStr">
        <is>
          <t>Convênio · Saúde Total</t>
        </is>
      </c>
      <c r="B22" s="18" t="n"/>
      <c r="C22" s="20">
        <f>IF(INDEX(Resultado!$B$8:$M$8,Config!$B$8)="","—",INDEX(Resultado!$B$8:$M$8,Config!$B$8))</f>
        <v>7320</v>
      </c>
      <c r="D22" s="20">
        <f>IF(Config!$B$8&lt;=1,"—",IF(INDEX(Resultado!$B$8:$M$8,Config!$B$8-1)="","—",INDEX(Resultado!$B$8:$M$8,Config!$B$8-1)))</f>
        <v>6655</v>
      </c>
      <c r="E22" s="21">
        <f>IF(OR(C22="—",D22="—",D22=0),"—",(C22-D22)/ABS(D22))</f>
        <v>0.0999248685199098</v>
      </c>
      <c r="F22" s="26">
        <f>IF(OR(C22="—",C9="—",C9=0),"—",C22/C9)</f>
        <v>0.145422759059123</v>
      </c>
    </row>
    <row r="23">
      <c r="A23" s="23" t="inlineStr">
        <is>
          <t>Convênio · MediPlan</t>
        </is>
      </c>
      <c r="B23" s="18" t="n"/>
      <c r="C23" s="20">
        <f>IF(INDEX(Resultado!$B$9:$M$9,Config!$B$8)="","—",INDEX(Resultado!$B$9:$M$9,Config!$B$8))</f>
        <v>2130</v>
      </c>
      <c r="D23" s="20">
        <f>IF(Config!$B$8&lt;=1,"—",IF(INDEX(Resultado!$B$9:$M$9,Config!$B$8-1)="","—",INDEX(Resultado!$B$9:$M$9,Config!$B$8-1)))</f>
        <v>1570</v>
      </c>
      <c r="E23" s="21">
        <f>IF(OR(C23="—",D23="—",D23=0),"—",(C23-D23)/ABS(D23))</f>
        <v>0.356687898089172</v>
      </c>
      <c r="F23" s="26">
        <f>IF(OR(C23="—",C9="—",C9=0),"—",C23/C9)</f>
        <v>0.042315638906548</v>
      </c>
    </row>
    <row r="24">
      <c r="A24" s="23" t="inlineStr">
        <is>
          <t>Convênio · Vida Care</t>
        </is>
      </c>
      <c r="B24" s="18" t="n"/>
      <c r="C24" s="20">
        <f>IF(INDEX(Resultado!$B$10:$M$10,Config!$B$8)="","—",INDEX(Resultado!$B$10:$M$10,Config!$B$8))</f>
        <v>1711</v>
      </c>
      <c r="D24" s="20">
        <f>IF(Config!$B$8&lt;=1,"—",IF(INDEX(Resultado!$B$10:$M$10,Config!$B$8-1)="","—",INDEX(Resultado!$B$10:$M$10,Config!$B$8-1)))</f>
        <v>1576</v>
      </c>
      <c r="E24" s="21">
        <f>IF(OR(C24="—",D24="—",D24=0),"—",(C24-D24)/ABS(D24))</f>
        <v>0.0856598984771574</v>
      </c>
      <c r="F24" s="26">
        <f>IF(OR(C24="—",C9="—",C9=0),"—",C24/C9)</f>
        <v>0.033991576605213</v>
      </c>
    </row>
    <row r="25">
      <c r="A25" s="23" t="inlineStr">
        <is>
          <t>Outras entradas</t>
        </is>
      </c>
      <c r="B25" s="18" t="n"/>
      <c r="C25" s="20">
        <f>IF(INDEX(Resultado!$B$11:$M$11,Config!$B$8)="","—",INDEX(Resultado!$B$11:$M$11,Config!$B$8))</f>
        <v>0</v>
      </c>
      <c r="D25" s="20">
        <f>IF(Config!$B$8&lt;=1,"—",IF(INDEX(Resultado!$B$11:$M$11,Config!$B$8-1)="","—",INDEX(Resultado!$B$11:$M$11,Config!$B$8-1)))</f>
        <v>0</v>
      </c>
      <c r="E25" s="21" t="str">
        <f>IF(OR(C25="—",D25="—",D25=0),"—",(C25-D25)/ABS(D25))</f>
        <v>—</v>
      </c>
      <c r="F25" s="26">
        <f>IF(OR(C25="—",C9="—",C9=0),"—",C25/C9)</f>
        <v>0</v>
      </c>
    </row>
    <row r="26"/>
    <row r="27">
      <c r="A27" s="27" t="inlineStr">
        <is>
          <t>Receita, saídas e resultado no ano (meses em branco não aparecem)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>
      <c r="A46" s="6" t="inlineStr">
        <is>
          <t>Variação da margem em pontos percentuais (p.p.). Para explicar o resultado ao sócio ou ao contador, use a planilha 20 · Resumo do mês e o prompt "Painel 01 · Explicar o mês ao sócio".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0">
    <mergeCell ref="A24:B24"/>
    <mergeCell ref="A15:B15"/>
    <mergeCell ref="A11:B11"/>
    <mergeCell ref="C5:D5"/>
    <mergeCell ref="E5:F5"/>
    <mergeCell ref="A1:H1"/>
    <mergeCell ref="C4:D4"/>
    <mergeCell ref="E4:F4"/>
    <mergeCell ref="A16:B16"/>
    <mergeCell ref="A25:B25"/>
    <mergeCell ref="A46:H46"/>
    <mergeCell ref="A12:B12"/>
    <mergeCell ref="A21:B21"/>
    <mergeCell ref="A2:H2"/>
    <mergeCell ref="A5:B5"/>
    <mergeCell ref="G5:H5"/>
    <mergeCell ref="A14:B14"/>
    <mergeCell ref="A7:J7"/>
    <mergeCell ref="A23:B23"/>
    <mergeCell ref="A8:B8"/>
    <mergeCell ref="A22:B22"/>
    <mergeCell ref="A4:B4"/>
    <mergeCell ref="G4:H4"/>
    <mergeCell ref="A20:B20"/>
    <mergeCell ref="A19:B19"/>
    <mergeCell ref="A18:J18"/>
    <mergeCell ref="A27:J27"/>
    <mergeCell ref="A10:B10"/>
    <mergeCell ref="A13:B13"/>
    <mergeCell ref="A9:B9"/>
  </mergeCells>
  <conditionalFormatting sqref="E5">
    <cfRule type="expression" priority="1" dxfId="0">
      <formula>AND(ISNUMBER(E5),E5&lt;0)</formula>
    </cfRule>
  </conditionalFormatting>
  <conditionalFormatting sqref="H9:H16">
    <cfRule type="expression" priority="2" dxfId="1">
      <formula>H9="Dentro do previsto"</formula>
    </cfRule>
    <cfRule type="expression" priority="3" dxfId="2">
      <formula>H9="Perto"</formula>
    </cfRule>
    <cfRule type="expression" priority="4" dxfId="3">
      <formula>H9="Fora do previsto"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14" customWidth="1" min="4" max="4"/>
  </cols>
  <sheetData>
    <row r="1" ht="28" customHeight="1">
      <c r="A1" s="28" t="inlineStr">
        <is>
          <t>Configurações</t>
        </is>
      </c>
    </row>
    <row r="2">
      <c r="A2" s="29" t="inlineStr">
        <is>
          <t>Células amarelas: você preenche.</t>
        </is>
      </c>
    </row>
    <row r="4">
      <c r="A4" s="30" t="inlineStr">
        <is>
          <t>Clínica</t>
        </is>
      </c>
      <c r="B4" s="31" t="inlineStr">
        <is>
          <t>Clínica Vida Plena (exemplo fictício)</t>
        </is>
      </c>
      <c r="D4" s="30" t="inlineStr">
        <is>
          <t>Meses</t>
        </is>
      </c>
    </row>
    <row r="5">
      <c r="A5" s="30" t="inlineStr">
        <is>
          <t>Ano</t>
        </is>
      </c>
      <c r="B5" s="31" t="n">
        <v>2026</v>
      </c>
      <c r="D5" s="32" t="inlineStr">
        <is>
          <t>Janeiro</t>
        </is>
      </c>
    </row>
    <row r="6">
      <c r="A6" s="30" t="inlineStr">
        <is>
          <t>Mês de análise</t>
        </is>
      </c>
      <c r="B6" s="31" t="inlineStr">
        <is>
          <t>Agosto</t>
        </is>
      </c>
      <c r="C6" s="6" t="inlineStr">
        <is>
          <t>Analise o último mês fechado (no exemplo, agosto: setembro ainda está em andamento no caixa).</t>
        </is>
      </c>
      <c r="D6" s="32" t="inlineStr">
        <is>
          <t>Fevereiro</t>
        </is>
      </c>
    </row>
    <row r="7">
      <c r="A7" s="30" t="inlineStr">
        <is>
          <t>Impostos provisionados (% da receita)</t>
        </is>
      </c>
      <c r="B7" s="33" t="n">
        <v>0.11</v>
      </c>
      <c r="C7" s="6" t="inlineStr">
        <is>
          <t>Use a alíquota efetiva que o contador informar (Simples anexo III ou V, ou lucro presumido). A provisão sai todo mês, mesmo que o imposto seja pago depois. No exemplo, 11 %, a mesma das planilhas 05 a 10.</t>
        </is>
      </c>
      <c r="D7" s="32" t="inlineStr">
        <is>
          <t>Março</t>
        </is>
      </c>
    </row>
    <row r="8">
      <c r="A8" s="30" t="inlineStr">
        <is>
          <t>Número do mês</t>
        </is>
      </c>
      <c r="B8" s="22">
        <f>MATCH(B6,$D$5:$D$16,0)</f>
        <v>8</v>
      </c>
      <c r="D8" s="32" t="inlineStr">
        <is>
          <t>Abril</t>
        </is>
      </c>
    </row>
    <row r="9">
      <c r="A9" s="30" t="inlineStr">
        <is>
          <t>Mês anterior</t>
        </is>
      </c>
      <c r="B9" s="22" t="str">
        <f>IF(B8&gt;1,INDEX($D$5:$D$16,B8-1),"")</f>
        <v>Julho</v>
      </c>
      <c r="D9" s="32" t="inlineStr">
        <is>
          <t>Maio</t>
        </is>
      </c>
    </row>
    <row r="10">
      <c r="D10" s="32" t="inlineStr">
        <is>
          <t>Junho</t>
        </is>
      </c>
    </row>
    <row r="11">
      <c r="D11" s="32" t="inlineStr">
        <is>
          <t>Julho</t>
        </is>
      </c>
    </row>
    <row r="12">
      <c r="D12" s="32" t="inlineStr">
        <is>
          <t>Agosto</t>
        </is>
      </c>
    </row>
    <row r="13">
      <c r="D13" s="32" t="inlineStr">
        <is>
          <t>Setembro</t>
        </is>
      </c>
    </row>
    <row r="14">
      <c r="D14" s="32" t="inlineStr">
        <is>
          <t>Outubro</t>
        </is>
      </c>
    </row>
    <row r="15">
      <c r="D15" s="32" t="inlineStr">
        <is>
          <t>Novembro</t>
        </is>
      </c>
    </row>
    <row r="16">
      <c r="D16" s="32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1">
    <dataValidation sqref="B6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16" customWidth="1" min="15" max="15"/>
  </cols>
  <sheetData>
    <row r="1" ht="28" customHeight="1">
      <c r="A1" s="28" t="inlineStr">
        <is>
          <t>Resultado mensal da clínica</t>
        </is>
      </c>
    </row>
    <row r="2">
      <c r="A2" s="29" t="inlineStr">
        <is>
          <t>Preencha as linhas amarelas de cada mês com os totais por categoria do Painel do caixa (planilha 09). Totais, impostos provisionados, resultado e margem são calculados. Meses futuros ficam em branco.</t>
        </is>
      </c>
    </row>
    <row r="4" ht="30" customHeight="1">
      <c r="A4" s="17" t="inlineStr">
        <is>
          <t>Linha</t>
        </is>
      </c>
      <c r="B4" s="17" t="inlineStr">
        <is>
          <t>Jan</t>
        </is>
      </c>
      <c r="C4" s="17" t="inlineStr">
        <is>
          <t>Fev</t>
        </is>
      </c>
      <c r="D4" s="17" t="inlineStr">
        <is>
          <t>Mar</t>
        </is>
      </c>
      <c r="E4" s="17" t="inlineStr">
        <is>
          <t>Abr</t>
        </is>
      </c>
      <c r="F4" s="17" t="inlineStr">
        <is>
          <t>Mai</t>
        </is>
      </c>
      <c r="G4" s="17" t="inlineStr">
        <is>
          <t>Jun</t>
        </is>
      </c>
      <c r="H4" s="17" t="inlineStr">
        <is>
          <t>Jul</t>
        </is>
      </c>
      <c r="I4" s="17" t="inlineStr">
        <is>
          <t>Ago</t>
        </is>
      </c>
      <c r="J4" s="17" t="inlineStr">
        <is>
          <t>Set</t>
        </is>
      </c>
      <c r="K4" s="17" t="inlineStr">
        <is>
          <t>Out</t>
        </is>
      </c>
      <c r="L4" s="17" t="inlineStr">
        <is>
          <t>Nov</t>
        </is>
      </c>
      <c r="M4" s="17" t="inlineStr">
        <is>
          <t>Dez</t>
        </is>
      </c>
      <c r="N4" s="17" t="inlineStr">
        <is>
          <t>Total do ano</t>
        </is>
      </c>
      <c r="O4" s="17" t="inlineStr">
        <is>
          <t>Média dos meses preenchidos</t>
        </is>
      </c>
    </row>
    <row r="5">
      <c r="A5" s="34" t="inlineStr">
        <is>
          <t>Receita (o que entrou no mês, por categoria do caixa)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23" t="inlineStr">
        <is>
          <t>Particular à vista</t>
        </is>
      </c>
      <c r="B6" s="35" t="n">
        <v>25180</v>
      </c>
      <c r="C6" s="35" t="n">
        <v>15870</v>
      </c>
      <c r="D6" s="35" t="n">
        <v>37340</v>
      </c>
      <c r="E6" s="35" t="n">
        <v>28610</v>
      </c>
      <c r="F6" s="35" t="n">
        <v>27400</v>
      </c>
      <c r="G6" s="35" t="n">
        <v>27400</v>
      </c>
      <c r="H6" s="35" t="n">
        <v>36540</v>
      </c>
      <c r="I6" s="35" t="n">
        <v>33860</v>
      </c>
      <c r="J6" s="35" t="n"/>
      <c r="K6" s="35" t="n"/>
      <c r="L6" s="35" t="n"/>
      <c r="M6" s="35" t="n"/>
      <c r="N6" s="20">
        <f>IF(COUNT(B6:M6)=0,"",SUM(B6:M6))</f>
        <v>232200</v>
      </c>
      <c r="O6" s="20">
        <f>IF(COUNT(B6:M6)=0,"",AVERAGE(B6:M6))</f>
        <v>29025</v>
      </c>
    </row>
    <row r="7">
      <c r="A7" s="23" t="inlineStr">
        <is>
          <t>Particular a prazo</t>
        </is>
      </c>
      <c r="B7" s="35" t="n">
        <v>0</v>
      </c>
      <c r="C7" s="35" t="n">
        <v>1825</v>
      </c>
      <c r="D7" s="35" t="n">
        <v>3990</v>
      </c>
      <c r="E7" s="35" t="n">
        <v>4195</v>
      </c>
      <c r="F7" s="35" t="n">
        <v>6280</v>
      </c>
      <c r="G7" s="35" t="n">
        <v>8680</v>
      </c>
      <c r="H7" s="35" t="n">
        <v>6760</v>
      </c>
      <c r="I7" s="35" t="n">
        <v>5315</v>
      </c>
      <c r="J7" s="35" t="n"/>
      <c r="K7" s="35" t="n"/>
      <c r="L7" s="35" t="n"/>
      <c r="M7" s="35" t="n"/>
      <c r="N7" s="20">
        <f>IF(COUNT(B7:M7)=0,"",SUM(B7:M7))</f>
        <v>37045</v>
      </c>
      <c r="O7" s="20">
        <f>IF(COUNT(B7:M7)=0,"",AVERAGE(B7:M7))</f>
        <v>4630.625</v>
      </c>
    </row>
    <row r="8">
      <c r="A8" s="23" t="inlineStr">
        <is>
          <t>Convênio · Saúde Total</t>
        </is>
      </c>
      <c r="B8" s="35" t="n">
        <v>3930</v>
      </c>
      <c r="C8" s="35" t="n">
        <v>3420</v>
      </c>
      <c r="D8" s="35" t="n">
        <v>3750</v>
      </c>
      <c r="E8" s="35" t="n">
        <v>3295</v>
      </c>
      <c r="F8" s="35" t="n">
        <v>7220</v>
      </c>
      <c r="G8" s="35" t="n">
        <v>4335</v>
      </c>
      <c r="H8" s="35" t="n">
        <v>6655</v>
      </c>
      <c r="I8" s="35" t="n">
        <v>7320</v>
      </c>
      <c r="J8" s="35" t="n"/>
      <c r="K8" s="35" t="n"/>
      <c r="L8" s="35" t="n"/>
      <c r="M8" s="35" t="n"/>
      <c r="N8" s="20">
        <f>IF(COUNT(B8:M8)=0,"",SUM(B8:M8))</f>
        <v>39925</v>
      </c>
      <c r="O8" s="20">
        <f>IF(COUNT(B8:M8)=0,"",AVERAGE(B8:M8))</f>
        <v>4990.625</v>
      </c>
    </row>
    <row r="9">
      <c r="A9" s="23" t="inlineStr">
        <is>
          <t>Convênio · MediPlan</t>
        </is>
      </c>
      <c r="B9" s="35" t="n">
        <v>2660</v>
      </c>
      <c r="C9" s="35" t="n">
        <v>2040</v>
      </c>
      <c r="D9" s="35" t="n">
        <v>1530</v>
      </c>
      <c r="E9" s="35" t="n">
        <v>1555</v>
      </c>
      <c r="F9" s="35" t="n">
        <v>2610</v>
      </c>
      <c r="G9" s="35" t="n">
        <v>2155</v>
      </c>
      <c r="H9" s="35" t="n">
        <v>1570</v>
      </c>
      <c r="I9" s="35" t="n">
        <v>2130</v>
      </c>
      <c r="J9" s="35" t="n"/>
      <c r="K9" s="35" t="n"/>
      <c r="L9" s="35" t="n"/>
      <c r="M9" s="35" t="n"/>
      <c r="N9" s="20">
        <f>IF(COUNT(B9:M9)=0,"",SUM(B9:M9))</f>
        <v>16250</v>
      </c>
      <c r="O9" s="20">
        <f>IF(COUNT(B9:M9)=0,"",AVERAGE(B9:M9))</f>
        <v>2031.25</v>
      </c>
    </row>
    <row r="10">
      <c r="A10" s="23" t="inlineStr">
        <is>
          <t>Convênio · Vida Care</t>
        </is>
      </c>
      <c r="B10" s="35" t="n">
        <v>1500</v>
      </c>
      <c r="C10" s="35" t="n">
        <v>1640</v>
      </c>
      <c r="D10" s="35" t="n">
        <v>1270</v>
      </c>
      <c r="E10" s="35" t="n">
        <v>1315</v>
      </c>
      <c r="F10" s="35" t="n">
        <v>1250</v>
      </c>
      <c r="G10" s="35" t="n">
        <v>1285</v>
      </c>
      <c r="H10" s="35" t="n">
        <v>1576</v>
      </c>
      <c r="I10" s="35" t="n">
        <v>1711</v>
      </c>
      <c r="J10" s="35" t="n"/>
      <c r="K10" s="35" t="n"/>
      <c r="L10" s="35" t="n"/>
      <c r="M10" s="35" t="n"/>
      <c r="N10" s="20">
        <f>IF(COUNT(B10:M10)=0,"",SUM(B10:M10))</f>
        <v>11547</v>
      </c>
      <c r="O10" s="20">
        <f>IF(COUNT(B10:M10)=0,"",AVERAGE(B10:M10))</f>
        <v>1443.375</v>
      </c>
    </row>
    <row r="11">
      <c r="A11" s="23" t="inlineStr">
        <is>
          <t>Outras entradas</t>
        </is>
      </c>
      <c r="B11" s="35" t="n">
        <v>0</v>
      </c>
      <c r="C11" s="35" t="n">
        <v>0</v>
      </c>
      <c r="D11" s="35" t="n">
        <v>0</v>
      </c>
      <c r="E11" s="35" t="n">
        <v>620</v>
      </c>
      <c r="F11" s="35" t="n">
        <v>0</v>
      </c>
      <c r="G11" s="35" t="n">
        <v>0</v>
      </c>
      <c r="H11" s="35" t="n">
        <v>0</v>
      </c>
      <c r="I11" s="35" t="n">
        <v>0</v>
      </c>
      <c r="J11" s="35" t="n"/>
      <c r="K11" s="35" t="n"/>
      <c r="L11" s="35" t="n"/>
      <c r="M11" s="35" t="n"/>
      <c r="N11" s="20">
        <f>IF(COUNT(B11:M11)=0,"",SUM(B11:M11))</f>
        <v>620</v>
      </c>
      <c r="O11" s="20">
        <f>IF(COUNT(B11:M11)=0,"",AVERAGE(B11:M11))</f>
        <v>77.5</v>
      </c>
    </row>
    <row r="12">
      <c r="A12" s="19" t="inlineStr">
        <is>
          <t>Receita total</t>
        </is>
      </c>
      <c r="B12" s="36">
        <f>IF(COUNT(B$6:B$11,B$14:B$21,B$24:B$27,B$30:B$31)=0,"",SUM(B6:B11))</f>
        <v>33270</v>
      </c>
      <c r="C12" s="36">
        <f>IF(COUNT(C$6:C$11,C$14:C$21,C$24:C$27,C$30:C$31)=0,"",SUM(C6:C11))</f>
        <v>24795</v>
      </c>
      <c r="D12" s="36">
        <f>IF(COUNT(D$6:D$11,D$14:D$21,D$24:D$27,D$30:D$31)=0,"",SUM(D6:D11))</f>
        <v>47880</v>
      </c>
      <c r="E12" s="36">
        <f>IF(COUNT(E$6:E$11,E$14:E$21,E$24:E$27,E$30:E$31)=0,"",SUM(E6:E11))</f>
        <v>39590</v>
      </c>
      <c r="F12" s="36">
        <f>IF(COUNT(F$6:F$11,F$14:F$21,F$24:F$27,F$30:F$31)=0,"",SUM(F6:F11))</f>
        <v>44760</v>
      </c>
      <c r="G12" s="36">
        <f>IF(COUNT(G$6:G$11,G$14:G$21,G$24:G$27,G$30:G$31)=0,"",SUM(G6:G11))</f>
        <v>43855</v>
      </c>
      <c r="H12" s="36">
        <f>IF(COUNT(H$6:H$11,H$14:H$21,H$24:H$27,H$30:H$31)=0,"",SUM(H6:H11))</f>
        <v>53101</v>
      </c>
      <c r="I12" s="36">
        <f>IF(COUNT(I$6:I$11,I$14:I$21,I$24:I$27,I$30:I$31)=0,"",SUM(I6:I11))</f>
        <v>50336</v>
      </c>
      <c r="J12" s="36">
        <f>IF(COUNT(J$6:J$11,J$14:J$21,J$24:J$27,J$30:J$31)=0,"",SUM(J6:J11))</f>
        <v/>
      </c>
      <c r="K12" s="36">
        <f>IF(COUNT(K$6:K$11,K$14:K$21,K$24:K$27,K$30:K$31)=0,"",SUM(K6:K11))</f>
        <v/>
      </c>
      <c r="L12" s="36">
        <f>IF(COUNT(L$6:L$11,L$14:L$21,L$24:L$27,L$30:L$31)=0,"",SUM(L6:L11))</f>
        <v/>
      </c>
      <c r="M12" s="36">
        <f>IF(COUNT(M$6:M$11,M$14:M$21,M$24:M$27,M$30:M$31)=0,"",SUM(M6:M11))</f>
        <v/>
      </c>
      <c r="N12" s="36">
        <f>IF(COUNT(B12:M12)=0,"",SUM(B12:M12))</f>
        <v>337587</v>
      </c>
      <c r="O12" s="36">
        <f>IF(COUNT(B12:M12)=0,"",AVERAGE(B12:M12))</f>
        <v>42198.375</v>
      </c>
    </row>
    <row r="13">
      <c r="A13" s="34" t="inlineStr">
        <is>
          <t>Custos fixos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23" t="inlineStr">
        <is>
          <t>Aluguel e condomínio</t>
        </is>
      </c>
      <c r="B14" s="35" t="n">
        <v>3900</v>
      </c>
      <c r="C14" s="35" t="n">
        <v>3900</v>
      </c>
      <c r="D14" s="35" t="n">
        <v>3900</v>
      </c>
      <c r="E14" s="35" t="n">
        <v>3900</v>
      </c>
      <c r="F14" s="35" t="n">
        <v>3900</v>
      </c>
      <c r="G14" s="35" t="n">
        <v>3900</v>
      </c>
      <c r="H14" s="35" t="n">
        <v>3900</v>
      </c>
      <c r="I14" s="35" t="n">
        <v>3900</v>
      </c>
      <c r="J14" s="35" t="n"/>
      <c r="K14" s="35" t="n"/>
      <c r="L14" s="35" t="n"/>
      <c r="M14" s="35" t="n"/>
      <c r="N14" s="20">
        <f>IF(COUNT(B14:M14)=0,"",SUM(B14:M14))</f>
        <v>31200</v>
      </c>
      <c r="O14" s="20">
        <f>IF(COUNT(B14:M14)=0,"",AVERAGE(B14:M14))</f>
        <v>3900</v>
      </c>
    </row>
    <row r="15">
      <c r="A15" s="23" t="inlineStr">
        <is>
          <t>Recepção (salário e encargos)</t>
        </is>
      </c>
      <c r="B15" s="35" t="n">
        <v>3100</v>
      </c>
      <c r="C15" s="35" t="n">
        <v>3100</v>
      </c>
      <c r="D15" s="35" t="n">
        <v>3100</v>
      </c>
      <c r="E15" s="35" t="n">
        <v>3100</v>
      </c>
      <c r="F15" s="35" t="n">
        <v>3100</v>
      </c>
      <c r="G15" s="35" t="n">
        <v>3100</v>
      </c>
      <c r="H15" s="35" t="n">
        <v>3100</v>
      </c>
      <c r="I15" s="35" t="n">
        <v>3100</v>
      </c>
      <c r="J15" s="35" t="n"/>
      <c r="K15" s="35" t="n"/>
      <c r="L15" s="35" t="n"/>
      <c r="M15" s="35" t="n"/>
      <c r="N15" s="20">
        <f>IF(COUNT(B15:M15)=0,"",SUM(B15:M15))</f>
        <v>24800</v>
      </c>
      <c r="O15" s="20">
        <f>IF(COUNT(B15:M15)=0,"",AVERAGE(B15:M15))</f>
        <v>3100</v>
      </c>
    </row>
    <row r="16">
      <c r="A16" s="23" t="inlineStr">
        <is>
          <t>Contador</t>
        </is>
      </c>
      <c r="B16" s="35" t="n">
        <v>600</v>
      </c>
      <c r="C16" s="35" t="n">
        <v>600</v>
      </c>
      <c r="D16" s="35" t="n">
        <v>600</v>
      </c>
      <c r="E16" s="35" t="n">
        <v>600</v>
      </c>
      <c r="F16" s="35" t="n">
        <v>600</v>
      </c>
      <c r="G16" s="35" t="n">
        <v>600</v>
      </c>
      <c r="H16" s="35" t="n">
        <v>600</v>
      </c>
      <c r="I16" s="35" t="n">
        <v>600</v>
      </c>
      <c r="J16" s="35" t="n"/>
      <c r="K16" s="35" t="n"/>
      <c r="L16" s="35" t="n"/>
      <c r="M16" s="35" t="n"/>
      <c r="N16" s="20">
        <f>IF(COUNT(B16:M16)=0,"",SUM(B16:M16))</f>
        <v>4800</v>
      </c>
      <c r="O16" s="20">
        <f>IF(COUNT(B16:M16)=0,"",AVERAGE(B16:M16))</f>
        <v>600</v>
      </c>
    </row>
    <row r="17">
      <c r="A17" s="23" t="inlineStr">
        <is>
          <t>Sistema de agenda e assinaturas</t>
        </is>
      </c>
      <c r="B17" s="35" t="n">
        <v>300</v>
      </c>
      <c r="C17" s="35" t="n">
        <v>300</v>
      </c>
      <c r="D17" s="35" t="n">
        <v>300</v>
      </c>
      <c r="E17" s="35" t="n">
        <v>300</v>
      </c>
      <c r="F17" s="35" t="n">
        <v>300</v>
      </c>
      <c r="G17" s="35" t="n">
        <v>300</v>
      </c>
      <c r="H17" s="35" t="n">
        <v>300</v>
      </c>
      <c r="I17" s="35" t="n">
        <v>300</v>
      </c>
      <c r="J17" s="35" t="n"/>
      <c r="K17" s="35" t="n"/>
      <c r="L17" s="35" t="n"/>
      <c r="M17" s="35" t="n"/>
      <c r="N17" s="20">
        <f>IF(COUNT(B17:M17)=0,"",SUM(B17:M17))</f>
        <v>2400</v>
      </c>
      <c r="O17" s="20">
        <f>IF(COUNT(B17:M17)=0,"",AVERAGE(B17:M17))</f>
        <v>300</v>
      </c>
    </row>
    <row r="18">
      <c r="A18" s="23" t="inlineStr">
        <is>
          <t>Energia, água, internet e telefone</t>
        </is>
      </c>
      <c r="B18" s="35" t="n">
        <v>550</v>
      </c>
      <c r="C18" s="35" t="n">
        <v>550</v>
      </c>
      <c r="D18" s="35" t="n">
        <v>550</v>
      </c>
      <c r="E18" s="35" t="n">
        <v>550</v>
      </c>
      <c r="F18" s="35" t="n">
        <v>550</v>
      </c>
      <c r="G18" s="35" t="n">
        <v>550</v>
      </c>
      <c r="H18" s="35" t="n">
        <v>550</v>
      </c>
      <c r="I18" s="35" t="n">
        <v>550</v>
      </c>
      <c r="J18" s="35" t="n"/>
      <c r="K18" s="35" t="n"/>
      <c r="L18" s="35" t="n"/>
      <c r="M18" s="35" t="n"/>
      <c r="N18" s="20">
        <f>IF(COUNT(B18:M18)=0,"",SUM(B18:M18))</f>
        <v>4400</v>
      </c>
      <c r="O18" s="20">
        <f>IF(COUNT(B18:M18)=0,"",AVERAGE(B18:M18))</f>
        <v>550</v>
      </c>
    </row>
    <row r="19">
      <c r="A19" s="23" t="inlineStr">
        <is>
          <t>Limpeza e material de escritório</t>
        </is>
      </c>
      <c r="B19" s="35" t="n">
        <v>450</v>
      </c>
      <c r="C19" s="35" t="n">
        <v>450</v>
      </c>
      <c r="D19" s="35" t="n">
        <v>450</v>
      </c>
      <c r="E19" s="35" t="n">
        <v>450</v>
      </c>
      <c r="F19" s="35" t="n">
        <v>450</v>
      </c>
      <c r="G19" s="35" t="n">
        <v>450</v>
      </c>
      <c r="H19" s="35" t="n">
        <v>450</v>
      </c>
      <c r="I19" s="35" t="n">
        <v>450</v>
      </c>
      <c r="J19" s="35" t="n"/>
      <c r="K19" s="35" t="n"/>
      <c r="L19" s="35" t="n"/>
      <c r="M19" s="35" t="n"/>
      <c r="N19" s="20">
        <f>IF(COUNT(B19:M19)=0,"",SUM(B19:M19))</f>
        <v>3600</v>
      </c>
      <c r="O19" s="20">
        <f>IF(COUNT(B19:M19)=0,"",AVERAGE(B19:M19))</f>
        <v>450</v>
      </c>
    </row>
    <row r="20">
      <c r="A20" s="23" t="inlineStr">
        <is>
          <t>Marketing e site</t>
        </is>
      </c>
      <c r="B20" s="35" t="n">
        <v>650</v>
      </c>
      <c r="C20" s="35" t="n">
        <v>650</v>
      </c>
      <c r="D20" s="35" t="n">
        <v>650</v>
      </c>
      <c r="E20" s="35" t="n">
        <v>650</v>
      </c>
      <c r="F20" s="35" t="n">
        <v>650</v>
      </c>
      <c r="G20" s="35" t="n">
        <v>650</v>
      </c>
      <c r="H20" s="35" t="n">
        <v>650</v>
      </c>
      <c r="I20" s="35" t="n">
        <v>650</v>
      </c>
      <c r="J20" s="35" t="n"/>
      <c r="K20" s="35" t="n"/>
      <c r="L20" s="35" t="n"/>
      <c r="M20" s="35" t="n"/>
      <c r="N20" s="20">
        <f>IF(COUNT(B20:M20)=0,"",SUM(B20:M20))</f>
        <v>5200</v>
      </c>
      <c r="O20" s="20">
        <f>IF(COUNT(B20:M20)=0,"",AVERAGE(B20:M20))</f>
        <v>650</v>
      </c>
    </row>
    <row r="21">
      <c r="A21" s="23" t="inlineStr">
        <is>
          <t>Anuidade CRM, seguro e cursos</t>
        </is>
      </c>
      <c r="B21" s="35" t="n">
        <v>450</v>
      </c>
      <c r="C21" s="35" t="n">
        <v>450</v>
      </c>
      <c r="D21" s="35" t="n">
        <v>450</v>
      </c>
      <c r="E21" s="35" t="n">
        <v>450</v>
      </c>
      <c r="F21" s="35" t="n">
        <v>450</v>
      </c>
      <c r="G21" s="35" t="n">
        <v>450</v>
      </c>
      <c r="H21" s="35" t="n">
        <v>450</v>
      </c>
      <c r="I21" s="35" t="n">
        <v>450</v>
      </c>
      <c r="J21" s="35" t="n"/>
      <c r="K21" s="35" t="n"/>
      <c r="L21" s="35" t="n"/>
      <c r="M21" s="35" t="n"/>
      <c r="N21" s="20">
        <f>IF(COUNT(B21:M21)=0,"",SUM(B21:M21))</f>
        <v>3600</v>
      </c>
      <c r="O21" s="20">
        <f>IF(COUNT(B21:M21)=0,"",AVERAGE(B21:M21))</f>
        <v>450</v>
      </c>
    </row>
    <row r="22">
      <c r="A22" s="19" t="inlineStr">
        <is>
          <t>Total de custos fixos</t>
        </is>
      </c>
      <c r="B22" s="36">
        <f>IF(COUNT(B$6:B$11,B$14:B$21,B$24:B$27,B$30:B$31)=0,"",SUM(B14:B21))</f>
        <v>10000</v>
      </c>
      <c r="C22" s="36">
        <f>IF(COUNT(C$6:C$11,C$14:C$21,C$24:C$27,C$30:C$31)=0,"",SUM(C14:C21))</f>
        <v>10000</v>
      </c>
      <c r="D22" s="36">
        <f>IF(COUNT(D$6:D$11,D$14:D$21,D$24:D$27,D$30:D$31)=0,"",SUM(D14:D21))</f>
        <v>10000</v>
      </c>
      <c r="E22" s="36">
        <f>IF(COUNT(E$6:E$11,E$14:E$21,E$24:E$27,E$30:E$31)=0,"",SUM(E14:E21))</f>
        <v>10000</v>
      </c>
      <c r="F22" s="36">
        <f>IF(COUNT(F$6:F$11,F$14:F$21,F$24:F$27,F$30:F$31)=0,"",SUM(F14:F21))</f>
        <v>10000</v>
      </c>
      <c r="G22" s="36">
        <f>IF(COUNT(G$6:G$11,G$14:G$21,G$24:G$27,G$30:G$31)=0,"",SUM(G14:G21))</f>
        <v>10000</v>
      </c>
      <c r="H22" s="36">
        <f>IF(COUNT(H$6:H$11,H$14:H$21,H$24:H$27,H$30:H$31)=0,"",SUM(H14:H21))</f>
        <v>10000</v>
      </c>
      <c r="I22" s="36">
        <f>IF(COUNT(I$6:I$11,I$14:I$21,I$24:I$27,I$30:I$31)=0,"",SUM(I14:I21))</f>
        <v>10000</v>
      </c>
      <c r="J22" s="36">
        <f>IF(COUNT(J$6:J$11,J$14:J$21,J$24:J$27,J$30:J$31)=0,"",SUM(J14:J21))</f>
        <v/>
      </c>
      <c r="K22" s="36">
        <f>IF(COUNT(K$6:K$11,K$14:K$21,K$24:K$27,K$30:K$31)=0,"",SUM(K14:K21))</f>
        <v/>
      </c>
      <c r="L22" s="36">
        <f>IF(COUNT(L$6:L$11,L$14:L$21,L$24:L$27,L$30:L$31)=0,"",SUM(L14:L21))</f>
        <v/>
      </c>
      <c r="M22" s="36">
        <f>IF(COUNT(M$6:M$11,M$14:M$21,M$24:M$27,M$30:M$31)=0,"",SUM(M14:M21))</f>
        <v/>
      </c>
      <c r="N22" s="36">
        <f>IF(COUNT(B22:M22)=0,"",SUM(B22:M22))</f>
        <v>80000</v>
      </c>
      <c r="O22" s="36">
        <f>IF(COUNT(B22:M22)=0,"",AVERAGE(B22:M22))</f>
        <v>10000</v>
      </c>
    </row>
    <row r="23">
      <c r="A23" s="34" t="inlineStr">
        <is>
          <t>Despesas variáveis (materiais, taxas de cartão, repasse, manutenção)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23" t="inlineStr">
        <is>
          <t>Materiais e insumos de atendimento</t>
        </is>
      </c>
      <c r="B24" s="35" t="n">
        <v>1120</v>
      </c>
      <c r="C24" s="35" t="n">
        <v>820</v>
      </c>
      <c r="D24" s="35" t="n">
        <v>1550</v>
      </c>
      <c r="E24" s="35" t="n">
        <v>1260</v>
      </c>
      <c r="F24" s="35" t="n">
        <v>1420</v>
      </c>
      <c r="G24" s="35" t="n">
        <v>1510</v>
      </c>
      <c r="H24" s="35" t="n">
        <v>1300</v>
      </c>
      <c r="I24" s="35" t="n">
        <v>1380</v>
      </c>
      <c r="J24" s="35" t="n"/>
      <c r="K24" s="35" t="n"/>
      <c r="L24" s="35" t="n"/>
      <c r="M24" s="35" t="n"/>
      <c r="N24" s="20">
        <f>IF(COUNT(B24:M24)=0,"",SUM(B24:M24))</f>
        <v>10360</v>
      </c>
      <c r="O24" s="20">
        <f>IF(COUNT(B24:M24)=0,"",AVERAGE(B24:M24))</f>
        <v>1295</v>
      </c>
    </row>
    <row r="25">
      <c r="A25" s="23" t="inlineStr">
        <is>
          <t>Taxas de cartão</t>
        </is>
      </c>
      <c r="B25" s="35" t="n">
        <v>350.56</v>
      </c>
      <c r="C25" s="35" t="n">
        <v>265.28</v>
      </c>
      <c r="D25" s="35" t="n">
        <v>533.25</v>
      </c>
      <c r="E25" s="35" t="n">
        <v>435.7</v>
      </c>
      <c r="F25" s="35" t="n">
        <v>464.12</v>
      </c>
      <c r="G25" s="35" t="n">
        <v>354.91</v>
      </c>
      <c r="H25" s="35" t="n">
        <v>641.77</v>
      </c>
      <c r="I25" s="35" t="n">
        <v>484.12</v>
      </c>
      <c r="J25" s="35" t="n"/>
      <c r="K25" s="35" t="n"/>
      <c r="L25" s="35" t="n"/>
      <c r="M25" s="35" t="n"/>
      <c r="N25" s="20">
        <f>IF(COUNT(B25:M25)=0,"",SUM(B25:M25))</f>
        <v>3529.71</v>
      </c>
      <c r="O25" s="20">
        <f>IF(COUNT(B25:M25)=0,"",AVERAGE(B25:M25))</f>
        <v>441.21375</v>
      </c>
    </row>
    <row r="26">
      <c r="A26" s="23" t="inlineStr">
        <is>
          <t>Repasse à médica parceira</t>
        </is>
      </c>
      <c r="B26" s="35" t="n">
        <v>3100</v>
      </c>
      <c r="C26" s="35" t="n">
        <v>3725</v>
      </c>
      <c r="D26" s="35" t="n">
        <v>3255</v>
      </c>
      <c r="E26" s="35" t="n">
        <v>6050</v>
      </c>
      <c r="F26" s="35" t="n">
        <v>4385</v>
      </c>
      <c r="G26" s="35" t="n">
        <v>5245</v>
      </c>
      <c r="H26" s="35" t="n">
        <v>4720</v>
      </c>
      <c r="I26" s="35" t="n">
        <v>4845</v>
      </c>
      <c r="J26" s="35" t="n"/>
      <c r="K26" s="35" t="n"/>
      <c r="L26" s="35" t="n"/>
      <c r="M26" s="35" t="n"/>
      <c r="N26" s="20">
        <f>IF(COUNT(B26:M26)=0,"",SUM(B26:M26))</f>
        <v>35325</v>
      </c>
      <c r="O26" s="20">
        <f>IF(COUNT(B26:M26)=0,"",AVERAGE(B26:M26))</f>
        <v>4415.625</v>
      </c>
    </row>
    <row r="27">
      <c r="A27" s="23" t="inlineStr">
        <is>
          <t>Manutenção de equipamentos</t>
        </is>
      </c>
      <c r="B27" s="35" t="n">
        <v>0</v>
      </c>
      <c r="C27" s="35" t="n">
        <v>0</v>
      </c>
      <c r="D27" s="35" t="n">
        <v>0</v>
      </c>
      <c r="E27" s="35" t="n">
        <v>0</v>
      </c>
      <c r="F27" s="35" t="n">
        <v>800</v>
      </c>
      <c r="G27" s="35" t="n">
        <v>0</v>
      </c>
      <c r="H27" s="35" t="n">
        <v>0</v>
      </c>
      <c r="I27" s="35" t="n">
        <v>450</v>
      </c>
      <c r="J27" s="35" t="n"/>
      <c r="K27" s="35" t="n"/>
      <c r="L27" s="35" t="n"/>
      <c r="M27" s="35" t="n"/>
      <c r="N27" s="20">
        <f>IF(COUNT(B27:M27)=0,"",SUM(B27:M27))</f>
        <v>1250</v>
      </c>
      <c r="O27" s="20">
        <f>IF(COUNT(B27:M27)=0,"",AVERAGE(B27:M27))</f>
        <v>156.25</v>
      </c>
    </row>
    <row r="28">
      <c r="A28" s="19" t="inlineStr">
        <is>
          <t>Total de despesas variáveis</t>
        </is>
      </c>
      <c r="B28" s="36">
        <f>IF(COUNT(B$6:B$11,B$14:B$21,B$24:B$27,B$30:B$31)=0,"",SUM(B24:B27))</f>
        <v>4570.56</v>
      </c>
      <c r="C28" s="36">
        <f>IF(COUNT(C$6:C$11,C$14:C$21,C$24:C$27,C$30:C$31)=0,"",SUM(C24:C27))</f>
        <v>4810.28</v>
      </c>
      <c r="D28" s="36">
        <f>IF(COUNT(D$6:D$11,D$14:D$21,D$24:D$27,D$30:D$31)=0,"",SUM(D24:D27))</f>
        <v>5338.25</v>
      </c>
      <c r="E28" s="36">
        <f>IF(COUNT(E$6:E$11,E$14:E$21,E$24:E$27,E$30:E$31)=0,"",SUM(E24:E27))</f>
        <v>7745.7</v>
      </c>
      <c r="F28" s="36">
        <f>IF(COUNT(F$6:F$11,F$14:F$21,F$24:F$27,F$30:F$31)=0,"",SUM(F24:F27))</f>
        <v>7069.12</v>
      </c>
      <c r="G28" s="36">
        <f>IF(COUNT(G$6:G$11,G$14:G$21,G$24:G$27,G$30:G$31)=0,"",SUM(G24:G27))</f>
        <v>7109.91</v>
      </c>
      <c r="H28" s="36">
        <f>IF(COUNT(H$6:H$11,H$14:H$21,H$24:H$27,H$30:H$31)=0,"",SUM(H24:H27))</f>
        <v>6661.77</v>
      </c>
      <c r="I28" s="36">
        <f>IF(COUNT(I$6:I$11,I$14:I$21,I$24:I$27,I$30:I$31)=0,"",SUM(I24:I27))</f>
        <v>7159.12</v>
      </c>
      <c r="J28" s="36">
        <f>IF(COUNT(J$6:J$11,J$14:J$21,J$24:J$27,J$30:J$31)=0,"",SUM(J24:J27))</f>
        <v/>
      </c>
      <c r="K28" s="36">
        <f>IF(COUNT(K$6:K$11,K$14:K$21,K$24:K$27,K$30:K$31)=0,"",SUM(K24:K27))</f>
        <v/>
      </c>
      <c r="L28" s="36">
        <f>IF(COUNT(L$6:L$11,L$14:L$21,L$24:L$27,L$30:L$31)=0,"",SUM(L24:L27))</f>
        <v/>
      </c>
      <c r="M28" s="36">
        <f>IF(COUNT(M$6:M$11,M$14:M$21,M$24:M$27,M$30:M$31)=0,"",SUM(M24:M27))</f>
        <v/>
      </c>
      <c r="N28" s="36">
        <f>IF(COUNT(B28:M28)=0,"",SUM(B28:M28))</f>
        <v>50464.71</v>
      </c>
      <c r="O28" s="36">
        <f>IF(COUNT(B28:M28)=0,"",AVERAGE(B28:M28))</f>
        <v>6308.08875</v>
      </c>
    </row>
    <row r="29">
      <c r="A29" s="34" t="inlineStr">
        <is>
          <t>Pró-labore fixo dos sócios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23" t="inlineStr">
        <is>
          <t>Dra. Carolina Mendes</t>
        </is>
      </c>
      <c r="B30" s="35" t="n">
        <v>9000</v>
      </c>
      <c r="C30" s="35" t="n">
        <v>9000</v>
      </c>
      <c r="D30" s="35" t="n">
        <v>9000</v>
      </c>
      <c r="E30" s="35" t="n">
        <v>9000</v>
      </c>
      <c r="F30" s="35" t="n">
        <v>9000</v>
      </c>
      <c r="G30" s="35" t="n">
        <v>9000</v>
      </c>
      <c r="H30" s="35" t="n">
        <v>9000</v>
      </c>
      <c r="I30" s="35" t="n">
        <v>9000</v>
      </c>
      <c r="J30" s="35" t="n"/>
      <c r="K30" s="35" t="n"/>
      <c r="L30" s="35" t="n"/>
      <c r="M30" s="35" t="n"/>
      <c r="N30" s="20">
        <f>IF(COUNT(B30:M30)=0,"",SUM(B30:M30))</f>
        <v>72000</v>
      </c>
      <c r="O30" s="20">
        <f>IF(COUNT(B30:M30)=0,"",AVERAGE(B30:M30))</f>
        <v>9000</v>
      </c>
    </row>
    <row r="31">
      <c r="A31" s="23" t="inlineStr">
        <is>
          <t>Dr. Paulo Andrade</t>
        </is>
      </c>
      <c r="B31" s="35" t="n">
        <v>9000</v>
      </c>
      <c r="C31" s="35" t="n">
        <v>9000</v>
      </c>
      <c r="D31" s="35" t="n">
        <v>9000</v>
      </c>
      <c r="E31" s="35" t="n">
        <v>9000</v>
      </c>
      <c r="F31" s="35" t="n">
        <v>9000</v>
      </c>
      <c r="G31" s="35" t="n">
        <v>9000</v>
      </c>
      <c r="H31" s="35" t="n">
        <v>9000</v>
      </c>
      <c r="I31" s="35" t="n">
        <v>9000</v>
      </c>
      <c r="J31" s="35" t="n"/>
      <c r="K31" s="35" t="n"/>
      <c r="L31" s="35" t="n"/>
      <c r="M31" s="35" t="n"/>
      <c r="N31" s="20">
        <f>IF(COUNT(B31:M31)=0,"",SUM(B31:M31))</f>
        <v>72000</v>
      </c>
      <c r="O31" s="20">
        <f>IF(COUNT(B31:M31)=0,"",AVERAGE(B31:M31))</f>
        <v>9000</v>
      </c>
    </row>
    <row r="32">
      <c r="A32" s="19" t="inlineStr">
        <is>
          <t>Total de pró-labore</t>
        </is>
      </c>
      <c r="B32" s="36">
        <f>IF(COUNT(B$6:B$11,B$14:B$21,B$24:B$27,B$30:B$31)=0,"",SUM(B30:B31))</f>
        <v>18000</v>
      </c>
      <c r="C32" s="36">
        <f>IF(COUNT(C$6:C$11,C$14:C$21,C$24:C$27,C$30:C$31)=0,"",SUM(C30:C31))</f>
        <v>18000</v>
      </c>
      <c r="D32" s="36">
        <f>IF(COUNT(D$6:D$11,D$14:D$21,D$24:D$27,D$30:D$31)=0,"",SUM(D30:D31))</f>
        <v>18000</v>
      </c>
      <c r="E32" s="36">
        <f>IF(COUNT(E$6:E$11,E$14:E$21,E$24:E$27,E$30:E$31)=0,"",SUM(E30:E31))</f>
        <v>18000</v>
      </c>
      <c r="F32" s="36">
        <f>IF(COUNT(F$6:F$11,F$14:F$21,F$24:F$27,F$30:F$31)=0,"",SUM(F30:F31))</f>
        <v>18000</v>
      </c>
      <c r="G32" s="36">
        <f>IF(COUNT(G$6:G$11,G$14:G$21,G$24:G$27,G$30:G$31)=0,"",SUM(G30:G31))</f>
        <v>18000</v>
      </c>
      <c r="H32" s="36">
        <f>IF(COUNT(H$6:H$11,H$14:H$21,H$24:H$27,H$30:H$31)=0,"",SUM(H30:H31))</f>
        <v>18000</v>
      </c>
      <c r="I32" s="36">
        <f>IF(COUNT(I$6:I$11,I$14:I$21,I$24:I$27,I$30:I$31)=0,"",SUM(I30:I31))</f>
        <v>18000</v>
      </c>
      <c r="J32" s="36">
        <f>IF(COUNT(J$6:J$11,J$14:J$21,J$24:J$27,J$30:J$31)=0,"",SUM(J30:J31))</f>
        <v/>
      </c>
      <c r="K32" s="36">
        <f>IF(COUNT(K$6:K$11,K$14:K$21,K$24:K$27,K$30:K$31)=0,"",SUM(K30:K31))</f>
        <v/>
      </c>
      <c r="L32" s="36">
        <f>IF(COUNT(L$6:L$11,L$14:L$21,L$24:L$27,L$30:L$31)=0,"",SUM(L30:L31))</f>
        <v/>
      </c>
      <c r="M32" s="36">
        <f>IF(COUNT(M$6:M$11,M$14:M$21,M$24:M$27,M$30:M$31)=0,"",SUM(M30:M31))</f>
        <v/>
      </c>
      <c r="N32" s="36">
        <f>IF(COUNT(B32:M32)=0,"",SUM(B32:M32))</f>
        <v>144000</v>
      </c>
      <c r="O32" s="36">
        <f>IF(COUNT(B32:M32)=0,"",AVERAGE(B32:M32))</f>
        <v>18000</v>
      </c>
    </row>
    <row r="33">
      <c r="A33" s="23" t="inlineStr">
        <is>
          <t>Impostos provisionados (% da receita, Config)</t>
        </is>
      </c>
      <c r="B33" s="20">
        <f>IF(B12="","",ROUND(B12*Config!$B$7,0))</f>
        <v>3660</v>
      </c>
      <c r="C33" s="20">
        <f>IF(C12="","",ROUND(C12*Config!$B$7,0))</f>
        <v>2727</v>
      </c>
      <c r="D33" s="20">
        <f>IF(D12="","",ROUND(D12*Config!$B$7,0))</f>
        <v>5267</v>
      </c>
      <c r="E33" s="20">
        <f>IF(E12="","",ROUND(E12*Config!$B$7,0))</f>
        <v>4355</v>
      </c>
      <c r="F33" s="20">
        <f>IF(F12="","",ROUND(F12*Config!$B$7,0))</f>
        <v>4924</v>
      </c>
      <c r="G33" s="20">
        <f>IF(G12="","",ROUND(G12*Config!$B$7,0))</f>
        <v>4824</v>
      </c>
      <c r="H33" s="20">
        <f>IF(H12="","",ROUND(H12*Config!$B$7,0))</f>
        <v>5841</v>
      </c>
      <c r="I33" s="20">
        <f>IF(I12="","",ROUND(I12*Config!$B$7,0))</f>
        <v>5537</v>
      </c>
      <c r="J33" s="20">
        <f>IF(J12="","",ROUND(J12*Config!$B$7,0))</f>
        <v/>
      </c>
      <c r="K33" s="20">
        <f>IF(K12="","",ROUND(K12*Config!$B$7,0))</f>
        <v/>
      </c>
      <c r="L33" s="20">
        <f>IF(L12="","",ROUND(L12*Config!$B$7,0))</f>
        <v/>
      </c>
      <c r="M33" s="20">
        <f>IF(M12="","",ROUND(M12*Config!$B$7,0))</f>
        <v/>
      </c>
      <c r="N33" s="20">
        <f>IF(COUNT(B33:M33)=0,"",SUM(B33:M33))</f>
        <v>37135</v>
      </c>
      <c r="O33" s="20">
        <f>IF(COUNT(B33:M33)=0,"",AVERAGE(B33:M33))</f>
        <v>4641.875</v>
      </c>
    </row>
    <row r="34">
      <c r="A34" s="19" t="inlineStr">
        <is>
          <t>Total de saídas (custos + variáveis + pró-labore + impostos)</t>
        </is>
      </c>
      <c r="B34" s="36">
        <f>IF(B12="","",B22+B28+B32+B33)</f>
        <v>36230.56</v>
      </c>
      <c r="C34" s="36">
        <f>IF(C12="","",C22+C28+C32+C33)</f>
        <v>35537.28</v>
      </c>
      <c r="D34" s="36">
        <f>IF(D12="","",D22+D28+D32+D33)</f>
        <v>38605.25</v>
      </c>
      <c r="E34" s="36">
        <f>IF(E12="","",E22+E28+E32+E33)</f>
        <v>40100.7</v>
      </c>
      <c r="F34" s="36">
        <f>IF(F12="","",F22+F28+F32+F33)</f>
        <v>39993.12</v>
      </c>
      <c r="G34" s="36">
        <f>IF(G12="","",G22+G28+G32+G33)</f>
        <v>39933.91</v>
      </c>
      <c r="H34" s="36">
        <f>IF(H12="","",H22+H28+H32+H33)</f>
        <v>40502.77</v>
      </c>
      <c r="I34" s="36">
        <f>IF(I12="","",I22+I28+I32+I33)</f>
        <v>40696.12</v>
      </c>
      <c r="J34" s="36">
        <f>IF(J12="","",J22+J28+J32+J33)</f>
        <v/>
      </c>
      <c r="K34" s="36">
        <f>IF(K12="","",K22+K28+K32+K33)</f>
        <v/>
      </c>
      <c r="L34" s="36">
        <f>IF(L12="","",L22+L28+L32+L33)</f>
        <v/>
      </c>
      <c r="M34" s="36">
        <f>IF(M12="","",M22+M28+M32+M33)</f>
        <v/>
      </c>
      <c r="N34" s="36">
        <f>IF(COUNT(B34:M34)=0,"",SUM(B34:M34))</f>
        <v>311599.71</v>
      </c>
      <c r="O34" s="36">
        <f>IF(COUNT(B34:M34)=0,"",AVERAGE(B34:M34))</f>
        <v>38949.96375</v>
      </c>
    </row>
    <row r="35">
      <c r="A35" s="19" t="inlineStr">
        <is>
          <t>Resultado do mês (receita − saídas)</t>
        </is>
      </c>
      <c r="B35" s="36">
        <f>IF(B12="","",B12-B34)</f>
        <v>-2960.56</v>
      </c>
      <c r="C35" s="36">
        <f>IF(C12="","",C12-C34)</f>
        <v>-10742.28</v>
      </c>
      <c r="D35" s="36">
        <f>IF(D12="","",D12-D34)</f>
        <v>9274.75</v>
      </c>
      <c r="E35" s="36">
        <f>IF(E12="","",E12-E34)</f>
        <v>-510.699999999997</v>
      </c>
      <c r="F35" s="36">
        <f>IF(F12="","",F12-F34)</f>
        <v>4766.88000000001</v>
      </c>
      <c r="G35" s="36">
        <f>IF(G12="","",G12-G34)</f>
        <v>3921.09</v>
      </c>
      <c r="H35" s="36">
        <f>IF(H12="","",H12-H34)</f>
        <v>12598.23</v>
      </c>
      <c r="I35" s="36">
        <f>IF(I12="","",I12-I34)</f>
        <v>9639.88000000001</v>
      </c>
      <c r="J35" s="36">
        <f>IF(J12="","",J12-J34)</f>
        <v/>
      </c>
      <c r="K35" s="36">
        <f>IF(K12="","",K12-K34)</f>
        <v/>
      </c>
      <c r="L35" s="36">
        <f>IF(L12="","",L12-L34)</f>
        <v/>
      </c>
      <c r="M35" s="36">
        <f>IF(M12="","",M12-M34)</f>
        <v/>
      </c>
      <c r="N35" s="36">
        <f>IF(COUNT(B35:M35)=0,"",SUM(B35:M35))</f>
        <v>25987.29</v>
      </c>
      <c r="O35" s="36">
        <f>IF(COUNT(B35:M35)=0,"",AVERAGE(B35:M35))</f>
        <v>3248.41125</v>
      </c>
    </row>
    <row r="36">
      <c r="A36" s="19" t="inlineStr">
        <is>
          <t>Margem (resultado ÷ receita)</t>
        </is>
      </c>
      <c r="B36" s="37">
        <f>IF(OR(B12="",B12=0),"",B35/B12)</f>
        <v>-0.088985873159002</v>
      </c>
      <c r="C36" s="37">
        <f>IF(OR(C12="",C12=0),"",C35/C12)</f>
        <v>-0.433243799153055</v>
      </c>
      <c r="D36" s="37">
        <f>IF(OR(D12="",D12=0),"",D35/D12)</f>
        <v>0.193708228905597</v>
      </c>
      <c r="E36" s="37">
        <f>IF(OR(E12="",E12=0),"",E35/E12)</f>
        <v>-0.0128997221520585</v>
      </c>
      <c r="F36" s="37">
        <f>IF(OR(F12="",F12=0),"",F35/F12)</f>
        <v>0.106498659517426</v>
      </c>
      <c r="G36" s="37">
        <f>IF(OR(G12="",G12=0),"",G35/G12)</f>
        <v>0.0894103294949264</v>
      </c>
      <c r="H36" s="37">
        <f>IF(OR(H12="",H12=0),"",H35/H12)</f>
        <v>0.237250334268658</v>
      </c>
      <c r="I36" s="37">
        <f>IF(OR(I12="",I12=0),"",I35/I12)</f>
        <v>0.191510648442467</v>
      </c>
      <c r="J36" s="37">
        <f>IF(OR(J12="",J12=0),"",J35/J12)</f>
        <v/>
      </c>
      <c r="K36" s="37">
        <f>IF(OR(K12="",K12=0),"",K35/K12)</f>
        <v/>
      </c>
      <c r="L36" s="37">
        <f>IF(OR(L12="",L12=0),"",L35/L12)</f>
        <v/>
      </c>
      <c r="M36" s="37">
        <f>IF(OR(M12="",M12=0),"",M35/M12)</f>
        <v/>
      </c>
      <c r="N36" s="24">
        <f>IF(OR(N12="",N12=0),"",N35/N12)</f>
        <v>0.0769795341645265</v>
      </c>
      <c r="O36" s="24">
        <f>IF(COUNT(B36:M36)=0,"",AVERAGE(B36:M36))</f>
        <v>0.0354061007706199</v>
      </c>
    </row>
    <row r="38" ht="28" customHeight="1">
      <c r="A38" s="38" t="inlineStr">
        <is>
          <t>Receita por categoria: copie de "De onde veio o dinheiro" (Painel da 09). Convênio entra quando o lote é pago (menos a glosa); cartão entra pelo bruto e a taxa vai em "Taxas de cartão". Custos e despesas: de "Para onde foi o dinheiro".</t>
        </is>
      </c>
    </row>
    <row r="39" ht="28" customHeight="1">
      <c r="A39" s="38" t="inlineStr">
        <is>
          <t>Impostos são provisão (11 % do que entrou no mês), não a guia paga; no caixa aparece a guia do mês anterior. Retiradas extras, distribuição de lucro e despesas pessoais dos sócios não entram aqui: são movimentos sócio × clínica (planilha 11). Resultado negativo fica vermelho.</t>
        </is>
      </c>
    </row>
    <row r="40" ht="28" customHeight="1">
      <c r="A40" s="38" t="inlineStr">
        <is>
          <t>Os valores de exemplo (janeiro a agosto de 2026, meses fechados) são os totais por categoria do Painel do Caixa (09) com Pago? = Sim; setembro fica em branco porque está em andamento. O Painel da clínica (17) e o Resumo do mês (20) usam estes mesmos números.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A38:O38"/>
    <mergeCell ref="A2:O2"/>
    <mergeCell ref="A1:O1"/>
    <mergeCell ref="A40:O40"/>
    <mergeCell ref="A39:O39"/>
  </mergeCells>
  <conditionalFormatting sqref="B35:O35">
    <cfRule type="expression" priority="1" dxfId="3">
      <formula>AND(ISNUMBER(B35),B35&lt;0)</formula>
    </cfRule>
    <cfRule type="expression" priority="2" dxfId="4">
      <formula>AND(ISNUMBER(B35),B35&gt;=0)</formula>
    </cfRule>
  </conditionalFormatting>
  <conditionalFormatting sqref="B4:M4">
    <cfRule type="expression" priority="3" dxfId="5">
      <formula>COLUMN()-1=Config!$B$8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 ht="28" customHeight="1">
      <c r="A1" s="28" t="inlineStr">
        <is>
          <t>Previsto para o ano</t>
        </is>
      </c>
    </row>
    <row r="2">
      <c r="A2" s="29" t="inlineStr">
        <is>
          <t>Preencha o que espera de receita, custos fixos, despesas variáveis e pró-labore em cada mês. O Painel compara o realizado com este previsto.</t>
        </is>
      </c>
    </row>
    <row r="4" ht="30" customHeight="1">
      <c r="A4" s="17" t="inlineStr">
        <is>
          <t>Linha</t>
        </is>
      </c>
      <c r="B4" s="17" t="inlineStr">
        <is>
          <t>Jan</t>
        </is>
      </c>
      <c r="C4" s="17" t="inlineStr">
        <is>
          <t>Fev</t>
        </is>
      </c>
      <c r="D4" s="17" t="inlineStr">
        <is>
          <t>Mar</t>
        </is>
      </c>
      <c r="E4" s="17" t="inlineStr">
        <is>
          <t>Abr</t>
        </is>
      </c>
      <c r="F4" s="17" t="inlineStr">
        <is>
          <t>Mai</t>
        </is>
      </c>
      <c r="G4" s="17" t="inlineStr">
        <is>
          <t>Jun</t>
        </is>
      </c>
      <c r="H4" s="17" t="inlineStr">
        <is>
          <t>Jul</t>
        </is>
      </c>
      <c r="I4" s="17" t="inlineStr">
        <is>
          <t>Ago</t>
        </is>
      </c>
      <c r="J4" s="17" t="inlineStr">
        <is>
          <t>Set</t>
        </is>
      </c>
      <c r="K4" s="17" t="inlineStr">
        <is>
          <t>Out</t>
        </is>
      </c>
      <c r="L4" s="17" t="inlineStr">
        <is>
          <t>Nov</t>
        </is>
      </c>
      <c r="M4" s="17" t="inlineStr">
        <is>
          <t>Dez</t>
        </is>
      </c>
      <c r="N4" s="17" t="inlineStr">
        <is>
          <t>Total do ano</t>
        </is>
      </c>
    </row>
    <row r="5">
      <c r="A5" s="23" t="inlineStr">
        <is>
          <t>Receita prevista</t>
        </is>
      </c>
      <c r="B5" s="35" t="n">
        <v>36000</v>
      </c>
      <c r="C5" s="35" t="n">
        <v>32000</v>
      </c>
      <c r="D5" s="35" t="n">
        <v>42000</v>
      </c>
      <c r="E5" s="35" t="n">
        <v>42000</v>
      </c>
      <c r="F5" s="35" t="n">
        <v>44000</v>
      </c>
      <c r="G5" s="35" t="n">
        <v>44000</v>
      </c>
      <c r="H5" s="35" t="n">
        <v>46000</v>
      </c>
      <c r="I5" s="35" t="n">
        <v>46000</v>
      </c>
      <c r="J5" s="35" t="n">
        <v>46000</v>
      </c>
      <c r="K5" s="35" t="n">
        <v>46000</v>
      </c>
      <c r="L5" s="35" t="n">
        <v>44000</v>
      </c>
      <c r="M5" s="35" t="n">
        <v>40000</v>
      </c>
      <c r="N5" s="20">
        <f>IF(COUNT(B5:M5)=0,"",SUM(B5:M5))</f>
        <v>508000</v>
      </c>
    </row>
    <row r="6">
      <c r="A6" s="23" t="inlineStr">
        <is>
          <t>Custos fixos previstos</t>
        </is>
      </c>
      <c r="B6" s="35" t="n">
        <v>10000</v>
      </c>
      <c r="C6" s="35" t="n">
        <v>10000</v>
      </c>
      <c r="D6" s="35" t="n">
        <v>10000</v>
      </c>
      <c r="E6" s="35" t="n">
        <v>10000</v>
      </c>
      <c r="F6" s="35" t="n">
        <v>10000</v>
      </c>
      <c r="G6" s="35" t="n">
        <v>10000</v>
      </c>
      <c r="H6" s="35" t="n">
        <v>10000</v>
      </c>
      <c r="I6" s="35" t="n">
        <v>10000</v>
      </c>
      <c r="J6" s="35" t="n">
        <v>10000</v>
      </c>
      <c r="K6" s="35" t="n">
        <v>10000</v>
      </c>
      <c r="L6" s="35" t="n">
        <v>10000</v>
      </c>
      <c r="M6" s="35" t="n">
        <v>10000</v>
      </c>
      <c r="N6" s="20">
        <f>IF(COUNT(B6:M6)=0,"",SUM(B6:M6))</f>
        <v>120000</v>
      </c>
    </row>
    <row r="7">
      <c r="A7" s="23" t="inlineStr">
        <is>
          <t>Despesas variáveis previstas</t>
        </is>
      </c>
      <c r="B7" s="35" t="n">
        <v>6000</v>
      </c>
      <c r="C7" s="35" t="n">
        <v>6000</v>
      </c>
      <c r="D7" s="35" t="n">
        <v>6000</v>
      </c>
      <c r="E7" s="35" t="n">
        <v>6000</v>
      </c>
      <c r="F7" s="35" t="n">
        <v>6000</v>
      </c>
      <c r="G7" s="35" t="n">
        <v>6000</v>
      </c>
      <c r="H7" s="35" t="n">
        <v>6000</v>
      </c>
      <c r="I7" s="35" t="n">
        <v>6000</v>
      </c>
      <c r="J7" s="35" t="n">
        <v>6000</v>
      </c>
      <c r="K7" s="35" t="n">
        <v>6000</v>
      </c>
      <c r="L7" s="35" t="n">
        <v>6000</v>
      </c>
      <c r="M7" s="35" t="n">
        <v>6000</v>
      </c>
      <c r="N7" s="20">
        <f>IF(COUNT(B7:M7)=0,"",SUM(B7:M7))</f>
        <v>72000</v>
      </c>
    </row>
    <row r="8">
      <c r="A8" s="23" t="inlineStr">
        <is>
          <t>Pró-labore previsto</t>
        </is>
      </c>
      <c r="B8" s="35" t="n">
        <v>18000</v>
      </c>
      <c r="C8" s="35" t="n">
        <v>18000</v>
      </c>
      <c r="D8" s="35" t="n">
        <v>18000</v>
      </c>
      <c r="E8" s="35" t="n">
        <v>18000</v>
      </c>
      <c r="F8" s="35" t="n">
        <v>18000</v>
      </c>
      <c r="G8" s="35" t="n">
        <v>18000</v>
      </c>
      <c r="H8" s="35" t="n">
        <v>18000</v>
      </c>
      <c r="I8" s="35" t="n">
        <v>18000</v>
      </c>
      <c r="J8" s="35" t="n">
        <v>18000</v>
      </c>
      <c r="K8" s="35" t="n">
        <v>18000</v>
      </c>
      <c r="L8" s="35" t="n">
        <v>18000</v>
      </c>
      <c r="M8" s="35" t="n">
        <v>18000</v>
      </c>
      <c r="N8" s="20">
        <f>IF(COUNT(B8:M8)=0,"",SUM(B8:M8))</f>
        <v>216000</v>
      </c>
    </row>
    <row r="9">
      <c r="A9" s="23" t="inlineStr">
        <is>
          <t>Impostos previstos (% da receita, Config)</t>
        </is>
      </c>
      <c r="B9" s="20">
        <f>IF(B5="","",ROUND(B5*Config!$B$7,0))</f>
        <v>3960</v>
      </c>
      <c r="C9" s="20">
        <f>IF(C5="","",ROUND(C5*Config!$B$7,0))</f>
        <v>3520</v>
      </c>
      <c r="D9" s="20">
        <f>IF(D5="","",ROUND(D5*Config!$B$7,0))</f>
        <v>4620</v>
      </c>
      <c r="E9" s="20">
        <f>IF(E5="","",ROUND(E5*Config!$B$7,0))</f>
        <v>4620</v>
      </c>
      <c r="F9" s="20">
        <f>IF(F5="","",ROUND(F5*Config!$B$7,0))</f>
        <v>4840</v>
      </c>
      <c r="G9" s="20">
        <f>IF(G5="","",ROUND(G5*Config!$B$7,0))</f>
        <v>4840</v>
      </c>
      <c r="H9" s="20">
        <f>IF(H5="","",ROUND(H5*Config!$B$7,0))</f>
        <v>5060</v>
      </c>
      <c r="I9" s="20">
        <f>IF(I5="","",ROUND(I5*Config!$B$7,0))</f>
        <v>5060</v>
      </c>
      <c r="J9" s="20">
        <f>IF(J5="","",ROUND(J5*Config!$B$7,0))</f>
        <v>5060</v>
      </c>
      <c r="K9" s="20">
        <f>IF(K5="","",ROUND(K5*Config!$B$7,0))</f>
        <v>5060</v>
      </c>
      <c r="L9" s="20">
        <f>IF(L5="","",ROUND(L5*Config!$B$7,0))</f>
        <v>4840</v>
      </c>
      <c r="M9" s="20">
        <f>IF(M5="","",ROUND(M5*Config!$B$7,0))</f>
        <v>4400</v>
      </c>
      <c r="N9" s="20">
        <f>IF(COUNT(B9:M9)=0,"",SUM(B9:M9))</f>
        <v>55880</v>
      </c>
    </row>
    <row r="10">
      <c r="A10" s="19" t="inlineStr">
        <is>
          <t>Saídas previstas</t>
        </is>
      </c>
      <c r="B10" s="20">
        <f>IF(B5="","",N(B6)+N(B7)+N(B8)+B9)</f>
        <v>37960</v>
      </c>
      <c r="C10" s="20">
        <f>IF(C5="","",N(C6)+N(C7)+N(C8)+C9)</f>
        <v>37520</v>
      </c>
      <c r="D10" s="20">
        <f>IF(D5="","",N(D6)+N(D7)+N(D8)+D9)</f>
        <v>38620</v>
      </c>
      <c r="E10" s="20">
        <f>IF(E5="","",N(E6)+N(E7)+N(E8)+E9)</f>
        <v>38620</v>
      </c>
      <c r="F10" s="20">
        <f>IF(F5="","",N(F6)+N(F7)+N(F8)+F9)</f>
        <v>38840</v>
      </c>
      <c r="G10" s="20">
        <f>IF(G5="","",N(G6)+N(G7)+N(G8)+G9)</f>
        <v>38840</v>
      </c>
      <c r="H10" s="20">
        <f>IF(H5="","",N(H6)+N(H7)+N(H8)+H9)</f>
        <v>39060</v>
      </c>
      <c r="I10" s="20">
        <f>IF(I5="","",N(I6)+N(I7)+N(I8)+I9)</f>
        <v>39060</v>
      </c>
      <c r="J10" s="20">
        <f>IF(J5="","",N(J6)+N(J7)+N(J8)+J9)</f>
        <v>39060</v>
      </c>
      <c r="K10" s="20">
        <f>IF(K5="","",N(K6)+N(K7)+N(K8)+K9)</f>
        <v>39060</v>
      </c>
      <c r="L10" s="20">
        <f>IF(L5="","",N(L6)+N(L7)+N(L8)+L9)</f>
        <v>38840</v>
      </c>
      <c r="M10" s="20">
        <f>IF(M5="","",N(M6)+N(M7)+N(M8)+M9)</f>
        <v>38400</v>
      </c>
      <c r="N10" s="20">
        <f>IF(COUNT(B10:M10)=0,"",SUM(B10:M10))</f>
        <v>463880</v>
      </c>
    </row>
    <row r="11">
      <c r="A11" s="19" t="inlineStr">
        <is>
          <t>Resultado previsto</t>
        </is>
      </c>
      <c r="B11" s="20">
        <f>IF(B5="","",B5-B10)</f>
        <v>-1960</v>
      </c>
      <c r="C11" s="20">
        <f>IF(C5="","",C5-C10)</f>
        <v>-5520</v>
      </c>
      <c r="D11" s="20">
        <f>IF(D5="","",D5-D10)</f>
        <v>3380</v>
      </c>
      <c r="E11" s="20">
        <f>IF(E5="","",E5-E10)</f>
        <v>3380</v>
      </c>
      <c r="F11" s="20">
        <f>IF(F5="","",F5-F10)</f>
        <v>5160</v>
      </c>
      <c r="G11" s="20">
        <f>IF(G5="","",G5-G10)</f>
        <v>5160</v>
      </c>
      <c r="H11" s="20">
        <f>IF(H5="","",H5-H10)</f>
        <v>6940</v>
      </c>
      <c r="I11" s="20">
        <f>IF(I5="","",I5-I10)</f>
        <v>6940</v>
      </c>
      <c r="J11" s="20">
        <f>IF(J5="","",J5-J10)</f>
        <v>6940</v>
      </c>
      <c r="K11" s="20">
        <f>IF(K5="","",K5-K10)</f>
        <v>6940</v>
      </c>
      <c r="L11" s="20">
        <f>IF(L5="","",L5-L10)</f>
        <v>5160</v>
      </c>
      <c r="M11" s="20">
        <f>IF(M5="","",M5-M10)</f>
        <v>1600</v>
      </c>
      <c r="N11" s="20">
        <f>IF(COUNT(B11:M11)=0,"",SUM(B11:M11))</f>
        <v>44120</v>
      </c>
    </row>
    <row r="12">
      <c r="A12" s="19" t="inlineStr">
        <is>
          <t>Margem prevista</t>
        </is>
      </c>
      <c r="B12" s="24">
        <f>IF(OR(B5="",B5=0),"",B11/B5)</f>
        <v>-0.0544444444444444</v>
      </c>
      <c r="C12" s="24">
        <f>IF(OR(C5="",C5=0),"",C11/C5)</f>
        <v>-0.1725</v>
      </c>
      <c r="D12" s="24">
        <f>IF(OR(D5="",D5=0),"",D11/D5)</f>
        <v>0.0804761904761905</v>
      </c>
      <c r="E12" s="24">
        <f>IF(OR(E5="",E5=0),"",E11/E5)</f>
        <v>0.0804761904761905</v>
      </c>
      <c r="F12" s="24">
        <f>IF(OR(F5="",F5=0),"",F11/F5)</f>
        <v>0.117272727272727</v>
      </c>
      <c r="G12" s="24">
        <f>IF(OR(G5="",G5=0),"",G11/G5)</f>
        <v>0.117272727272727</v>
      </c>
      <c r="H12" s="24">
        <f>IF(OR(H5="",H5=0),"",H11/H5)</f>
        <v>0.150869565217391</v>
      </c>
      <c r="I12" s="24">
        <f>IF(OR(I5="",I5=0),"",I11/I5)</f>
        <v>0.150869565217391</v>
      </c>
      <c r="J12" s="24">
        <f>IF(OR(J5="",J5=0),"",J11/J5)</f>
        <v>0.150869565217391</v>
      </c>
      <c r="K12" s="24">
        <f>IF(OR(K5="",K5=0),"",K11/K5)</f>
        <v>0.150869565217391</v>
      </c>
      <c r="L12" s="24">
        <f>IF(OR(L5="",L5=0),"",L11/L5)</f>
        <v>0.117272727272727</v>
      </c>
      <c r="M12" s="24">
        <f>IF(OR(M5="",M5=0),"",M11/M5)</f>
        <v>0.04</v>
      </c>
      <c r="N12" s="24">
        <f>IF(OR(N5="",N5=0),"",N11/N5)</f>
        <v>0.0868503937007874</v>
      </c>
    </row>
    <row r="14">
      <c r="A14" s="6" t="inlineStr">
        <is>
          <t>Uma boa previsão de custos fixos é a média dos últimos três meses; de receita, a produção típica da agenda (01) descontando glosa e prazo de convênio; de variáveis, repasse + materiais + taxas de cartão de um mês normal. Janeiro e julho costumam ser mais fracos.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4:N14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Resultado Mensal · Kit de Gestão para Médicos</dc:title>
  <dcterms:created xmlns:dcterms="http://purl.org/dc/terms/" xmlns:xsi="http://www.w3.org/2001/XMLSchema-instance" xsi:type="dcterms:W3CDTF">2026-09-14T21:29:18Z</dcterms:created>
  <dcterms:modified xmlns:dcterms="http://purl.org/dc/terms/" xmlns:xsi="http://www.w3.org/2001/XMLSchema-instance" xsi:type="dcterms:W3CDTF">2026-09-14T21:29:18Z</dcterms:modified>
</cp:coreProperties>
</file>